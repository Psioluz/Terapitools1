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Indicador" sheetId="2" state="visible" r:id="rId4"/>
    <sheet name="Config" sheetId="3" state="visible" r:id="rId5"/>
    <sheet name="Stock_Diario" sheetId="4" state="visible" r:id="rId6"/>
    <sheet name="Recepciones" sheetId="5" state="visible" r:id="rId7"/>
    <sheet name="Consumo_Diario" sheetId="6" state="visible" r:id="rId8"/>
    <sheet name="Log" sheetId="7" state="visible" r:id="rId9"/>
  </sheets>
  <definedNames>
    <definedName function="false" hidden="false" name="cfg_Asunto" vbProcedure="false">Config!$B$5</definedName>
    <definedName function="false" hidden="false" name="cfg_AvisoCobertura" vbProcedure="false">Config!$B$18</definedName>
    <definedName function="false" hidden="false" name="cfg_CarpetaDrive" vbProcedure="false">Config!$B$19</definedName>
    <definedName function="false" hidden="false" name="cfg_CoberturaMin" vbProcedure="false">Config!$B$17</definedName>
    <definedName function="false" hidden="false" name="cfg_ColCantidad" vbProcedure="false">Config!$B$11</definedName>
    <definedName function="false" hidden="false" name="cfg_ColCodigo" vbProcedure="false">Config!$B$8</definedName>
    <definedName function="false" hidden="false" name="cfg_ColFiltro" vbProcedure="false">Config!$B$9</definedName>
    <definedName function="false" hidden="false" name="cfg_Destinatarios" vbProcedure="false">Config!$B$14</definedName>
    <definedName function="false" hidden="false" name="cfg_DiasPromedio" vbProcedure="false">Config!$B$16</definedName>
    <definedName function="false" hidden="false" name="cfg_FinesSemana" vbProcedure="false">Config!$B$15</definedName>
    <definedName function="false" hidden="false" name="cfg_HojaOrigen" vbProcedure="false">Config!$B$7</definedName>
    <definedName function="false" hidden="false" name="cfg_HoraLimite" vbProcedure="false">Config!$B$13</definedName>
    <definedName function="false" hidden="false" name="cfg_HorasRevision" vbProcedure="false">Config!$B$12</definedName>
    <definedName function="false" hidden="false" name="cfg_PatronAdjunto" vbProcedure="false">Config!$B$6</definedName>
    <definedName function="false" hidden="false" name="cfg_Remitente" vbProcedure="false">Config!$B$4</definedName>
    <definedName function="false" hidden="false" name="cfg_SKUs" vbProcedure="false">Config!$A$23:$A$25</definedName>
    <definedName function="false" hidden="false" name="cfg_ValorFiltro" vbProcedure="false">Config!$B$10</definedName>
    <definedName function="false" hidden="false" name="ind_Cobertura" vbProcedure="false">Indicador!$H$6:$H$8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<sst xmlns="http://schemas.openxmlformats.org/spreadsheetml/2006/main" count="138" uniqueCount="116">
  <si>
    <t xml:space="preserve">Control de stock de cajas (SKU 153523 / 153553 / 153526)</t>
  </si>
  <si>
    <t xml:space="preserve">Fuente: correo 'PE4 RSP - TOTAL INVENTORY SNAPSHOT' (yobelrsp@yobel.biz), hoja BaseDeDatosReporteador, Atributo 2 = DISPONIBLE</t>
  </si>
  <si>
    <t xml:space="preserve">Hojas</t>
  </si>
  <si>
    <t xml:space="preserve">Config: parámetros del proceso (celdas amarillas = editables): SKUs, filtro, remitente/asunto, horarios, destinatarios de alerta.</t>
  </si>
  <si>
    <t xml:space="preserve">Stock_Diario: una fila por día con el stock DISPONIBLE de cada SKU. La llena el script automáticamente (no editar a mano salvo correcciones).</t>
  </si>
  <si>
    <t xml:space="preserve">Recepciones: (opcional) registre aquí las recepciones conocidas. Si un día sube el stock y no hay recepción registrada, se asume recepción = aumento.</t>
  </si>
  <si>
    <t xml:space="preserve">Consumo_Diario: consumo por intervalo = Stock anterior + Recepción - Stock actual (fórmulas, no editar).</t>
  </si>
  <si>
    <t xml:space="preserve">Indicador: stock actual, consumo promedio diario (últimos N días y mes en curso), días de cobertura, y tabla de consumo/promedio mensual.</t>
  </si>
  <si>
    <t xml:space="preserve">Log: bitácora de ejecuciones del script (cargas, correos no encontrados, alertas enviadas).</t>
  </si>
  <si>
    <t xml:space="preserve">Cálculo</t>
  </si>
  <si>
    <t xml:space="preserve">Stock del día = suma de 'Saldo' de las filas con Código Item = SKU y Atributo 2 = DISPONIBLE (un SKU puede tener varias filas/ubicaciones).</t>
  </si>
  <si>
    <t xml:space="preserve">Consumo del intervalo = Stock día anterior + Recepciones del intervalo - Stock del día (mínimo 0).</t>
  </si>
  <si>
    <t xml:space="preserve">Promedio diario = consumo del periodo / días transcurridos del periodo (corrige fines de semana o días sin archivo).</t>
  </si>
  <si>
    <t xml:space="preserve">Días de cobertura = Stock actual / consumo promedio diario de los últimos N días.</t>
  </si>
  <si>
    <t xml:space="preserve">Instalación: ver README.md (Google Sheets + Apps Script, revisiones automáticas y alerta por correo si no llega el archivo).</t>
  </si>
  <si>
    <t xml:space="preserve">Indicador de consumo de cajas</t>
  </si>
  <si>
    <t xml:space="preserve">Se actualiza solo con cada carga. Cobertura = stock actual / consumo promedio diario de los últimos N días (Config).</t>
  </si>
  <si>
    <t xml:space="preserve">Último snapshot:</t>
  </si>
  <si>
    <t xml:space="preserve">Carga de hoy:</t>
  </si>
  <si>
    <t xml:space="preserve">N registros:</t>
  </si>
  <si>
    <t xml:space="preserve">SKU</t>
  </si>
  <si>
    <t xml:space="preserve">Descripción</t>
  </si>
  <si>
    <t xml:space="preserve">Stock actual</t>
  </si>
  <si>
    <t xml:space="preserve">Consumo último intervalo</t>
  </si>
  <si>
    <t xml:space="preserve">Prom. diario últimos N días</t>
  </si>
  <si>
    <t xml:space="preserve">Prom. diario mes en curso</t>
  </si>
  <si>
    <t xml:space="preserve">Consumo mensual promedio</t>
  </si>
  <si>
    <t xml:space="preserve">Días de cobertura</t>
  </si>
  <si>
    <t xml:space="preserve">Estado</t>
  </si>
  <si>
    <t xml:space="preserve">Consumo y promedio mensual</t>
  </si>
  <si>
    <t xml:space="preserve">Mes</t>
  </si>
  <si>
    <t xml:space="preserve">Días con datos</t>
  </si>
  <si>
    <t xml:space="preserve">Consumo</t>
  </si>
  <si>
    <t xml:space="preserve">Recepción</t>
  </si>
  <si>
    <t xml:space="preserve">Prom. diario</t>
  </si>
  <si>
    <t xml:space="preserve">Consumo total</t>
  </si>
  <si>
    <t xml:space="preserve">Promedio mensual (meses con datos)</t>
  </si>
  <si>
    <t xml:space="preserve">Nota: el mes en curso y el primer mes son parciales; use 'Prom. diario' para comparar meses.</t>
  </si>
  <si>
    <t xml:space="preserve">Configuración</t>
  </si>
  <si>
    <t xml:space="preserve">Celdas amarillas editables. El script lee estos valores por nombre (rangos con nombre cfg_*).</t>
  </si>
  <si>
    <t xml:space="preserve">Parámetro</t>
  </si>
  <si>
    <t xml:space="preserve">Valor</t>
  </si>
  <si>
    <t xml:space="preserve">Nota</t>
  </si>
  <si>
    <t xml:space="preserve">Remitente del correo</t>
  </si>
  <si>
    <t xml:space="preserve">yobelrsp@yobel.biz</t>
  </si>
  <si>
    <t xml:space="preserve">Dirección del bot (ver captura del correo).</t>
  </si>
  <si>
    <t xml:space="preserve">Asunto contiene</t>
  </si>
  <si>
    <t xml:space="preserve">TOTAL INVENTORY SNAPSHOT</t>
  </si>
  <si>
    <t xml:space="preserve">Texto fijo del asunto 'PE4 RSP - TOTAL INVENTORY SNAPSHOT (dd/mm/aaaa hh:mm:ss)'.</t>
  </si>
  <si>
    <t xml:space="preserve">Nombre adjunto empieza con</t>
  </si>
  <si>
    <t xml:space="preserve">TotalFotoRsp</t>
  </si>
  <si>
    <t xml:space="preserve">Ej.: TotalFotoRsp_-_2026101508.xlsx</t>
  </si>
  <si>
    <t xml:space="preserve">Hoja del archivo</t>
  </si>
  <si>
    <t xml:space="preserve">BaseDeDatosReporteador</t>
  </si>
  <si>
    <t xml:space="preserve">Columna código</t>
  </si>
  <si>
    <t xml:space="preserve">Código Item</t>
  </si>
  <si>
    <t xml:space="preserve">Encabezado exacto en el archivo.</t>
  </si>
  <si>
    <t xml:space="preserve">Columna filtro</t>
  </si>
  <si>
    <t xml:space="preserve">Atributo 2</t>
  </si>
  <si>
    <t xml:space="preserve">Valor filtro</t>
  </si>
  <si>
    <t xml:space="preserve">DISPONIBLE</t>
  </si>
  <si>
    <t xml:space="preserve">Solo se suman filas con este valor.</t>
  </si>
  <si>
    <t xml:space="preserve">Columna cantidad</t>
  </si>
  <si>
    <t xml:space="preserve">Saldo</t>
  </si>
  <si>
    <t xml:space="preserve">Horas de revisión</t>
  </si>
  <si>
    <t xml:space="preserve">08:45, 09:15, 09:45, 10:15, 12:00</t>
  </si>
  <si>
    <t xml:space="preserve">El correo llega ~08:30. El script revisa a estas horas (±15 min, límite de Google).</t>
  </si>
  <si>
    <t xml:space="preserve">Hora límite</t>
  </si>
  <si>
    <t xml:space="preserve">10:00</t>
  </si>
  <si>
    <t xml:space="preserve">Si a esta hora no se cargó el stock del día, se envía la alerta (una vez por día).</t>
  </si>
  <si>
    <t xml:space="preserve">Destinatarios alerta</t>
  </si>
  <si>
    <t xml:space="preserve">correo1@rashperu.com, correo2@rashperu.com</t>
  </si>
  <si>
    <t xml:space="preserve">Separar con coma. REEMPLAZAR por los correos reales.</t>
  </si>
  <si>
    <t xml:space="preserve">Alertar sábados y domingos</t>
  </si>
  <si>
    <t xml:space="preserve">SI</t>
  </si>
  <si>
    <t xml:space="preserve">SI / NO. Poner NO si el bot no envía en fines de semana.</t>
  </si>
  <si>
    <t xml:space="preserve">Días para promedio móvil</t>
  </si>
  <si>
    <t xml:space="preserve">Ventana del consumo promedio diario usado para la cobertura.</t>
  </si>
  <si>
    <t xml:space="preserve">Cobertura mínima (días)</t>
  </si>
  <si>
    <t xml:space="preserve">Debajo de este valor el Indicador marca REPONER y el script envía aviso.</t>
  </si>
  <si>
    <t xml:space="preserve">Enviar aviso de cobertura baja</t>
  </si>
  <si>
    <t xml:space="preserve">SI / NO</t>
  </si>
  <si>
    <t xml:space="preserve">ID carpeta Drive para archivar adjuntos</t>
  </si>
  <si>
    <t xml:space="preserve">Opcional. Vacío = no se archiva el .xlsx original.</t>
  </si>
  <si>
    <t xml:space="preserve">SKUs a extraer (orden fijo: columnas E, F, G de Stock_Diario)</t>
  </si>
  <si>
    <t xml:space="preserve">CAJA MEDIANA 22X33X30 411 C</t>
  </si>
  <si>
    <t xml:space="preserve">CAJA 1/24 PEQUEÑA 11X22X15 312 C IMP</t>
  </si>
  <si>
    <t xml:space="preserve">CAJA 1/2 GRANDE 33X44X30 411 C IMP</t>
  </si>
  <si>
    <t xml:space="preserve">Stock diario DISPONIBLE (lo llena el script)</t>
  </si>
  <si>
    <t xml:space="preserve">Una fila por fecha de snapshot, ordenada ascendente. No insertar ni borrar filas: solo valores.</t>
  </si>
  <si>
    <t xml:space="preserve">Fecha</t>
  </si>
  <si>
    <t xml:space="preserve">Hora snapshot</t>
  </si>
  <si>
    <t xml:space="preserve">Archivo</t>
  </si>
  <si>
    <t xml:space="preserve">Origen</t>
  </si>
  <si>
    <t xml:space="preserve">Filas encontradas</t>
  </si>
  <si>
    <t xml:space="preserve">Cargado el</t>
  </si>
  <si>
    <t xml:space="preserve">08:29</t>
  </si>
  <si>
    <t xml:space="preserve">TotalFotoRsp_-_2026101508.xlsx</t>
  </si>
  <si>
    <t xml:space="preserve">Carga inicial</t>
  </si>
  <si>
    <t xml:space="preserve">1/2/1</t>
  </si>
  <si>
    <t xml:space="preserve">Recepciones (opcional, ingreso manual)</t>
  </si>
  <si>
    <t xml:space="preserve">Ejemplo de formato: 20/10/2026 | 153523 | 1000 | GR-0001-123 | Ingreso proveedor. Fecha = día en que la recepción ya figura en el stock del bot.</t>
  </si>
  <si>
    <t xml:space="preserve">Cantidad</t>
  </si>
  <si>
    <t xml:space="preserve">Guía / Documento</t>
  </si>
  <si>
    <t xml:space="preserve">Comentario</t>
  </si>
  <si>
    <t xml:space="preserve">Consumo por intervalo entre snapshots</t>
  </si>
  <si>
    <t xml:space="preserve">Consumo = Stock anterior + Recepción - Stock actual. Si el stock sube sin recepción registrada, se asume Recepción = aumento.</t>
  </si>
  <si>
    <t xml:space="preserve">Días</t>
  </si>
  <si>
    <t xml:space="preserve">Stock</t>
  </si>
  <si>
    <t xml:space="preserve">Observación</t>
  </si>
  <si>
    <t xml:space="preserve">Bitácora del script</t>
  </si>
  <si>
    <t xml:space="preserve">La escribe el script (más reciente abajo).</t>
  </si>
  <si>
    <t xml:space="preserve">Fecha y hora</t>
  </si>
  <si>
    <t xml:space="preserve">Evento</t>
  </si>
  <si>
    <t xml:space="preserve">Detalle</t>
  </si>
  <si>
    <t xml:space="preserve">Plantilla creada con el archivo TotalFotoRsp_-_2026101508.xlsx (153523=6725, 153553=5025, 153526=11025).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</si>
</sst>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#,##0"/>
    <numFmt numFmtId="167" formatCode="#,##0.0"/>
    <numFmt numFmtId="168" formatCode="0.0"/>
    <numFmt numFmtId="169" formatCode="General"/>
    <numFmt numFmtId="170" formatCode="mmm\-yyyy"/>
    <numFmt numFmtId="171" formatCode="dd/mm/yyyy\ hh:mm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8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F99CC"/>
      <rgbColor rgb="FFCC99FF"/>
      <rgbColor rgb="FFF8CBAD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Consumo mensual por SKU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"153523"</c:f>
              <c:strCache>
                <c:ptCount val="1"/>
                <c:pt idx="0">
                  <c:v>153523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Indicador!$A$14:$A$37</c:f>
              <c:strCache>
                <c:ptCount val="24"/>
                <c:pt idx="0">
                  <c:v>Oct-2026</c:v>
                </c:pt>
                <c:pt idx="1">
                  <c:v>Nov-2026</c:v>
                </c:pt>
                <c:pt idx="2">
                  <c:v>Dec-2026</c:v>
                </c:pt>
                <c:pt idx="3">
                  <c:v>Jan-2027</c:v>
                </c:pt>
                <c:pt idx="4">
                  <c:v>Feb-2027</c:v>
                </c:pt>
                <c:pt idx="5">
                  <c:v>Mar-2027</c:v>
                </c:pt>
                <c:pt idx="6">
                  <c:v>Apr-2027</c:v>
                </c:pt>
                <c:pt idx="7">
                  <c:v>May-2027</c:v>
                </c:pt>
                <c:pt idx="8">
                  <c:v>Jun-2027</c:v>
                </c:pt>
                <c:pt idx="9">
                  <c:v>Jul-2027</c:v>
                </c:pt>
                <c:pt idx="10">
                  <c:v>Aug-2027</c:v>
                </c:pt>
                <c:pt idx="11">
                  <c:v>Sep-2027</c:v>
                </c:pt>
                <c:pt idx="12">
                  <c:v>Oct-2027</c:v>
                </c:pt>
                <c:pt idx="13">
                  <c:v>Nov-2027</c:v>
                </c:pt>
                <c:pt idx="14">
                  <c:v>Dec-2027</c:v>
                </c:pt>
                <c:pt idx="15">
                  <c:v>Jan-2028</c:v>
                </c:pt>
                <c:pt idx="16">
                  <c:v>Feb-2028</c:v>
                </c:pt>
                <c:pt idx="17">
                  <c:v>Mar-2028</c:v>
                </c:pt>
                <c:pt idx="18">
                  <c:v>Apr-2028</c:v>
                </c:pt>
                <c:pt idx="19">
                  <c:v>May-2028</c:v>
                </c:pt>
                <c:pt idx="20">
                  <c:v>Jun-2028</c:v>
                </c:pt>
                <c:pt idx="21">
                  <c:v>Jul-2028</c:v>
                </c:pt>
                <c:pt idx="22">
                  <c:v>Aug-2028</c:v>
                </c:pt>
                <c:pt idx="23">
                  <c:v>Sep-2028</c:v>
                </c:pt>
              </c:strCache>
            </c:strRef>
          </c:cat>
          <c:val>
            <c:numRef>
              <c:f>Indicador!$C$14:$C$37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1"/>
          <c:order val="1"/>
          <c:tx>
            <c:strRef>
              <c:f>"153553"</c:f>
              <c:strCache>
                <c:ptCount val="1"/>
                <c:pt idx="0">
                  <c:v>153553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Indicador!$A$14:$A$37</c:f>
              <c:strCache>
                <c:ptCount val="24"/>
                <c:pt idx="0">
                  <c:v>Oct-2026</c:v>
                </c:pt>
                <c:pt idx="1">
                  <c:v>Nov-2026</c:v>
                </c:pt>
                <c:pt idx="2">
                  <c:v>Dec-2026</c:v>
                </c:pt>
                <c:pt idx="3">
                  <c:v>Jan-2027</c:v>
                </c:pt>
                <c:pt idx="4">
                  <c:v>Feb-2027</c:v>
                </c:pt>
                <c:pt idx="5">
                  <c:v>Mar-2027</c:v>
                </c:pt>
                <c:pt idx="6">
                  <c:v>Apr-2027</c:v>
                </c:pt>
                <c:pt idx="7">
                  <c:v>May-2027</c:v>
                </c:pt>
                <c:pt idx="8">
                  <c:v>Jun-2027</c:v>
                </c:pt>
                <c:pt idx="9">
                  <c:v>Jul-2027</c:v>
                </c:pt>
                <c:pt idx="10">
                  <c:v>Aug-2027</c:v>
                </c:pt>
                <c:pt idx="11">
                  <c:v>Sep-2027</c:v>
                </c:pt>
                <c:pt idx="12">
                  <c:v>Oct-2027</c:v>
                </c:pt>
                <c:pt idx="13">
                  <c:v>Nov-2027</c:v>
                </c:pt>
                <c:pt idx="14">
                  <c:v>Dec-2027</c:v>
                </c:pt>
                <c:pt idx="15">
                  <c:v>Jan-2028</c:v>
                </c:pt>
                <c:pt idx="16">
                  <c:v>Feb-2028</c:v>
                </c:pt>
                <c:pt idx="17">
                  <c:v>Mar-2028</c:v>
                </c:pt>
                <c:pt idx="18">
                  <c:v>Apr-2028</c:v>
                </c:pt>
                <c:pt idx="19">
                  <c:v>May-2028</c:v>
                </c:pt>
                <c:pt idx="20">
                  <c:v>Jun-2028</c:v>
                </c:pt>
                <c:pt idx="21">
                  <c:v>Jul-2028</c:v>
                </c:pt>
                <c:pt idx="22">
                  <c:v>Aug-2028</c:v>
                </c:pt>
                <c:pt idx="23">
                  <c:v>Sep-2028</c:v>
                </c:pt>
              </c:strCache>
            </c:strRef>
          </c:cat>
          <c:val>
            <c:numRef>
              <c:f>Indicador!$F$14:$F$37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2"/>
          <c:order val="2"/>
          <c:tx>
            <c:strRef>
              <c:f>"153526"</c:f>
              <c:strCache>
                <c:ptCount val="1"/>
                <c:pt idx="0">
                  <c:v>153526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Indicador!$A$14:$A$37</c:f>
              <c:strCache>
                <c:ptCount val="24"/>
                <c:pt idx="0">
                  <c:v>Oct-2026</c:v>
                </c:pt>
                <c:pt idx="1">
                  <c:v>Nov-2026</c:v>
                </c:pt>
                <c:pt idx="2">
                  <c:v>Dec-2026</c:v>
                </c:pt>
                <c:pt idx="3">
                  <c:v>Jan-2027</c:v>
                </c:pt>
                <c:pt idx="4">
                  <c:v>Feb-2027</c:v>
                </c:pt>
                <c:pt idx="5">
                  <c:v>Mar-2027</c:v>
                </c:pt>
                <c:pt idx="6">
                  <c:v>Apr-2027</c:v>
                </c:pt>
                <c:pt idx="7">
                  <c:v>May-2027</c:v>
                </c:pt>
                <c:pt idx="8">
                  <c:v>Jun-2027</c:v>
                </c:pt>
                <c:pt idx="9">
                  <c:v>Jul-2027</c:v>
                </c:pt>
                <c:pt idx="10">
                  <c:v>Aug-2027</c:v>
                </c:pt>
                <c:pt idx="11">
                  <c:v>Sep-2027</c:v>
                </c:pt>
                <c:pt idx="12">
                  <c:v>Oct-2027</c:v>
                </c:pt>
                <c:pt idx="13">
                  <c:v>Nov-2027</c:v>
                </c:pt>
                <c:pt idx="14">
                  <c:v>Dec-2027</c:v>
                </c:pt>
                <c:pt idx="15">
                  <c:v>Jan-2028</c:v>
                </c:pt>
                <c:pt idx="16">
                  <c:v>Feb-2028</c:v>
                </c:pt>
                <c:pt idx="17">
                  <c:v>Mar-2028</c:v>
                </c:pt>
                <c:pt idx="18">
                  <c:v>Apr-2028</c:v>
                </c:pt>
                <c:pt idx="19">
                  <c:v>May-2028</c:v>
                </c:pt>
                <c:pt idx="20">
                  <c:v>Jun-2028</c:v>
                </c:pt>
                <c:pt idx="21">
                  <c:v>Jul-2028</c:v>
                </c:pt>
                <c:pt idx="22">
                  <c:v>Aug-2028</c:v>
                </c:pt>
                <c:pt idx="23">
                  <c:v>Sep-2028</c:v>
                </c:pt>
              </c:strCache>
            </c:strRef>
          </c:cat>
          <c:val>
            <c:numRef>
              <c:f>Indicador!$I$14:$I$37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150"/>
        <c:overlap val="0"/>
        <c:axId val="20501882"/>
        <c:axId val="51807372"/>
      </c:barChart>
      <c:catAx>
        <c:axId val="20501882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07372"/>
        <c:crosses val="autoZero"/>
        <c:auto val="1"/>
        <c:lblAlgn val="ctr"/>
        <c:lblOffset val="100"/>
        <c:noMultiLvlLbl val="0"/>
      </c:catAx>
      <c:valAx>
        <c:axId val="51807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Unidades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018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10080</xdr:rowOff>
    </xdr:from>
    <xdr:to>
      <xdr:col>6</xdr:col>
      <xdr:colOff>307080</xdr:colOff>
      <xdr:row>54</xdr:row>
      <xdr:rowOff>32400</xdr:rowOff>
    </xdr:to>
    <xdr:graphicFrame>
      <xdr:nvGraphicFramePr>
        <xdr:cNvPr id="0" name="Chart 1"/>
        <xdr:cNvGraphicFramePr/>
      </xdr:nvGraphicFramePr>
      <xdr:xfrm>
        <a:off x="0" y="78296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12" min="3" style="0" width="14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3" t="s">
        <v>17</v>
      </c>
      <c r="B3" s="5" t="n">
        <f aca="false">IF(COUNT(Stock_Diario!$A$5:$A$734)=0,"Sin datos",MAX(Stock_Diario!$A$5:$A$734))</f>
        <v>46310</v>
      </c>
      <c r="C3" s="3" t="s">
        <v>18</v>
      </c>
      <c r="D3" s="4" t="str">
        <f aca="true">IF(COUNTIF(Stock_Diario!$A$5:$A$734,TODAY())&gt;0,"OK - cargado","PENDIENTE")</f>
        <v>OK - cargado</v>
      </c>
      <c r="E3" s="3" t="s">
        <v>19</v>
      </c>
      <c r="F3" s="4" t="n">
        <f aca="false">COUNT(Stock_Diario!$A$5:$A$734)</f>
        <v>1</v>
      </c>
    </row>
    <row r="5" customFormat="false" ht="31.5" hidden="false" customHeight="true" outlineLevel="0" collapsed="false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26</v>
      </c>
      <c r="H5" s="6" t="s">
        <v>27</v>
      </c>
      <c r="I5" s="6" t="s">
        <v>28</v>
      </c>
    </row>
    <row r="6" customFormat="false" ht="15" hidden="false" customHeight="false" outlineLevel="0" collapsed="false">
      <c r="A6" s="7" t="n">
        <f aca="false">Config!$A$23</f>
        <v>153523</v>
      </c>
      <c r="B6" s="8" t="str">
        <f aca="false">Config!$B$23</f>
        <v>CAJA MEDIANA 22X33X30 411 C</v>
      </c>
      <c r="C6" s="9" t="n">
        <f aca="false">IF($F$3=0,"",INDEX(Consumo_Diario!$C$5:$C$734,$F$3))</f>
        <v>6725</v>
      </c>
      <c r="D6" s="9" t="str">
        <f aca="false">IF($F$3&lt;2,"",INDEX(Consumo_Diario!$E$5:$E$734,$F$3))</f>
        <v/>
      </c>
      <c r="E6" s="10" t="str">
        <f aca="false">IF($F$3&lt;2,"",IFERROR(SUMIFS(Consumo_Diario!$E$5:$E$734,Consumo_Diario!$A$5:$A$734,"&gt;"&amp;($B$3-Config!$B$16),Consumo_Diario!$A$5:$A$734,"&lt;="&amp;$B$3)/SUMIFS(Consumo_Diario!$B$5:$B$734,Consumo_Diario!$A$5:$A$734,"&gt;"&amp;($B$3-Config!$B$16),Consumo_Diario!$A$5:$A$734,"&lt;="&amp;$B$3),""))</f>
        <v/>
      </c>
      <c r="F6" s="10" t="str">
        <f aca="false">IF($F$3&lt;2,"",IFERROR(SUMIFS(Consumo_Diario!$E$5:$E$734,Consumo_Diario!$A$5:$A$734,"&gt;="&amp;DATE(YEAR($B$3),MONTH($B$3),1),Consumo_Diario!$A$5:$A$734,"&lt;="&amp;$B$3)/SUMIFS(Consumo_Diario!$B$5:$B$734,Consumo_Diario!$A$5:$A$734,"&gt;="&amp;DATE(YEAR($B$3),MONTH($B$3),1),Consumo_Diario!$A$5:$A$734,"&lt;="&amp;$B$3),""))</f>
        <v/>
      </c>
      <c r="G6" s="9" t="str">
        <f aca="false">IFERROR(AVERAGEIFS($C$14:$C$37,$B$14:$B$37,"&gt;0"),"")</f>
        <v/>
      </c>
      <c r="H6" s="11" t="str">
        <f aca="false">IF(OR(C6="",E6="",E6=0),"",C6/E6)</f>
        <v/>
      </c>
      <c r="I6" s="12" t="str">
        <f aca="false">IF(H6="","Sin datos",IF(H6&lt;Config!$B$17,"REPONER","OK"))</f>
        <v>Sin datos</v>
      </c>
    </row>
    <row r="7" customFormat="false" ht="15" hidden="false" customHeight="false" outlineLevel="0" collapsed="false">
      <c r="A7" s="7" t="n">
        <f aca="false">Config!$A$24</f>
        <v>153553</v>
      </c>
      <c r="B7" s="8" t="str">
        <f aca="false">Config!$B$24</f>
        <v>CAJA 1/24 PEQUEÑA 11X22X15 312 C IMP</v>
      </c>
      <c r="C7" s="9" t="n">
        <f aca="false">IF($F$3=0,"",INDEX(Consumo_Diario!$F$5:$F$734,$F$3))</f>
        <v>5025</v>
      </c>
      <c r="D7" s="9" t="str">
        <f aca="false">IF($F$3&lt;2,"",INDEX(Consumo_Diario!$H$5:$H$734,$F$3))</f>
        <v/>
      </c>
      <c r="E7" s="10" t="str">
        <f aca="false">IF($F$3&lt;2,"",IFERROR(SUMIFS(Consumo_Diario!$H$5:$H$734,Consumo_Diario!$A$5:$A$734,"&gt;"&amp;($B$3-Config!$B$16),Consumo_Diario!$A$5:$A$734,"&lt;="&amp;$B$3)/SUMIFS(Consumo_Diario!$B$5:$B$734,Consumo_Diario!$A$5:$A$734,"&gt;"&amp;($B$3-Config!$B$16),Consumo_Diario!$A$5:$A$734,"&lt;="&amp;$B$3),""))</f>
        <v/>
      </c>
      <c r="F7" s="10" t="str">
        <f aca="false">IF($F$3&lt;2,"",IFERROR(SUMIFS(Consumo_Diario!$H$5:$H$734,Consumo_Diario!$A$5:$A$734,"&gt;="&amp;DATE(YEAR($B$3),MONTH($B$3),1),Consumo_Diario!$A$5:$A$734,"&lt;="&amp;$B$3)/SUMIFS(Consumo_Diario!$B$5:$B$734,Consumo_Diario!$A$5:$A$734,"&gt;="&amp;DATE(YEAR($B$3),MONTH($B$3),1),Consumo_Diario!$A$5:$A$734,"&lt;="&amp;$B$3),""))</f>
        <v/>
      </c>
      <c r="G7" s="9" t="str">
        <f aca="false">IFERROR(AVERAGEIFS($F$14:$F$37,$B$14:$B$37,"&gt;0"),"")</f>
        <v/>
      </c>
      <c r="H7" s="11" t="str">
        <f aca="false">IF(OR(C7="",E7="",E7=0),"",C7/E7)</f>
        <v/>
      </c>
      <c r="I7" s="12" t="str">
        <f aca="false">IF(H7="","Sin datos",IF(H7&lt;Config!$B$17,"REPONER","OK"))</f>
        <v>Sin datos</v>
      </c>
    </row>
    <row r="8" customFormat="false" ht="15" hidden="false" customHeight="false" outlineLevel="0" collapsed="false">
      <c r="A8" s="7" t="n">
        <f aca="false">Config!$A$25</f>
        <v>153526</v>
      </c>
      <c r="B8" s="8" t="str">
        <f aca="false">Config!$B$25</f>
        <v>CAJA 1/2 GRANDE 33X44X30 411 C IMP</v>
      </c>
      <c r="C8" s="9" t="n">
        <f aca="false">IF($F$3=0,"",INDEX(Consumo_Diario!$I$5:$I$734,$F$3))</f>
        <v>11025</v>
      </c>
      <c r="D8" s="9" t="str">
        <f aca="false">IF($F$3&lt;2,"",INDEX(Consumo_Diario!$K$5:$K$734,$F$3))</f>
        <v/>
      </c>
      <c r="E8" s="10" t="str">
        <f aca="false">IF($F$3&lt;2,"",IFERROR(SUMIFS(Consumo_Diario!$K$5:$K$734,Consumo_Diario!$A$5:$A$734,"&gt;"&amp;($B$3-Config!$B$16),Consumo_Diario!$A$5:$A$734,"&lt;="&amp;$B$3)/SUMIFS(Consumo_Diario!$B$5:$B$734,Consumo_Diario!$A$5:$A$734,"&gt;"&amp;($B$3-Config!$B$16),Consumo_Diario!$A$5:$A$734,"&lt;="&amp;$B$3),""))</f>
        <v/>
      </c>
      <c r="F8" s="10" t="str">
        <f aca="false">IF($F$3&lt;2,"",IFERROR(SUMIFS(Consumo_Diario!$K$5:$K$734,Consumo_Diario!$A$5:$A$734,"&gt;="&amp;DATE(YEAR($B$3),MONTH($B$3),1),Consumo_Diario!$A$5:$A$734,"&lt;="&amp;$B$3)/SUMIFS(Consumo_Diario!$B$5:$B$734,Consumo_Diario!$A$5:$A$734,"&gt;="&amp;DATE(YEAR($B$3),MONTH($B$3),1),Consumo_Diario!$A$5:$A$734,"&lt;="&amp;$B$3),""))</f>
        <v/>
      </c>
      <c r="G8" s="9" t="str">
        <f aca="false">IFERROR(AVERAGEIFS($I$14:$I$37,$B$14:$B$37,"&gt;0"),"")</f>
        <v/>
      </c>
      <c r="H8" s="11" t="str">
        <f aca="false">IF(OR(C8="",E8="",E8=0),"",C8/E8)</f>
        <v/>
      </c>
      <c r="I8" s="12" t="str">
        <f aca="false">IF(H8="","Sin datos",IF(H8&lt;Config!$B$17,"REPONER","OK"))</f>
        <v>Sin datos</v>
      </c>
    </row>
    <row r="11" customFormat="false" ht="15" hidden="false" customHeight="false" outlineLevel="0" collapsed="false">
      <c r="A11" s="13" t="s">
        <v>29</v>
      </c>
    </row>
    <row r="12" customFormat="false" ht="15" hidden="false" customHeight="false" outlineLevel="0" collapsed="false">
      <c r="A12" s="14"/>
      <c r="B12" s="14"/>
      <c r="C12" s="15" t="n">
        <f aca="false">Config!$A$23</f>
        <v>153523</v>
      </c>
      <c r="D12" s="15"/>
      <c r="E12" s="15"/>
      <c r="F12" s="15" t="n">
        <f aca="false">Config!$A$24</f>
        <v>153553</v>
      </c>
      <c r="G12" s="15"/>
      <c r="H12" s="15"/>
      <c r="I12" s="15" t="n">
        <f aca="false">Config!$A$25</f>
        <v>153526</v>
      </c>
      <c r="J12" s="15"/>
      <c r="K12" s="15"/>
    </row>
    <row r="13" customFormat="false" ht="26.85" hidden="false" customHeight="false" outlineLevel="0" collapsed="false">
      <c r="A13" s="6" t="s">
        <v>30</v>
      </c>
      <c r="B13" s="6" t="s">
        <v>31</v>
      </c>
      <c r="C13" s="6" t="s">
        <v>32</v>
      </c>
      <c r="D13" s="6" t="s">
        <v>33</v>
      </c>
      <c r="E13" s="6" t="s">
        <v>34</v>
      </c>
      <c r="F13" s="6" t="s">
        <v>32</v>
      </c>
      <c r="G13" s="6" t="s">
        <v>33</v>
      </c>
      <c r="H13" s="6" t="s">
        <v>34</v>
      </c>
      <c r="I13" s="6" t="s">
        <v>32</v>
      </c>
      <c r="J13" s="6" t="s">
        <v>33</v>
      </c>
      <c r="K13" s="6" t="s">
        <v>34</v>
      </c>
      <c r="L13" s="6" t="s">
        <v>35</v>
      </c>
    </row>
    <row r="14" customFormat="false" ht="15" hidden="false" customHeight="false" outlineLevel="0" collapsed="false">
      <c r="A14" s="16" t="n">
        <v>46296</v>
      </c>
      <c r="B14" s="17" t="n">
        <f aca="false">SUMIFS(Consumo_Diario!$B$5:$B$734,Consumo_Diario!$A$5:$A$734,"&gt;="&amp;$A14,Consumo_Diario!$A$5:$A$734,"&lt;"&amp;DATE(YEAR($A14),MONTH($A14)+1,1))</f>
        <v>0</v>
      </c>
      <c r="C14" s="9" t="n">
        <f aca="false">SUMIFS(Consumo_Diario!$E$5:$E$734,Consumo_Diario!$A$5:$A$734,"&gt;="&amp;$A14,Consumo_Diario!$A$5:$A$734,"&lt;"&amp;DATE(YEAR($A14),MONTH($A14)+1,1))</f>
        <v>0</v>
      </c>
      <c r="D14" s="9" t="n">
        <f aca="false">SUMIFS(Consumo_Diario!$D$5:$D$734,Consumo_Diario!$A$5:$A$734,"&gt;="&amp;$A14,Consumo_Diario!$A$5:$A$734,"&lt;"&amp;DATE(YEAR($A14),MONTH($A14)+1,1))</f>
        <v>0</v>
      </c>
      <c r="E14" s="10" t="str">
        <f aca="false">IF($B14=0,"",C14/$B14)</f>
        <v/>
      </c>
      <c r="F14" s="9" t="n">
        <f aca="false">SUMIFS(Consumo_Diario!$H$5:$H$734,Consumo_Diario!$A$5:$A$734,"&gt;="&amp;$A14,Consumo_Diario!$A$5:$A$734,"&lt;"&amp;DATE(YEAR($A14),MONTH($A14)+1,1))</f>
        <v>0</v>
      </c>
      <c r="G14" s="9" t="n">
        <f aca="false">SUMIFS(Consumo_Diario!$G$5:$G$734,Consumo_Diario!$A$5:$A$734,"&gt;="&amp;$A14,Consumo_Diario!$A$5:$A$734,"&lt;"&amp;DATE(YEAR($A14),MONTH($A14)+1,1))</f>
        <v>0</v>
      </c>
      <c r="H14" s="10" t="str">
        <f aca="false">IF($B14=0,"",F14/$B14)</f>
        <v/>
      </c>
      <c r="I14" s="9" t="n">
        <f aca="false">SUMIFS(Consumo_Diario!$K$5:$K$734,Consumo_Diario!$A$5:$A$734,"&gt;="&amp;$A14,Consumo_Diario!$A$5:$A$734,"&lt;"&amp;DATE(YEAR($A14),MONTH($A14)+1,1))</f>
        <v>0</v>
      </c>
      <c r="J14" s="9" t="n">
        <f aca="false">SUMIFS(Consumo_Diario!$J$5:$J$734,Consumo_Diario!$A$5:$A$734,"&gt;="&amp;$A14,Consumo_Diario!$A$5:$A$734,"&lt;"&amp;DATE(YEAR($A14),MONTH($A14)+1,1))</f>
        <v>0</v>
      </c>
      <c r="K14" s="10" t="str">
        <f aca="false">IF($B14=0,"",I14/$B14)</f>
        <v/>
      </c>
      <c r="L14" s="9" t="n">
        <f aca="false">C14+F14+I14</f>
        <v>0</v>
      </c>
    </row>
    <row r="15" customFormat="false" ht="15" hidden="false" customHeight="false" outlineLevel="0" collapsed="false">
      <c r="A15" s="16" t="n">
        <v>46327</v>
      </c>
      <c r="B15" s="17" t="n">
        <f aca="false">SUMIFS(Consumo_Diario!$B$5:$B$734,Consumo_Diario!$A$5:$A$734,"&gt;="&amp;$A15,Consumo_Diario!$A$5:$A$734,"&lt;"&amp;DATE(YEAR($A15),MONTH($A15)+1,1))</f>
        <v>0</v>
      </c>
      <c r="C15" s="9" t="n">
        <f aca="false">SUMIFS(Consumo_Diario!$E$5:$E$734,Consumo_Diario!$A$5:$A$734,"&gt;="&amp;$A15,Consumo_Diario!$A$5:$A$734,"&lt;"&amp;DATE(YEAR($A15),MONTH($A15)+1,1))</f>
        <v>0</v>
      </c>
      <c r="D15" s="9" t="n">
        <f aca="false">SUMIFS(Consumo_Diario!$D$5:$D$734,Consumo_Diario!$A$5:$A$734,"&gt;="&amp;$A15,Consumo_Diario!$A$5:$A$734,"&lt;"&amp;DATE(YEAR($A15),MONTH($A15)+1,1))</f>
        <v>0</v>
      </c>
      <c r="E15" s="10" t="str">
        <f aca="false">IF($B15=0,"",C15/$B15)</f>
        <v/>
      </c>
      <c r="F15" s="9" t="n">
        <f aca="false">SUMIFS(Consumo_Diario!$H$5:$H$734,Consumo_Diario!$A$5:$A$734,"&gt;="&amp;$A15,Consumo_Diario!$A$5:$A$734,"&lt;"&amp;DATE(YEAR($A15),MONTH($A15)+1,1))</f>
        <v>0</v>
      </c>
      <c r="G15" s="9" t="n">
        <f aca="false">SUMIFS(Consumo_Diario!$G$5:$G$734,Consumo_Diario!$A$5:$A$734,"&gt;="&amp;$A15,Consumo_Diario!$A$5:$A$734,"&lt;"&amp;DATE(YEAR($A15),MONTH($A15)+1,1))</f>
        <v>0</v>
      </c>
      <c r="H15" s="10" t="str">
        <f aca="false">IF($B15=0,"",F15/$B15)</f>
        <v/>
      </c>
      <c r="I15" s="9" t="n">
        <f aca="false">SUMIFS(Consumo_Diario!$K$5:$K$734,Consumo_Diario!$A$5:$A$734,"&gt;="&amp;$A15,Consumo_Diario!$A$5:$A$734,"&lt;"&amp;DATE(YEAR($A15),MONTH($A15)+1,1))</f>
        <v>0</v>
      </c>
      <c r="J15" s="9" t="n">
        <f aca="false">SUMIFS(Consumo_Diario!$J$5:$J$734,Consumo_Diario!$A$5:$A$734,"&gt;="&amp;$A15,Consumo_Diario!$A$5:$A$734,"&lt;"&amp;DATE(YEAR($A15),MONTH($A15)+1,1))</f>
        <v>0</v>
      </c>
      <c r="K15" s="10" t="str">
        <f aca="false">IF($B15=0,"",I15/$B15)</f>
        <v/>
      </c>
      <c r="L15" s="9" t="n">
        <f aca="false">C15+F15+I15</f>
        <v>0</v>
      </c>
    </row>
    <row r="16" customFormat="false" ht="15" hidden="false" customHeight="false" outlineLevel="0" collapsed="false">
      <c r="A16" s="16" t="n">
        <v>46357</v>
      </c>
      <c r="B16" s="17" t="n">
        <f aca="false">SUMIFS(Consumo_Diario!$B$5:$B$734,Consumo_Diario!$A$5:$A$734,"&gt;="&amp;$A16,Consumo_Diario!$A$5:$A$734,"&lt;"&amp;DATE(YEAR($A16),MONTH($A16)+1,1))</f>
        <v>0</v>
      </c>
      <c r="C16" s="9" t="n">
        <f aca="false">SUMIFS(Consumo_Diario!$E$5:$E$734,Consumo_Diario!$A$5:$A$734,"&gt;="&amp;$A16,Consumo_Diario!$A$5:$A$734,"&lt;"&amp;DATE(YEAR($A16),MONTH($A16)+1,1))</f>
        <v>0</v>
      </c>
      <c r="D16" s="9" t="n">
        <f aca="false">SUMIFS(Consumo_Diario!$D$5:$D$734,Consumo_Diario!$A$5:$A$734,"&gt;="&amp;$A16,Consumo_Diario!$A$5:$A$734,"&lt;"&amp;DATE(YEAR($A16),MONTH($A16)+1,1))</f>
        <v>0</v>
      </c>
      <c r="E16" s="10" t="str">
        <f aca="false">IF($B16=0,"",C16/$B16)</f>
        <v/>
      </c>
      <c r="F16" s="9" t="n">
        <f aca="false">SUMIFS(Consumo_Diario!$H$5:$H$734,Consumo_Diario!$A$5:$A$734,"&gt;="&amp;$A16,Consumo_Diario!$A$5:$A$734,"&lt;"&amp;DATE(YEAR($A16),MONTH($A16)+1,1))</f>
        <v>0</v>
      </c>
      <c r="G16" s="9" t="n">
        <f aca="false">SUMIFS(Consumo_Diario!$G$5:$G$734,Consumo_Diario!$A$5:$A$734,"&gt;="&amp;$A16,Consumo_Diario!$A$5:$A$734,"&lt;"&amp;DATE(YEAR($A16),MONTH($A16)+1,1))</f>
        <v>0</v>
      </c>
      <c r="H16" s="10" t="str">
        <f aca="false">IF($B16=0,"",F16/$B16)</f>
        <v/>
      </c>
      <c r="I16" s="9" t="n">
        <f aca="false">SUMIFS(Consumo_Diario!$K$5:$K$734,Consumo_Diario!$A$5:$A$734,"&gt;="&amp;$A16,Consumo_Diario!$A$5:$A$734,"&lt;"&amp;DATE(YEAR($A16),MONTH($A16)+1,1))</f>
        <v>0</v>
      </c>
      <c r="J16" s="9" t="n">
        <f aca="false">SUMIFS(Consumo_Diario!$J$5:$J$734,Consumo_Diario!$A$5:$A$734,"&gt;="&amp;$A16,Consumo_Diario!$A$5:$A$734,"&lt;"&amp;DATE(YEAR($A16),MONTH($A16)+1,1))</f>
        <v>0</v>
      </c>
      <c r="K16" s="10" t="str">
        <f aca="false">IF($B16=0,"",I16/$B16)</f>
        <v/>
      </c>
      <c r="L16" s="9" t="n">
        <f aca="false">C16+F16+I16</f>
        <v>0</v>
      </c>
    </row>
    <row r="17" customFormat="false" ht="15" hidden="false" customHeight="false" outlineLevel="0" collapsed="false">
      <c r="A17" s="16" t="n">
        <v>46388</v>
      </c>
      <c r="B17" s="17" t="n">
        <f aca="false">SUMIFS(Consumo_Diario!$B$5:$B$734,Consumo_Diario!$A$5:$A$734,"&gt;="&amp;$A17,Consumo_Diario!$A$5:$A$734,"&lt;"&amp;DATE(YEAR($A17),MONTH($A17)+1,1))</f>
        <v>0</v>
      </c>
      <c r="C17" s="9" t="n">
        <f aca="false">SUMIFS(Consumo_Diario!$E$5:$E$734,Consumo_Diario!$A$5:$A$734,"&gt;="&amp;$A17,Consumo_Diario!$A$5:$A$734,"&lt;"&amp;DATE(YEAR($A17),MONTH($A17)+1,1))</f>
        <v>0</v>
      </c>
      <c r="D17" s="9" t="n">
        <f aca="false">SUMIFS(Consumo_Diario!$D$5:$D$734,Consumo_Diario!$A$5:$A$734,"&gt;="&amp;$A17,Consumo_Diario!$A$5:$A$734,"&lt;"&amp;DATE(YEAR($A17),MONTH($A17)+1,1))</f>
        <v>0</v>
      </c>
      <c r="E17" s="10" t="str">
        <f aca="false">IF($B17=0,"",C17/$B17)</f>
        <v/>
      </c>
      <c r="F17" s="9" t="n">
        <f aca="false">SUMIFS(Consumo_Diario!$H$5:$H$734,Consumo_Diario!$A$5:$A$734,"&gt;="&amp;$A17,Consumo_Diario!$A$5:$A$734,"&lt;"&amp;DATE(YEAR($A17),MONTH($A17)+1,1))</f>
        <v>0</v>
      </c>
      <c r="G17" s="9" t="n">
        <f aca="false">SUMIFS(Consumo_Diario!$G$5:$G$734,Consumo_Diario!$A$5:$A$734,"&gt;="&amp;$A17,Consumo_Diario!$A$5:$A$734,"&lt;"&amp;DATE(YEAR($A17),MONTH($A17)+1,1))</f>
        <v>0</v>
      </c>
      <c r="H17" s="10" t="str">
        <f aca="false">IF($B17=0,"",F17/$B17)</f>
        <v/>
      </c>
      <c r="I17" s="9" t="n">
        <f aca="false">SUMIFS(Consumo_Diario!$K$5:$K$734,Consumo_Diario!$A$5:$A$734,"&gt;="&amp;$A17,Consumo_Diario!$A$5:$A$734,"&lt;"&amp;DATE(YEAR($A17),MONTH($A17)+1,1))</f>
        <v>0</v>
      </c>
      <c r="J17" s="9" t="n">
        <f aca="false">SUMIFS(Consumo_Diario!$J$5:$J$734,Consumo_Diario!$A$5:$A$734,"&gt;="&amp;$A17,Consumo_Diario!$A$5:$A$734,"&lt;"&amp;DATE(YEAR($A17),MONTH($A17)+1,1))</f>
        <v>0</v>
      </c>
      <c r="K17" s="10" t="str">
        <f aca="false">IF($B17=0,"",I17/$B17)</f>
        <v/>
      </c>
      <c r="L17" s="9" t="n">
        <f aca="false">C17+F17+I17</f>
        <v>0</v>
      </c>
    </row>
    <row r="18" customFormat="false" ht="15" hidden="false" customHeight="false" outlineLevel="0" collapsed="false">
      <c r="A18" s="16" t="n">
        <v>46419</v>
      </c>
      <c r="B18" s="17" t="n">
        <f aca="false">SUMIFS(Consumo_Diario!$B$5:$B$734,Consumo_Diario!$A$5:$A$734,"&gt;="&amp;$A18,Consumo_Diario!$A$5:$A$734,"&lt;"&amp;DATE(YEAR($A18),MONTH($A18)+1,1))</f>
        <v>0</v>
      </c>
      <c r="C18" s="9" t="n">
        <f aca="false">SUMIFS(Consumo_Diario!$E$5:$E$734,Consumo_Diario!$A$5:$A$734,"&gt;="&amp;$A18,Consumo_Diario!$A$5:$A$734,"&lt;"&amp;DATE(YEAR($A18),MONTH($A18)+1,1))</f>
        <v>0</v>
      </c>
      <c r="D18" s="9" t="n">
        <f aca="false">SUMIFS(Consumo_Diario!$D$5:$D$734,Consumo_Diario!$A$5:$A$734,"&gt;="&amp;$A18,Consumo_Diario!$A$5:$A$734,"&lt;"&amp;DATE(YEAR($A18),MONTH($A18)+1,1))</f>
        <v>0</v>
      </c>
      <c r="E18" s="10" t="str">
        <f aca="false">IF($B18=0,"",C18/$B18)</f>
        <v/>
      </c>
      <c r="F18" s="9" t="n">
        <f aca="false">SUMIFS(Consumo_Diario!$H$5:$H$734,Consumo_Diario!$A$5:$A$734,"&gt;="&amp;$A18,Consumo_Diario!$A$5:$A$734,"&lt;"&amp;DATE(YEAR($A18),MONTH($A18)+1,1))</f>
        <v>0</v>
      </c>
      <c r="G18" s="9" t="n">
        <f aca="false">SUMIFS(Consumo_Diario!$G$5:$G$734,Consumo_Diario!$A$5:$A$734,"&gt;="&amp;$A18,Consumo_Diario!$A$5:$A$734,"&lt;"&amp;DATE(YEAR($A18),MONTH($A18)+1,1))</f>
        <v>0</v>
      </c>
      <c r="H18" s="10" t="str">
        <f aca="false">IF($B18=0,"",F18/$B18)</f>
        <v/>
      </c>
      <c r="I18" s="9" t="n">
        <f aca="false">SUMIFS(Consumo_Diario!$K$5:$K$734,Consumo_Diario!$A$5:$A$734,"&gt;="&amp;$A18,Consumo_Diario!$A$5:$A$734,"&lt;"&amp;DATE(YEAR($A18),MONTH($A18)+1,1))</f>
        <v>0</v>
      </c>
      <c r="J18" s="9" t="n">
        <f aca="false">SUMIFS(Consumo_Diario!$J$5:$J$734,Consumo_Diario!$A$5:$A$734,"&gt;="&amp;$A18,Consumo_Diario!$A$5:$A$734,"&lt;"&amp;DATE(YEAR($A18),MONTH($A18)+1,1))</f>
        <v>0</v>
      </c>
      <c r="K18" s="10" t="str">
        <f aca="false">IF($B18=0,"",I18/$B18)</f>
        <v/>
      </c>
      <c r="L18" s="9" t="n">
        <f aca="false">C18+F18+I18</f>
        <v>0</v>
      </c>
    </row>
    <row r="19" customFormat="false" ht="15" hidden="false" customHeight="false" outlineLevel="0" collapsed="false">
      <c r="A19" s="16" t="n">
        <v>46447</v>
      </c>
      <c r="B19" s="17" t="n">
        <f aca="false">SUMIFS(Consumo_Diario!$B$5:$B$734,Consumo_Diario!$A$5:$A$734,"&gt;="&amp;$A19,Consumo_Diario!$A$5:$A$734,"&lt;"&amp;DATE(YEAR($A19),MONTH($A19)+1,1))</f>
        <v>0</v>
      </c>
      <c r="C19" s="9" t="n">
        <f aca="false">SUMIFS(Consumo_Diario!$E$5:$E$734,Consumo_Diario!$A$5:$A$734,"&gt;="&amp;$A19,Consumo_Diario!$A$5:$A$734,"&lt;"&amp;DATE(YEAR($A19),MONTH($A19)+1,1))</f>
        <v>0</v>
      </c>
      <c r="D19" s="9" t="n">
        <f aca="false">SUMIFS(Consumo_Diario!$D$5:$D$734,Consumo_Diario!$A$5:$A$734,"&gt;="&amp;$A19,Consumo_Diario!$A$5:$A$734,"&lt;"&amp;DATE(YEAR($A19),MONTH($A19)+1,1))</f>
        <v>0</v>
      </c>
      <c r="E19" s="10" t="str">
        <f aca="false">IF($B19=0,"",C19/$B19)</f>
        <v/>
      </c>
      <c r="F19" s="9" t="n">
        <f aca="false">SUMIFS(Consumo_Diario!$H$5:$H$734,Consumo_Diario!$A$5:$A$734,"&gt;="&amp;$A19,Consumo_Diario!$A$5:$A$734,"&lt;"&amp;DATE(YEAR($A19),MONTH($A19)+1,1))</f>
        <v>0</v>
      </c>
      <c r="G19" s="9" t="n">
        <f aca="false">SUMIFS(Consumo_Diario!$G$5:$G$734,Consumo_Diario!$A$5:$A$734,"&gt;="&amp;$A19,Consumo_Diario!$A$5:$A$734,"&lt;"&amp;DATE(YEAR($A19),MONTH($A19)+1,1))</f>
        <v>0</v>
      </c>
      <c r="H19" s="10" t="str">
        <f aca="false">IF($B19=0,"",F19/$B19)</f>
        <v/>
      </c>
      <c r="I19" s="9" t="n">
        <f aca="false">SUMIFS(Consumo_Diario!$K$5:$K$734,Consumo_Diario!$A$5:$A$734,"&gt;="&amp;$A19,Consumo_Diario!$A$5:$A$734,"&lt;"&amp;DATE(YEAR($A19),MONTH($A19)+1,1))</f>
        <v>0</v>
      </c>
      <c r="J19" s="9" t="n">
        <f aca="false">SUMIFS(Consumo_Diario!$J$5:$J$734,Consumo_Diario!$A$5:$A$734,"&gt;="&amp;$A19,Consumo_Diario!$A$5:$A$734,"&lt;"&amp;DATE(YEAR($A19),MONTH($A19)+1,1))</f>
        <v>0</v>
      </c>
      <c r="K19" s="10" t="str">
        <f aca="false">IF($B19=0,"",I19/$B19)</f>
        <v/>
      </c>
      <c r="L19" s="9" t="n">
        <f aca="false">C19+F19+I19</f>
        <v>0</v>
      </c>
    </row>
    <row r="20" customFormat="false" ht="15" hidden="false" customHeight="false" outlineLevel="0" collapsed="false">
      <c r="A20" s="16" t="n">
        <v>46478</v>
      </c>
      <c r="B20" s="17" t="n">
        <f aca="false">SUMIFS(Consumo_Diario!$B$5:$B$734,Consumo_Diario!$A$5:$A$734,"&gt;="&amp;$A20,Consumo_Diario!$A$5:$A$734,"&lt;"&amp;DATE(YEAR($A20),MONTH($A20)+1,1))</f>
        <v>0</v>
      </c>
      <c r="C20" s="9" t="n">
        <f aca="false">SUMIFS(Consumo_Diario!$E$5:$E$734,Consumo_Diario!$A$5:$A$734,"&gt;="&amp;$A20,Consumo_Diario!$A$5:$A$734,"&lt;"&amp;DATE(YEAR($A20),MONTH($A20)+1,1))</f>
        <v>0</v>
      </c>
      <c r="D20" s="9" t="n">
        <f aca="false">SUMIFS(Consumo_Diario!$D$5:$D$734,Consumo_Diario!$A$5:$A$734,"&gt;="&amp;$A20,Consumo_Diario!$A$5:$A$734,"&lt;"&amp;DATE(YEAR($A20),MONTH($A20)+1,1))</f>
        <v>0</v>
      </c>
      <c r="E20" s="10" t="str">
        <f aca="false">IF($B20=0,"",C20/$B20)</f>
        <v/>
      </c>
      <c r="F20" s="9" t="n">
        <f aca="false">SUMIFS(Consumo_Diario!$H$5:$H$734,Consumo_Diario!$A$5:$A$734,"&gt;="&amp;$A20,Consumo_Diario!$A$5:$A$734,"&lt;"&amp;DATE(YEAR($A20),MONTH($A20)+1,1))</f>
        <v>0</v>
      </c>
      <c r="G20" s="9" t="n">
        <f aca="false">SUMIFS(Consumo_Diario!$G$5:$G$734,Consumo_Diario!$A$5:$A$734,"&gt;="&amp;$A20,Consumo_Diario!$A$5:$A$734,"&lt;"&amp;DATE(YEAR($A20),MONTH($A20)+1,1))</f>
        <v>0</v>
      </c>
      <c r="H20" s="10" t="str">
        <f aca="false">IF($B20=0,"",F20/$B20)</f>
        <v/>
      </c>
      <c r="I20" s="9" t="n">
        <f aca="false">SUMIFS(Consumo_Diario!$K$5:$K$734,Consumo_Diario!$A$5:$A$734,"&gt;="&amp;$A20,Consumo_Diario!$A$5:$A$734,"&lt;"&amp;DATE(YEAR($A20),MONTH($A20)+1,1))</f>
        <v>0</v>
      </c>
      <c r="J20" s="9" t="n">
        <f aca="false">SUMIFS(Consumo_Diario!$J$5:$J$734,Consumo_Diario!$A$5:$A$734,"&gt;="&amp;$A20,Consumo_Diario!$A$5:$A$734,"&lt;"&amp;DATE(YEAR($A20),MONTH($A20)+1,1))</f>
        <v>0</v>
      </c>
      <c r="K20" s="10" t="str">
        <f aca="false">IF($B20=0,"",I20/$B20)</f>
        <v/>
      </c>
      <c r="L20" s="9" t="n">
        <f aca="false">C20+F20+I20</f>
        <v>0</v>
      </c>
    </row>
    <row r="21" customFormat="false" ht="15" hidden="false" customHeight="false" outlineLevel="0" collapsed="false">
      <c r="A21" s="16" t="n">
        <v>46508</v>
      </c>
      <c r="B21" s="17" t="n">
        <f aca="false">SUMIFS(Consumo_Diario!$B$5:$B$734,Consumo_Diario!$A$5:$A$734,"&gt;="&amp;$A21,Consumo_Diario!$A$5:$A$734,"&lt;"&amp;DATE(YEAR($A21),MONTH($A21)+1,1))</f>
        <v>0</v>
      </c>
      <c r="C21" s="9" t="n">
        <f aca="false">SUMIFS(Consumo_Diario!$E$5:$E$734,Consumo_Diario!$A$5:$A$734,"&gt;="&amp;$A21,Consumo_Diario!$A$5:$A$734,"&lt;"&amp;DATE(YEAR($A21),MONTH($A21)+1,1))</f>
        <v>0</v>
      </c>
      <c r="D21" s="9" t="n">
        <f aca="false">SUMIFS(Consumo_Diario!$D$5:$D$734,Consumo_Diario!$A$5:$A$734,"&gt;="&amp;$A21,Consumo_Diario!$A$5:$A$734,"&lt;"&amp;DATE(YEAR($A21),MONTH($A21)+1,1))</f>
        <v>0</v>
      </c>
      <c r="E21" s="10" t="str">
        <f aca="false">IF($B21=0,"",C21/$B21)</f>
        <v/>
      </c>
      <c r="F21" s="9" t="n">
        <f aca="false">SUMIFS(Consumo_Diario!$H$5:$H$734,Consumo_Diario!$A$5:$A$734,"&gt;="&amp;$A21,Consumo_Diario!$A$5:$A$734,"&lt;"&amp;DATE(YEAR($A21),MONTH($A21)+1,1))</f>
        <v>0</v>
      </c>
      <c r="G21" s="9" t="n">
        <f aca="false">SUMIFS(Consumo_Diario!$G$5:$G$734,Consumo_Diario!$A$5:$A$734,"&gt;="&amp;$A21,Consumo_Diario!$A$5:$A$734,"&lt;"&amp;DATE(YEAR($A21),MONTH($A21)+1,1))</f>
        <v>0</v>
      </c>
      <c r="H21" s="10" t="str">
        <f aca="false">IF($B21=0,"",F21/$B21)</f>
        <v/>
      </c>
      <c r="I21" s="9" t="n">
        <f aca="false">SUMIFS(Consumo_Diario!$K$5:$K$734,Consumo_Diario!$A$5:$A$734,"&gt;="&amp;$A21,Consumo_Diario!$A$5:$A$734,"&lt;"&amp;DATE(YEAR($A21),MONTH($A21)+1,1))</f>
        <v>0</v>
      </c>
      <c r="J21" s="9" t="n">
        <f aca="false">SUMIFS(Consumo_Diario!$J$5:$J$734,Consumo_Diario!$A$5:$A$734,"&gt;="&amp;$A21,Consumo_Diario!$A$5:$A$734,"&lt;"&amp;DATE(YEAR($A21),MONTH($A21)+1,1))</f>
        <v>0</v>
      </c>
      <c r="K21" s="10" t="str">
        <f aca="false">IF($B21=0,"",I21/$B21)</f>
        <v/>
      </c>
      <c r="L21" s="9" t="n">
        <f aca="false">C21+F21+I21</f>
        <v>0</v>
      </c>
    </row>
    <row r="22" customFormat="false" ht="15" hidden="false" customHeight="false" outlineLevel="0" collapsed="false">
      <c r="A22" s="16" t="n">
        <v>46539</v>
      </c>
      <c r="B22" s="17" t="n">
        <f aca="false">SUMIFS(Consumo_Diario!$B$5:$B$734,Consumo_Diario!$A$5:$A$734,"&gt;="&amp;$A22,Consumo_Diario!$A$5:$A$734,"&lt;"&amp;DATE(YEAR($A22),MONTH($A22)+1,1))</f>
        <v>0</v>
      </c>
      <c r="C22" s="9" t="n">
        <f aca="false">SUMIFS(Consumo_Diario!$E$5:$E$734,Consumo_Diario!$A$5:$A$734,"&gt;="&amp;$A22,Consumo_Diario!$A$5:$A$734,"&lt;"&amp;DATE(YEAR($A22),MONTH($A22)+1,1))</f>
        <v>0</v>
      </c>
      <c r="D22" s="9" t="n">
        <f aca="false">SUMIFS(Consumo_Diario!$D$5:$D$734,Consumo_Diario!$A$5:$A$734,"&gt;="&amp;$A22,Consumo_Diario!$A$5:$A$734,"&lt;"&amp;DATE(YEAR($A22),MONTH($A22)+1,1))</f>
        <v>0</v>
      </c>
      <c r="E22" s="10" t="str">
        <f aca="false">IF($B22=0,"",C22/$B22)</f>
        <v/>
      </c>
      <c r="F22" s="9" t="n">
        <f aca="false">SUMIFS(Consumo_Diario!$H$5:$H$734,Consumo_Diario!$A$5:$A$734,"&gt;="&amp;$A22,Consumo_Diario!$A$5:$A$734,"&lt;"&amp;DATE(YEAR($A22),MONTH($A22)+1,1))</f>
        <v>0</v>
      </c>
      <c r="G22" s="9" t="n">
        <f aca="false">SUMIFS(Consumo_Diario!$G$5:$G$734,Consumo_Diario!$A$5:$A$734,"&gt;="&amp;$A22,Consumo_Diario!$A$5:$A$734,"&lt;"&amp;DATE(YEAR($A22),MONTH($A22)+1,1))</f>
        <v>0</v>
      </c>
      <c r="H22" s="10" t="str">
        <f aca="false">IF($B22=0,"",F22/$B22)</f>
        <v/>
      </c>
      <c r="I22" s="9" t="n">
        <f aca="false">SUMIFS(Consumo_Diario!$K$5:$K$734,Consumo_Diario!$A$5:$A$734,"&gt;="&amp;$A22,Consumo_Diario!$A$5:$A$734,"&lt;"&amp;DATE(YEAR($A22),MONTH($A22)+1,1))</f>
        <v>0</v>
      </c>
      <c r="J22" s="9" t="n">
        <f aca="false">SUMIFS(Consumo_Diario!$J$5:$J$734,Consumo_Diario!$A$5:$A$734,"&gt;="&amp;$A22,Consumo_Diario!$A$5:$A$734,"&lt;"&amp;DATE(YEAR($A22),MONTH($A22)+1,1))</f>
        <v>0</v>
      </c>
      <c r="K22" s="10" t="str">
        <f aca="false">IF($B22=0,"",I22/$B22)</f>
        <v/>
      </c>
      <c r="L22" s="9" t="n">
        <f aca="false">C22+F22+I22</f>
        <v>0</v>
      </c>
    </row>
    <row r="23" customFormat="false" ht="15" hidden="false" customHeight="false" outlineLevel="0" collapsed="false">
      <c r="A23" s="16" t="n">
        <v>46569</v>
      </c>
      <c r="B23" s="17" t="n">
        <f aca="false">SUMIFS(Consumo_Diario!$B$5:$B$734,Consumo_Diario!$A$5:$A$734,"&gt;="&amp;$A23,Consumo_Diario!$A$5:$A$734,"&lt;"&amp;DATE(YEAR($A23),MONTH($A23)+1,1))</f>
        <v>0</v>
      </c>
      <c r="C23" s="9" t="n">
        <f aca="false">SUMIFS(Consumo_Diario!$E$5:$E$734,Consumo_Diario!$A$5:$A$734,"&gt;="&amp;$A23,Consumo_Diario!$A$5:$A$734,"&lt;"&amp;DATE(YEAR($A23),MONTH($A23)+1,1))</f>
        <v>0</v>
      </c>
      <c r="D23" s="9" t="n">
        <f aca="false">SUMIFS(Consumo_Diario!$D$5:$D$734,Consumo_Diario!$A$5:$A$734,"&gt;="&amp;$A23,Consumo_Diario!$A$5:$A$734,"&lt;"&amp;DATE(YEAR($A23),MONTH($A23)+1,1))</f>
        <v>0</v>
      </c>
      <c r="E23" s="10" t="str">
        <f aca="false">IF($B23=0,"",C23/$B23)</f>
        <v/>
      </c>
      <c r="F23" s="9" t="n">
        <f aca="false">SUMIFS(Consumo_Diario!$H$5:$H$734,Consumo_Diario!$A$5:$A$734,"&gt;="&amp;$A23,Consumo_Diario!$A$5:$A$734,"&lt;"&amp;DATE(YEAR($A23),MONTH($A23)+1,1))</f>
        <v>0</v>
      </c>
      <c r="G23" s="9" t="n">
        <f aca="false">SUMIFS(Consumo_Diario!$G$5:$G$734,Consumo_Diario!$A$5:$A$734,"&gt;="&amp;$A23,Consumo_Diario!$A$5:$A$734,"&lt;"&amp;DATE(YEAR($A23),MONTH($A23)+1,1))</f>
        <v>0</v>
      </c>
      <c r="H23" s="10" t="str">
        <f aca="false">IF($B23=0,"",F23/$B23)</f>
        <v/>
      </c>
      <c r="I23" s="9" t="n">
        <f aca="false">SUMIFS(Consumo_Diario!$K$5:$K$734,Consumo_Diario!$A$5:$A$734,"&gt;="&amp;$A23,Consumo_Diario!$A$5:$A$734,"&lt;"&amp;DATE(YEAR($A23),MONTH($A23)+1,1))</f>
        <v>0</v>
      </c>
      <c r="J23" s="9" t="n">
        <f aca="false">SUMIFS(Consumo_Diario!$J$5:$J$734,Consumo_Diario!$A$5:$A$734,"&gt;="&amp;$A23,Consumo_Diario!$A$5:$A$734,"&lt;"&amp;DATE(YEAR($A23),MONTH($A23)+1,1))</f>
        <v>0</v>
      </c>
      <c r="K23" s="10" t="str">
        <f aca="false">IF($B23=0,"",I23/$B23)</f>
        <v/>
      </c>
      <c r="L23" s="9" t="n">
        <f aca="false">C23+F23+I23</f>
        <v>0</v>
      </c>
    </row>
    <row r="24" customFormat="false" ht="15" hidden="false" customHeight="false" outlineLevel="0" collapsed="false">
      <c r="A24" s="16" t="n">
        <v>46600</v>
      </c>
      <c r="B24" s="17" t="n">
        <f aca="false">SUMIFS(Consumo_Diario!$B$5:$B$734,Consumo_Diario!$A$5:$A$734,"&gt;="&amp;$A24,Consumo_Diario!$A$5:$A$734,"&lt;"&amp;DATE(YEAR($A24),MONTH($A24)+1,1))</f>
        <v>0</v>
      </c>
      <c r="C24" s="9" t="n">
        <f aca="false">SUMIFS(Consumo_Diario!$E$5:$E$734,Consumo_Diario!$A$5:$A$734,"&gt;="&amp;$A24,Consumo_Diario!$A$5:$A$734,"&lt;"&amp;DATE(YEAR($A24),MONTH($A24)+1,1))</f>
        <v>0</v>
      </c>
      <c r="D24" s="9" t="n">
        <f aca="false">SUMIFS(Consumo_Diario!$D$5:$D$734,Consumo_Diario!$A$5:$A$734,"&gt;="&amp;$A24,Consumo_Diario!$A$5:$A$734,"&lt;"&amp;DATE(YEAR($A24),MONTH($A24)+1,1))</f>
        <v>0</v>
      </c>
      <c r="E24" s="10" t="str">
        <f aca="false">IF($B24=0,"",C24/$B24)</f>
        <v/>
      </c>
      <c r="F24" s="9" t="n">
        <f aca="false">SUMIFS(Consumo_Diario!$H$5:$H$734,Consumo_Diario!$A$5:$A$734,"&gt;="&amp;$A24,Consumo_Diario!$A$5:$A$734,"&lt;"&amp;DATE(YEAR($A24),MONTH($A24)+1,1))</f>
        <v>0</v>
      </c>
      <c r="G24" s="9" t="n">
        <f aca="false">SUMIFS(Consumo_Diario!$G$5:$G$734,Consumo_Diario!$A$5:$A$734,"&gt;="&amp;$A24,Consumo_Diario!$A$5:$A$734,"&lt;"&amp;DATE(YEAR($A24),MONTH($A24)+1,1))</f>
        <v>0</v>
      </c>
      <c r="H24" s="10" t="str">
        <f aca="false">IF($B24=0,"",F24/$B24)</f>
        <v/>
      </c>
      <c r="I24" s="9" t="n">
        <f aca="false">SUMIFS(Consumo_Diario!$K$5:$K$734,Consumo_Diario!$A$5:$A$734,"&gt;="&amp;$A24,Consumo_Diario!$A$5:$A$734,"&lt;"&amp;DATE(YEAR($A24),MONTH($A24)+1,1))</f>
        <v>0</v>
      </c>
      <c r="J24" s="9" t="n">
        <f aca="false">SUMIFS(Consumo_Diario!$J$5:$J$734,Consumo_Diario!$A$5:$A$734,"&gt;="&amp;$A24,Consumo_Diario!$A$5:$A$734,"&lt;"&amp;DATE(YEAR($A24),MONTH($A24)+1,1))</f>
        <v>0</v>
      </c>
      <c r="K24" s="10" t="str">
        <f aca="false">IF($B24=0,"",I24/$B24)</f>
        <v/>
      </c>
      <c r="L24" s="9" t="n">
        <f aca="false">C24+F24+I24</f>
        <v>0</v>
      </c>
    </row>
    <row r="25" customFormat="false" ht="15" hidden="false" customHeight="false" outlineLevel="0" collapsed="false">
      <c r="A25" s="16" t="n">
        <v>46631</v>
      </c>
      <c r="B25" s="17" t="n">
        <f aca="false">SUMIFS(Consumo_Diario!$B$5:$B$734,Consumo_Diario!$A$5:$A$734,"&gt;="&amp;$A25,Consumo_Diario!$A$5:$A$734,"&lt;"&amp;DATE(YEAR($A25),MONTH($A25)+1,1))</f>
        <v>0</v>
      </c>
      <c r="C25" s="9" t="n">
        <f aca="false">SUMIFS(Consumo_Diario!$E$5:$E$734,Consumo_Diario!$A$5:$A$734,"&gt;="&amp;$A25,Consumo_Diario!$A$5:$A$734,"&lt;"&amp;DATE(YEAR($A25),MONTH($A25)+1,1))</f>
        <v>0</v>
      </c>
      <c r="D25" s="9" t="n">
        <f aca="false">SUMIFS(Consumo_Diario!$D$5:$D$734,Consumo_Diario!$A$5:$A$734,"&gt;="&amp;$A25,Consumo_Diario!$A$5:$A$734,"&lt;"&amp;DATE(YEAR($A25),MONTH($A25)+1,1))</f>
        <v>0</v>
      </c>
      <c r="E25" s="10" t="str">
        <f aca="false">IF($B25=0,"",C25/$B25)</f>
        <v/>
      </c>
      <c r="F25" s="9" t="n">
        <f aca="false">SUMIFS(Consumo_Diario!$H$5:$H$734,Consumo_Diario!$A$5:$A$734,"&gt;="&amp;$A25,Consumo_Diario!$A$5:$A$734,"&lt;"&amp;DATE(YEAR($A25),MONTH($A25)+1,1))</f>
        <v>0</v>
      </c>
      <c r="G25" s="9" t="n">
        <f aca="false">SUMIFS(Consumo_Diario!$G$5:$G$734,Consumo_Diario!$A$5:$A$734,"&gt;="&amp;$A25,Consumo_Diario!$A$5:$A$734,"&lt;"&amp;DATE(YEAR($A25),MONTH($A25)+1,1))</f>
        <v>0</v>
      </c>
      <c r="H25" s="10" t="str">
        <f aca="false">IF($B25=0,"",F25/$B25)</f>
        <v/>
      </c>
      <c r="I25" s="9" t="n">
        <f aca="false">SUMIFS(Consumo_Diario!$K$5:$K$734,Consumo_Diario!$A$5:$A$734,"&gt;="&amp;$A25,Consumo_Diario!$A$5:$A$734,"&lt;"&amp;DATE(YEAR($A25),MONTH($A25)+1,1))</f>
        <v>0</v>
      </c>
      <c r="J25" s="9" t="n">
        <f aca="false">SUMIFS(Consumo_Diario!$J$5:$J$734,Consumo_Diario!$A$5:$A$734,"&gt;="&amp;$A25,Consumo_Diario!$A$5:$A$734,"&lt;"&amp;DATE(YEAR($A25),MONTH($A25)+1,1))</f>
        <v>0</v>
      </c>
      <c r="K25" s="10" t="str">
        <f aca="false">IF($B25=0,"",I25/$B25)</f>
        <v/>
      </c>
      <c r="L25" s="9" t="n">
        <f aca="false">C25+F25+I25</f>
        <v>0</v>
      </c>
    </row>
    <row r="26" customFormat="false" ht="15" hidden="false" customHeight="false" outlineLevel="0" collapsed="false">
      <c r="A26" s="16" t="n">
        <v>46661</v>
      </c>
      <c r="B26" s="17" t="n">
        <f aca="false">SUMIFS(Consumo_Diario!$B$5:$B$734,Consumo_Diario!$A$5:$A$734,"&gt;="&amp;$A26,Consumo_Diario!$A$5:$A$734,"&lt;"&amp;DATE(YEAR($A26),MONTH($A26)+1,1))</f>
        <v>0</v>
      </c>
      <c r="C26" s="9" t="n">
        <f aca="false">SUMIFS(Consumo_Diario!$E$5:$E$734,Consumo_Diario!$A$5:$A$734,"&gt;="&amp;$A26,Consumo_Diario!$A$5:$A$734,"&lt;"&amp;DATE(YEAR($A26),MONTH($A26)+1,1))</f>
        <v>0</v>
      </c>
      <c r="D26" s="9" t="n">
        <f aca="false">SUMIFS(Consumo_Diario!$D$5:$D$734,Consumo_Diario!$A$5:$A$734,"&gt;="&amp;$A26,Consumo_Diario!$A$5:$A$734,"&lt;"&amp;DATE(YEAR($A26),MONTH($A26)+1,1))</f>
        <v>0</v>
      </c>
      <c r="E26" s="10" t="str">
        <f aca="false">IF($B26=0,"",C26/$B26)</f>
        <v/>
      </c>
      <c r="F26" s="9" t="n">
        <f aca="false">SUMIFS(Consumo_Diario!$H$5:$H$734,Consumo_Diario!$A$5:$A$734,"&gt;="&amp;$A26,Consumo_Diario!$A$5:$A$734,"&lt;"&amp;DATE(YEAR($A26),MONTH($A26)+1,1))</f>
        <v>0</v>
      </c>
      <c r="G26" s="9" t="n">
        <f aca="false">SUMIFS(Consumo_Diario!$G$5:$G$734,Consumo_Diario!$A$5:$A$734,"&gt;="&amp;$A26,Consumo_Diario!$A$5:$A$734,"&lt;"&amp;DATE(YEAR($A26),MONTH($A26)+1,1))</f>
        <v>0</v>
      </c>
      <c r="H26" s="10" t="str">
        <f aca="false">IF($B26=0,"",F26/$B26)</f>
        <v/>
      </c>
      <c r="I26" s="9" t="n">
        <f aca="false">SUMIFS(Consumo_Diario!$K$5:$K$734,Consumo_Diario!$A$5:$A$734,"&gt;="&amp;$A26,Consumo_Diario!$A$5:$A$734,"&lt;"&amp;DATE(YEAR($A26),MONTH($A26)+1,1))</f>
        <v>0</v>
      </c>
      <c r="J26" s="9" t="n">
        <f aca="false">SUMIFS(Consumo_Diario!$J$5:$J$734,Consumo_Diario!$A$5:$A$734,"&gt;="&amp;$A26,Consumo_Diario!$A$5:$A$734,"&lt;"&amp;DATE(YEAR($A26),MONTH($A26)+1,1))</f>
        <v>0</v>
      </c>
      <c r="K26" s="10" t="str">
        <f aca="false">IF($B26=0,"",I26/$B26)</f>
        <v/>
      </c>
      <c r="L26" s="9" t="n">
        <f aca="false">C26+F26+I26</f>
        <v>0</v>
      </c>
    </row>
    <row r="27" customFormat="false" ht="15" hidden="false" customHeight="false" outlineLevel="0" collapsed="false">
      <c r="A27" s="16" t="n">
        <v>46692</v>
      </c>
      <c r="B27" s="17" t="n">
        <f aca="false">SUMIFS(Consumo_Diario!$B$5:$B$734,Consumo_Diario!$A$5:$A$734,"&gt;="&amp;$A27,Consumo_Diario!$A$5:$A$734,"&lt;"&amp;DATE(YEAR($A27),MONTH($A27)+1,1))</f>
        <v>0</v>
      </c>
      <c r="C27" s="9" t="n">
        <f aca="false">SUMIFS(Consumo_Diario!$E$5:$E$734,Consumo_Diario!$A$5:$A$734,"&gt;="&amp;$A27,Consumo_Diario!$A$5:$A$734,"&lt;"&amp;DATE(YEAR($A27),MONTH($A27)+1,1))</f>
        <v>0</v>
      </c>
      <c r="D27" s="9" t="n">
        <f aca="false">SUMIFS(Consumo_Diario!$D$5:$D$734,Consumo_Diario!$A$5:$A$734,"&gt;="&amp;$A27,Consumo_Diario!$A$5:$A$734,"&lt;"&amp;DATE(YEAR($A27),MONTH($A27)+1,1))</f>
        <v>0</v>
      </c>
      <c r="E27" s="10" t="str">
        <f aca="false">IF($B27=0,"",C27/$B27)</f>
        <v/>
      </c>
      <c r="F27" s="9" t="n">
        <f aca="false">SUMIFS(Consumo_Diario!$H$5:$H$734,Consumo_Diario!$A$5:$A$734,"&gt;="&amp;$A27,Consumo_Diario!$A$5:$A$734,"&lt;"&amp;DATE(YEAR($A27),MONTH($A27)+1,1))</f>
        <v>0</v>
      </c>
      <c r="G27" s="9" t="n">
        <f aca="false">SUMIFS(Consumo_Diario!$G$5:$G$734,Consumo_Diario!$A$5:$A$734,"&gt;="&amp;$A27,Consumo_Diario!$A$5:$A$734,"&lt;"&amp;DATE(YEAR($A27),MONTH($A27)+1,1))</f>
        <v>0</v>
      </c>
      <c r="H27" s="10" t="str">
        <f aca="false">IF($B27=0,"",F27/$B27)</f>
        <v/>
      </c>
      <c r="I27" s="9" t="n">
        <f aca="false">SUMIFS(Consumo_Diario!$K$5:$K$734,Consumo_Diario!$A$5:$A$734,"&gt;="&amp;$A27,Consumo_Diario!$A$5:$A$734,"&lt;"&amp;DATE(YEAR($A27),MONTH($A27)+1,1))</f>
        <v>0</v>
      </c>
      <c r="J27" s="9" t="n">
        <f aca="false">SUMIFS(Consumo_Diario!$J$5:$J$734,Consumo_Diario!$A$5:$A$734,"&gt;="&amp;$A27,Consumo_Diario!$A$5:$A$734,"&lt;"&amp;DATE(YEAR($A27),MONTH($A27)+1,1))</f>
        <v>0</v>
      </c>
      <c r="K27" s="10" t="str">
        <f aca="false">IF($B27=0,"",I27/$B27)</f>
        <v/>
      </c>
      <c r="L27" s="9" t="n">
        <f aca="false">C27+F27+I27</f>
        <v>0</v>
      </c>
    </row>
    <row r="28" customFormat="false" ht="15" hidden="false" customHeight="false" outlineLevel="0" collapsed="false">
      <c r="A28" s="16" t="n">
        <v>46722</v>
      </c>
      <c r="B28" s="17" t="n">
        <f aca="false">SUMIFS(Consumo_Diario!$B$5:$B$734,Consumo_Diario!$A$5:$A$734,"&gt;="&amp;$A28,Consumo_Diario!$A$5:$A$734,"&lt;"&amp;DATE(YEAR($A28),MONTH($A28)+1,1))</f>
        <v>0</v>
      </c>
      <c r="C28" s="9" t="n">
        <f aca="false">SUMIFS(Consumo_Diario!$E$5:$E$734,Consumo_Diario!$A$5:$A$734,"&gt;="&amp;$A28,Consumo_Diario!$A$5:$A$734,"&lt;"&amp;DATE(YEAR($A28),MONTH($A28)+1,1))</f>
        <v>0</v>
      </c>
      <c r="D28" s="9" t="n">
        <f aca="false">SUMIFS(Consumo_Diario!$D$5:$D$734,Consumo_Diario!$A$5:$A$734,"&gt;="&amp;$A28,Consumo_Diario!$A$5:$A$734,"&lt;"&amp;DATE(YEAR($A28),MONTH($A28)+1,1))</f>
        <v>0</v>
      </c>
      <c r="E28" s="10" t="str">
        <f aca="false">IF($B28=0,"",C28/$B28)</f>
        <v/>
      </c>
      <c r="F28" s="9" t="n">
        <f aca="false">SUMIFS(Consumo_Diario!$H$5:$H$734,Consumo_Diario!$A$5:$A$734,"&gt;="&amp;$A28,Consumo_Diario!$A$5:$A$734,"&lt;"&amp;DATE(YEAR($A28),MONTH($A28)+1,1))</f>
        <v>0</v>
      </c>
      <c r="G28" s="9" t="n">
        <f aca="false">SUMIFS(Consumo_Diario!$G$5:$G$734,Consumo_Diario!$A$5:$A$734,"&gt;="&amp;$A28,Consumo_Diario!$A$5:$A$734,"&lt;"&amp;DATE(YEAR($A28),MONTH($A28)+1,1))</f>
        <v>0</v>
      </c>
      <c r="H28" s="10" t="str">
        <f aca="false">IF($B28=0,"",F28/$B28)</f>
        <v/>
      </c>
      <c r="I28" s="9" t="n">
        <f aca="false">SUMIFS(Consumo_Diario!$K$5:$K$734,Consumo_Diario!$A$5:$A$734,"&gt;="&amp;$A28,Consumo_Diario!$A$5:$A$734,"&lt;"&amp;DATE(YEAR($A28),MONTH($A28)+1,1))</f>
        <v>0</v>
      </c>
      <c r="J28" s="9" t="n">
        <f aca="false">SUMIFS(Consumo_Diario!$J$5:$J$734,Consumo_Diario!$A$5:$A$734,"&gt;="&amp;$A28,Consumo_Diario!$A$5:$A$734,"&lt;"&amp;DATE(YEAR($A28),MONTH($A28)+1,1))</f>
        <v>0</v>
      </c>
      <c r="K28" s="10" t="str">
        <f aca="false">IF($B28=0,"",I28/$B28)</f>
        <v/>
      </c>
      <c r="L28" s="9" t="n">
        <f aca="false">C28+F28+I28</f>
        <v>0</v>
      </c>
    </row>
    <row r="29" customFormat="false" ht="15" hidden="false" customHeight="false" outlineLevel="0" collapsed="false">
      <c r="A29" s="16" t="n">
        <v>46753</v>
      </c>
      <c r="B29" s="17" t="n">
        <f aca="false">SUMIFS(Consumo_Diario!$B$5:$B$734,Consumo_Diario!$A$5:$A$734,"&gt;="&amp;$A29,Consumo_Diario!$A$5:$A$734,"&lt;"&amp;DATE(YEAR($A29),MONTH($A29)+1,1))</f>
        <v>0</v>
      </c>
      <c r="C29" s="9" t="n">
        <f aca="false">SUMIFS(Consumo_Diario!$E$5:$E$734,Consumo_Diario!$A$5:$A$734,"&gt;="&amp;$A29,Consumo_Diario!$A$5:$A$734,"&lt;"&amp;DATE(YEAR($A29),MONTH($A29)+1,1))</f>
        <v>0</v>
      </c>
      <c r="D29" s="9" t="n">
        <f aca="false">SUMIFS(Consumo_Diario!$D$5:$D$734,Consumo_Diario!$A$5:$A$734,"&gt;="&amp;$A29,Consumo_Diario!$A$5:$A$734,"&lt;"&amp;DATE(YEAR($A29),MONTH($A29)+1,1))</f>
        <v>0</v>
      </c>
      <c r="E29" s="10" t="str">
        <f aca="false">IF($B29=0,"",C29/$B29)</f>
        <v/>
      </c>
      <c r="F29" s="9" t="n">
        <f aca="false">SUMIFS(Consumo_Diario!$H$5:$H$734,Consumo_Diario!$A$5:$A$734,"&gt;="&amp;$A29,Consumo_Diario!$A$5:$A$734,"&lt;"&amp;DATE(YEAR($A29),MONTH($A29)+1,1))</f>
        <v>0</v>
      </c>
      <c r="G29" s="9" t="n">
        <f aca="false">SUMIFS(Consumo_Diario!$G$5:$G$734,Consumo_Diario!$A$5:$A$734,"&gt;="&amp;$A29,Consumo_Diario!$A$5:$A$734,"&lt;"&amp;DATE(YEAR($A29),MONTH($A29)+1,1))</f>
        <v>0</v>
      </c>
      <c r="H29" s="10" t="str">
        <f aca="false">IF($B29=0,"",F29/$B29)</f>
        <v/>
      </c>
      <c r="I29" s="9" t="n">
        <f aca="false">SUMIFS(Consumo_Diario!$K$5:$K$734,Consumo_Diario!$A$5:$A$734,"&gt;="&amp;$A29,Consumo_Diario!$A$5:$A$734,"&lt;"&amp;DATE(YEAR($A29),MONTH($A29)+1,1))</f>
        <v>0</v>
      </c>
      <c r="J29" s="9" t="n">
        <f aca="false">SUMIFS(Consumo_Diario!$J$5:$J$734,Consumo_Diario!$A$5:$A$734,"&gt;="&amp;$A29,Consumo_Diario!$A$5:$A$734,"&lt;"&amp;DATE(YEAR($A29),MONTH($A29)+1,1))</f>
        <v>0</v>
      </c>
      <c r="K29" s="10" t="str">
        <f aca="false">IF($B29=0,"",I29/$B29)</f>
        <v/>
      </c>
      <c r="L29" s="9" t="n">
        <f aca="false">C29+F29+I29</f>
        <v>0</v>
      </c>
    </row>
    <row r="30" customFormat="false" ht="15" hidden="false" customHeight="false" outlineLevel="0" collapsed="false">
      <c r="A30" s="16" t="n">
        <v>46784</v>
      </c>
      <c r="B30" s="17" t="n">
        <f aca="false">SUMIFS(Consumo_Diario!$B$5:$B$734,Consumo_Diario!$A$5:$A$734,"&gt;="&amp;$A30,Consumo_Diario!$A$5:$A$734,"&lt;"&amp;DATE(YEAR($A30),MONTH($A30)+1,1))</f>
        <v>0</v>
      </c>
      <c r="C30" s="9" t="n">
        <f aca="false">SUMIFS(Consumo_Diario!$E$5:$E$734,Consumo_Diario!$A$5:$A$734,"&gt;="&amp;$A30,Consumo_Diario!$A$5:$A$734,"&lt;"&amp;DATE(YEAR($A30),MONTH($A30)+1,1))</f>
        <v>0</v>
      </c>
      <c r="D30" s="9" t="n">
        <f aca="false">SUMIFS(Consumo_Diario!$D$5:$D$734,Consumo_Diario!$A$5:$A$734,"&gt;="&amp;$A30,Consumo_Diario!$A$5:$A$734,"&lt;"&amp;DATE(YEAR($A30),MONTH($A30)+1,1))</f>
        <v>0</v>
      </c>
      <c r="E30" s="10" t="str">
        <f aca="false">IF($B30=0,"",C30/$B30)</f>
        <v/>
      </c>
      <c r="F30" s="9" t="n">
        <f aca="false">SUMIFS(Consumo_Diario!$H$5:$H$734,Consumo_Diario!$A$5:$A$734,"&gt;="&amp;$A30,Consumo_Diario!$A$5:$A$734,"&lt;"&amp;DATE(YEAR($A30),MONTH($A30)+1,1))</f>
        <v>0</v>
      </c>
      <c r="G30" s="9" t="n">
        <f aca="false">SUMIFS(Consumo_Diario!$G$5:$G$734,Consumo_Diario!$A$5:$A$734,"&gt;="&amp;$A30,Consumo_Diario!$A$5:$A$734,"&lt;"&amp;DATE(YEAR($A30),MONTH($A30)+1,1))</f>
        <v>0</v>
      </c>
      <c r="H30" s="10" t="str">
        <f aca="false">IF($B30=0,"",F30/$B30)</f>
        <v/>
      </c>
      <c r="I30" s="9" t="n">
        <f aca="false">SUMIFS(Consumo_Diario!$K$5:$K$734,Consumo_Diario!$A$5:$A$734,"&gt;="&amp;$A30,Consumo_Diario!$A$5:$A$734,"&lt;"&amp;DATE(YEAR($A30),MONTH($A30)+1,1))</f>
        <v>0</v>
      </c>
      <c r="J30" s="9" t="n">
        <f aca="false">SUMIFS(Consumo_Diario!$J$5:$J$734,Consumo_Diario!$A$5:$A$734,"&gt;="&amp;$A30,Consumo_Diario!$A$5:$A$734,"&lt;"&amp;DATE(YEAR($A30),MONTH($A30)+1,1))</f>
        <v>0</v>
      </c>
      <c r="K30" s="10" t="str">
        <f aca="false">IF($B30=0,"",I30/$B30)</f>
        <v/>
      </c>
      <c r="L30" s="9" t="n">
        <f aca="false">C30+F30+I30</f>
        <v>0</v>
      </c>
    </row>
    <row r="31" customFormat="false" ht="15" hidden="false" customHeight="false" outlineLevel="0" collapsed="false">
      <c r="A31" s="16" t="n">
        <v>46813</v>
      </c>
      <c r="B31" s="17" t="n">
        <f aca="false">SUMIFS(Consumo_Diario!$B$5:$B$734,Consumo_Diario!$A$5:$A$734,"&gt;="&amp;$A31,Consumo_Diario!$A$5:$A$734,"&lt;"&amp;DATE(YEAR($A31),MONTH($A31)+1,1))</f>
        <v>0</v>
      </c>
      <c r="C31" s="9" t="n">
        <f aca="false">SUMIFS(Consumo_Diario!$E$5:$E$734,Consumo_Diario!$A$5:$A$734,"&gt;="&amp;$A31,Consumo_Diario!$A$5:$A$734,"&lt;"&amp;DATE(YEAR($A31),MONTH($A31)+1,1))</f>
        <v>0</v>
      </c>
      <c r="D31" s="9" t="n">
        <f aca="false">SUMIFS(Consumo_Diario!$D$5:$D$734,Consumo_Diario!$A$5:$A$734,"&gt;="&amp;$A31,Consumo_Diario!$A$5:$A$734,"&lt;"&amp;DATE(YEAR($A31),MONTH($A31)+1,1))</f>
        <v>0</v>
      </c>
      <c r="E31" s="10" t="str">
        <f aca="false">IF($B31=0,"",C31/$B31)</f>
        <v/>
      </c>
      <c r="F31" s="9" t="n">
        <f aca="false">SUMIFS(Consumo_Diario!$H$5:$H$734,Consumo_Diario!$A$5:$A$734,"&gt;="&amp;$A31,Consumo_Diario!$A$5:$A$734,"&lt;"&amp;DATE(YEAR($A31),MONTH($A31)+1,1))</f>
        <v>0</v>
      </c>
      <c r="G31" s="9" t="n">
        <f aca="false">SUMIFS(Consumo_Diario!$G$5:$G$734,Consumo_Diario!$A$5:$A$734,"&gt;="&amp;$A31,Consumo_Diario!$A$5:$A$734,"&lt;"&amp;DATE(YEAR($A31),MONTH($A31)+1,1))</f>
        <v>0</v>
      </c>
      <c r="H31" s="10" t="str">
        <f aca="false">IF($B31=0,"",F31/$B31)</f>
        <v/>
      </c>
      <c r="I31" s="9" t="n">
        <f aca="false">SUMIFS(Consumo_Diario!$K$5:$K$734,Consumo_Diario!$A$5:$A$734,"&gt;="&amp;$A31,Consumo_Diario!$A$5:$A$734,"&lt;"&amp;DATE(YEAR($A31),MONTH($A31)+1,1))</f>
        <v>0</v>
      </c>
      <c r="J31" s="9" t="n">
        <f aca="false">SUMIFS(Consumo_Diario!$J$5:$J$734,Consumo_Diario!$A$5:$A$734,"&gt;="&amp;$A31,Consumo_Diario!$A$5:$A$734,"&lt;"&amp;DATE(YEAR($A31),MONTH($A31)+1,1))</f>
        <v>0</v>
      </c>
      <c r="K31" s="10" t="str">
        <f aca="false">IF($B31=0,"",I31/$B31)</f>
        <v/>
      </c>
      <c r="L31" s="9" t="n">
        <f aca="false">C31+F31+I31</f>
        <v>0</v>
      </c>
    </row>
    <row r="32" customFormat="false" ht="15" hidden="false" customHeight="false" outlineLevel="0" collapsed="false">
      <c r="A32" s="16" t="n">
        <v>46844</v>
      </c>
      <c r="B32" s="17" t="n">
        <f aca="false">SUMIFS(Consumo_Diario!$B$5:$B$734,Consumo_Diario!$A$5:$A$734,"&gt;="&amp;$A32,Consumo_Diario!$A$5:$A$734,"&lt;"&amp;DATE(YEAR($A32),MONTH($A32)+1,1))</f>
        <v>0</v>
      </c>
      <c r="C32" s="9" t="n">
        <f aca="false">SUMIFS(Consumo_Diario!$E$5:$E$734,Consumo_Diario!$A$5:$A$734,"&gt;="&amp;$A32,Consumo_Diario!$A$5:$A$734,"&lt;"&amp;DATE(YEAR($A32),MONTH($A32)+1,1))</f>
        <v>0</v>
      </c>
      <c r="D32" s="9" t="n">
        <f aca="false">SUMIFS(Consumo_Diario!$D$5:$D$734,Consumo_Diario!$A$5:$A$734,"&gt;="&amp;$A32,Consumo_Diario!$A$5:$A$734,"&lt;"&amp;DATE(YEAR($A32),MONTH($A32)+1,1))</f>
        <v>0</v>
      </c>
      <c r="E32" s="10" t="str">
        <f aca="false">IF($B32=0,"",C32/$B32)</f>
        <v/>
      </c>
      <c r="F32" s="9" t="n">
        <f aca="false">SUMIFS(Consumo_Diario!$H$5:$H$734,Consumo_Diario!$A$5:$A$734,"&gt;="&amp;$A32,Consumo_Diario!$A$5:$A$734,"&lt;"&amp;DATE(YEAR($A32),MONTH($A32)+1,1))</f>
        <v>0</v>
      </c>
      <c r="G32" s="9" t="n">
        <f aca="false">SUMIFS(Consumo_Diario!$G$5:$G$734,Consumo_Diario!$A$5:$A$734,"&gt;="&amp;$A32,Consumo_Diario!$A$5:$A$734,"&lt;"&amp;DATE(YEAR($A32),MONTH($A32)+1,1))</f>
        <v>0</v>
      </c>
      <c r="H32" s="10" t="str">
        <f aca="false">IF($B32=0,"",F32/$B32)</f>
        <v/>
      </c>
      <c r="I32" s="9" t="n">
        <f aca="false">SUMIFS(Consumo_Diario!$K$5:$K$734,Consumo_Diario!$A$5:$A$734,"&gt;="&amp;$A32,Consumo_Diario!$A$5:$A$734,"&lt;"&amp;DATE(YEAR($A32),MONTH($A32)+1,1))</f>
        <v>0</v>
      </c>
      <c r="J32" s="9" t="n">
        <f aca="false">SUMIFS(Consumo_Diario!$J$5:$J$734,Consumo_Diario!$A$5:$A$734,"&gt;="&amp;$A32,Consumo_Diario!$A$5:$A$734,"&lt;"&amp;DATE(YEAR($A32),MONTH($A32)+1,1))</f>
        <v>0</v>
      </c>
      <c r="K32" s="10" t="str">
        <f aca="false">IF($B32=0,"",I32/$B32)</f>
        <v/>
      </c>
      <c r="L32" s="9" t="n">
        <f aca="false">C32+F32+I32</f>
        <v>0</v>
      </c>
    </row>
    <row r="33" customFormat="false" ht="15" hidden="false" customHeight="false" outlineLevel="0" collapsed="false">
      <c r="A33" s="16" t="n">
        <v>46874</v>
      </c>
      <c r="B33" s="17" t="n">
        <f aca="false">SUMIFS(Consumo_Diario!$B$5:$B$734,Consumo_Diario!$A$5:$A$734,"&gt;="&amp;$A33,Consumo_Diario!$A$5:$A$734,"&lt;"&amp;DATE(YEAR($A33),MONTH($A33)+1,1))</f>
        <v>0</v>
      </c>
      <c r="C33" s="9" t="n">
        <f aca="false">SUMIFS(Consumo_Diario!$E$5:$E$734,Consumo_Diario!$A$5:$A$734,"&gt;="&amp;$A33,Consumo_Diario!$A$5:$A$734,"&lt;"&amp;DATE(YEAR($A33),MONTH($A33)+1,1))</f>
        <v>0</v>
      </c>
      <c r="D33" s="9" t="n">
        <f aca="false">SUMIFS(Consumo_Diario!$D$5:$D$734,Consumo_Diario!$A$5:$A$734,"&gt;="&amp;$A33,Consumo_Diario!$A$5:$A$734,"&lt;"&amp;DATE(YEAR($A33),MONTH($A33)+1,1))</f>
        <v>0</v>
      </c>
      <c r="E33" s="10" t="str">
        <f aca="false">IF($B33=0,"",C33/$B33)</f>
        <v/>
      </c>
      <c r="F33" s="9" t="n">
        <f aca="false">SUMIFS(Consumo_Diario!$H$5:$H$734,Consumo_Diario!$A$5:$A$734,"&gt;="&amp;$A33,Consumo_Diario!$A$5:$A$734,"&lt;"&amp;DATE(YEAR($A33),MONTH($A33)+1,1))</f>
        <v>0</v>
      </c>
      <c r="G33" s="9" t="n">
        <f aca="false">SUMIFS(Consumo_Diario!$G$5:$G$734,Consumo_Diario!$A$5:$A$734,"&gt;="&amp;$A33,Consumo_Diario!$A$5:$A$734,"&lt;"&amp;DATE(YEAR($A33),MONTH($A33)+1,1))</f>
        <v>0</v>
      </c>
      <c r="H33" s="10" t="str">
        <f aca="false">IF($B33=0,"",F33/$B33)</f>
        <v/>
      </c>
      <c r="I33" s="9" t="n">
        <f aca="false">SUMIFS(Consumo_Diario!$K$5:$K$734,Consumo_Diario!$A$5:$A$734,"&gt;="&amp;$A33,Consumo_Diario!$A$5:$A$734,"&lt;"&amp;DATE(YEAR($A33),MONTH($A33)+1,1))</f>
        <v>0</v>
      </c>
      <c r="J33" s="9" t="n">
        <f aca="false">SUMIFS(Consumo_Diario!$J$5:$J$734,Consumo_Diario!$A$5:$A$734,"&gt;="&amp;$A33,Consumo_Diario!$A$5:$A$734,"&lt;"&amp;DATE(YEAR($A33),MONTH($A33)+1,1))</f>
        <v>0</v>
      </c>
      <c r="K33" s="10" t="str">
        <f aca="false">IF($B33=0,"",I33/$B33)</f>
        <v/>
      </c>
      <c r="L33" s="9" t="n">
        <f aca="false">C33+F33+I33</f>
        <v>0</v>
      </c>
    </row>
    <row r="34" customFormat="false" ht="15" hidden="false" customHeight="false" outlineLevel="0" collapsed="false">
      <c r="A34" s="16" t="n">
        <v>46905</v>
      </c>
      <c r="B34" s="17" t="n">
        <f aca="false">SUMIFS(Consumo_Diario!$B$5:$B$734,Consumo_Diario!$A$5:$A$734,"&gt;="&amp;$A34,Consumo_Diario!$A$5:$A$734,"&lt;"&amp;DATE(YEAR($A34),MONTH($A34)+1,1))</f>
        <v>0</v>
      </c>
      <c r="C34" s="9" t="n">
        <f aca="false">SUMIFS(Consumo_Diario!$E$5:$E$734,Consumo_Diario!$A$5:$A$734,"&gt;="&amp;$A34,Consumo_Diario!$A$5:$A$734,"&lt;"&amp;DATE(YEAR($A34),MONTH($A34)+1,1))</f>
        <v>0</v>
      </c>
      <c r="D34" s="9" t="n">
        <f aca="false">SUMIFS(Consumo_Diario!$D$5:$D$734,Consumo_Diario!$A$5:$A$734,"&gt;="&amp;$A34,Consumo_Diario!$A$5:$A$734,"&lt;"&amp;DATE(YEAR($A34),MONTH($A34)+1,1))</f>
        <v>0</v>
      </c>
      <c r="E34" s="10" t="str">
        <f aca="false">IF($B34=0,"",C34/$B34)</f>
        <v/>
      </c>
      <c r="F34" s="9" t="n">
        <f aca="false">SUMIFS(Consumo_Diario!$H$5:$H$734,Consumo_Diario!$A$5:$A$734,"&gt;="&amp;$A34,Consumo_Diario!$A$5:$A$734,"&lt;"&amp;DATE(YEAR($A34),MONTH($A34)+1,1))</f>
        <v>0</v>
      </c>
      <c r="G34" s="9" t="n">
        <f aca="false">SUMIFS(Consumo_Diario!$G$5:$G$734,Consumo_Diario!$A$5:$A$734,"&gt;="&amp;$A34,Consumo_Diario!$A$5:$A$734,"&lt;"&amp;DATE(YEAR($A34),MONTH($A34)+1,1))</f>
        <v>0</v>
      </c>
      <c r="H34" s="10" t="str">
        <f aca="false">IF($B34=0,"",F34/$B34)</f>
        <v/>
      </c>
      <c r="I34" s="9" t="n">
        <f aca="false">SUMIFS(Consumo_Diario!$K$5:$K$734,Consumo_Diario!$A$5:$A$734,"&gt;="&amp;$A34,Consumo_Diario!$A$5:$A$734,"&lt;"&amp;DATE(YEAR($A34),MONTH($A34)+1,1))</f>
        <v>0</v>
      </c>
      <c r="J34" s="9" t="n">
        <f aca="false">SUMIFS(Consumo_Diario!$J$5:$J$734,Consumo_Diario!$A$5:$A$734,"&gt;="&amp;$A34,Consumo_Diario!$A$5:$A$734,"&lt;"&amp;DATE(YEAR($A34),MONTH($A34)+1,1))</f>
        <v>0</v>
      </c>
      <c r="K34" s="10" t="str">
        <f aca="false">IF($B34=0,"",I34/$B34)</f>
        <v/>
      </c>
      <c r="L34" s="9" t="n">
        <f aca="false">C34+F34+I34</f>
        <v>0</v>
      </c>
    </row>
    <row r="35" customFormat="false" ht="15" hidden="false" customHeight="false" outlineLevel="0" collapsed="false">
      <c r="A35" s="16" t="n">
        <v>46935</v>
      </c>
      <c r="B35" s="17" t="n">
        <f aca="false">SUMIFS(Consumo_Diario!$B$5:$B$734,Consumo_Diario!$A$5:$A$734,"&gt;="&amp;$A35,Consumo_Diario!$A$5:$A$734,"&lt;"&amp;DATE(YEAR($A35),MONTH($A35)+1,1))</f>
        <v>0</v>
      </c>
      <c r="C35" s="9" t="n">
        <f aca="false">SUMIFS(Consumo_Diario!$E$5:$E$734,Consumo_Diario!$A$5:$A$734,"&gt;="&amp;$A35,Consumo_Diario!$A$5:$A$734,"&lt;"&amp;DATE(YEAR($A35),MONTH($A35)+1,1))</f>
        <v>0</v>
      </c>
      <c r="D35" s="9" t="n">
        <f aca="false">SUMIFS(Consumo_Diario!$D$5:$D$734,Consumo_Diario!$A$5:$A$734,"&gt;="&amp;$A35,Consumo_Diario!$A$5:$A$734,"&lt;"&amp;DATE(YEAR($A35),MONTH($A35)+1,1))</f>
        <v>0</v>
      </c>
      <c r="E35" s="10" t="str">
        <f aca="false">IF($B35=0,"",C35/$B35)</f>
        <v/>
      </c>
      <c r="F35" s="9" t="n">
        <f aca="false">SUMIFS(Consumo_Diario!$H$5:$H$734,Consumo_Diario!$A$5:$A$734,"&gt;="&amp;$A35,Consumo_Diario!$A$5:$A$734,"&lt;"&amp;DATE(YEAR($A35),MONTH($A35)+1,1))</f>
        <v>0</v>
      </c>
      <c r="G35" s="9" t="n">
        <f aca="false">SUMIFS(Consumo_Diario!$G$5:$G$734,Consumo_Diario!$A$5:$A$734,"&gt;="&amp;$A35,Consumo_Diario!$A$5:$A$734,"&lt;"&amp;DATE(YEAR($A35),MONTH($A35)+1,1))</f>
        <v>0</v>
      </c>
      <c r="H35" s="10" t="str">
        <f aca="false">IF($B35=0,"",F35/$B35)</f>
        <v/>
      </c>
      <c r="I35" s="9" t="n">
        <f aca="false">SUMIFS(Consumo_Diario!$K$5:$K$734,Consumo_Diario!$A$5:$A$734,"&gt;="&amp;$A35,Consumo_Diario!$A$5:$A$734,"&lt;"&amp;DATE(YEAR($A35),MONTH($A35)+1,1))</f>
        <v>0</v>
      </c>
      <c r="J35" s="9" t="n">
        <f aca="false">SUMIFS(Consumo_Diario!$J$5:$J$734,Consumo_Diario!$A$5:$A$734,"&gt;="&amp;$A35,Consumo_Diario!$A$5:$A$734,"&lt;"&amp;DATE(YEAR($A35),MONTH($A35)+1,1))</f>
        <v>0</v>
      </c>
      <c r="K35" s="10" t="str">
        <f aca="false">IF($B35=0,"",I35/$B35)</f>
        <v/>
      </c>
      <c r="L35" s="9" t="n">
        <f aca="false">C35+F35+I35</f>
        <v>0</v>
      </c>
    </row>
    <row r="36" customFormat="false" ht="15" hidden="false" customHeight="false" outlineLevel="0" collapsed="false">
      <c r="A36" s="16" t="n">
        <v>46966</v>
      </c>
      <c r="B36" s="17" t="n">
        <f aca="false">SUMIFS(Consumo_Diario!$B$5:$B$734,Consumo_Diario!$A$5:$A$734,"&gt;="&amp;$A36,Consumo_Diario!$A$5:$A$734,"&lt;"&amp;DATE(YEAR($A36),MONTH($A36)+1,1))</f>
        <v>0</v>
      </c>
      <c r="C36" s="9" t="n">
        <f aca="false">SUMIFS(Consumo_Diario!$E$5:$E$734,Consumo_Diario!$A$5:$A$734,"&gt;="&amp;$A36,Consumo_Diario!$A$5:$A$734,"&lt;"&amp;DATE(YEAR($A36),MONTH($A36)+1,1))</f>
        <v>0</v>
      </c>
      <c r="D36" s="9" t="n">
        <f aca="false">SUMIFS(Consumo_Diario!$D$5:$D$734,Consumo_Diario!$A$5:$A$734,"&gt;="&amp;$A36,Consumo_Diario!$A$5:$A$734,"&lt;"&amp;DATE(YEAR($A36),MONTH($A36)+1,1))</f>
        <v>0</v>
      </c>
      <c r="E36" s="10" t="str">
        <f aca="false">IF($B36=0,"",C36/$B36)</f>
        <v/>
      </c>
      <c r="F36" s="9" t="n">
        <f aca="false">SUMIFS(Consumo_Diario!$H$5:$H$734,Consumo_Diario!$A$5:$A$734,"&gt;="&amp;$A36,Consumo_Diario!$A$5:$A$734,"&lt;"&amp;DATE(YEAR($A36),MONTH($A36)+1,1))</f>
        <v>0</v>
      </c>
      <c r="G36" s="9" t="n">
        <f aca="false">SUMIFS(Consumo_Diario!$G$5:$G$734,Consumo_Diario!$A$5:$A$734,"&gt;="&amp;$A36,Consumo_Diario!$A$5:$A$734,"&lt;"&amp;DATE(YEAR($A36),MONTH($A36)+1,1))</f>
        <v>0</v>
      </c>
      <c r="H36" s="10" t="str">
        <f aca="false">IF($B36=0,"",F36/$B36)</f>
        <v/>
      </c>
      <c r="I36" s="9" t="n">
        <f aca="false">SUMIFS(Consumo_Diario!$K$5:$K$734,Consumo_Diario!$A$5:$A$734,"&gt;="&amp;$A36,Consumo_Diario!$A$5:$A$734,"&lt;"&amp;DATE(YEAR($A36),MONTH($A36)+1,1))</f>
        <v>0</v>
      </c>
      <c r="J36" s="9" t="n">
        <f aca="false">SUMIFS(Consumo_Diario!$J$5:$J$734,Consumo_Diario!$A$5:$A$734,"&gt;="&amp;$A36,Consumo_Diario!$A$5:$A$734,"&lt;"&amp;DATE(YEAR($A36),MONTH($A36)+1,1))</f>
        <v>0</v>
      </c>
      <c r="K36" s="10" t="str">
        <f aca="false">IF($B36=0,"",I36/$B36)</f>
        <v/>
      </c>
      <c r="L36" s="9" t="n">
        <f aca="false">C36+F36+I36</f>
        <v>0</v>
      </c>
    </row>
    <row r="37" customFormat="false" ht="15" hidden="false" customHeight="false" outlineLevel="0" collapsed="false">
      <c r="A37" s="16" t="n">
        <v>46997</v>
      </c>
      <c r="B37" s="17" t="n">
        <f aca="false">SUMIFS(Consumo_Diario!$B$5:$B$734,Consumo_Diario!$A$5:$A$734,"&gt;="&amp;$A37,Consumo_Diario!$A$5:$A$734,"&lt;"&amp;DATE(YEAR($A37),MONTH($A37)+1,1))</f>
        <v>0</v>
      </c>
      <c r="C37" s="9" t="n">
        <f aca="false">SUMIFS(Consumo_Diario!$E$5:$E$734,Consumo_Diario!$A$5:$A$734,"&gt;="&amp;$A37,Consumo_Diario!$A$5:$A$734,"&lt;"&amp;DATE(YEAR($A37),MONTH($A37)+1,1))</f>
        <v>0</v>
      </c>
      <c r="D37" s="9" t="n">
        <f aca="false">SUMIFS(Consumo_Diario!$D$5:$D$734,Consumo_Diario!$A$5:$A$734,"&gt;="&amp;$A37,Consumo_Diario!$A$5:$A$734,"&lt;"&amp;DATE(YEAR($A37),MONTH($A37)+1,1))</f>
        <v>0</v>
      </c>
      <c r="E37" s="10" t="str">
        <f aca="false">IF($B37=0,"",C37/$B37)</f>
        <v/>
      </c>
      <c r="F37" s="9" t="n">
        <f aca="false">SUMIFS(Consumo_Diario!$H$5:$H$734,Consumo_Diario!$A$5:$A$734,"&gt;="&amp;$A37,Consumo_Diario!$A$5:$A$734,"&lt;"&amp;DATE(YEAR($A37),MONTH($A37)+1,1))</f>
        <v>0</v>
      </c>
      <c r="G37" s="9" t="n">
        <f aca="false">SUMIFS(Consumo_Diario!$G$5:$G$734,Consumo_Diario!$A$5:$A$734,"&gt;="&amp;$A37,Consumo_Diario!$A$5:$A$734,"&lt;"&amp;DATE(YEAR($A37),MONTH($A37)+1,1))</f>
        <v>0</v>
      </c>
      <c r="H37" s="10" t="str">
        <f aca="false">IF($B37=0,"",F37/$B37)</f>
        <v/>
      </c>
      <c r="I37" s="9" t="n">
        <f aca="false">SUMIFS(Consumo_Diario!$K$5:$K$734,Consumo_Diario!$A$5:$A$734,"&gt;="&amp;$A37,Consumo_Diario!$A$5:$A$734,"&lt;"&amp;DATE(YEAR($A37),MONTH($A37)+1,1))</f>
        <v>0</v>
      </c>
      <c r="J37" s="9" t="n">
        <f aca="false">SUMIFS(Consumo_Diario!$J$5:$J$734,Consumo_Diario!$A$5:$A$734,"&gt;="&amp;$A37,Consumo_Diario!$A$5:$A$734,"&lt;"&amp;DATE(YEAR($A37),MONTH($A37)+1,1))</f>
        <v>0</v>
      </c>
      <c r="K37" s="10" t="str">
        <f aca="false">IF($B37=0,"",I37/$B37)</f>
        <v/>
      </c>
      <c r="L37" s="9" t="n">
        <f aca="false">C37+F37+I37</f>
        <v>0</v>
      </c>
    </row>
    <row r="38" customFormat="false" ht="15" hidden="false" customHeight="false" outlineLevel="0" collapsed="false">
      <c r="A38" s="18" t="s">
        <v>36</v>
      </c>
      <c r="B38" s="18"/>
      <c r="C38" s="19" t="str">
        <f aca="false">IFERROR(AVERAGEIFS(C14:C37,$B$14:$B$37,"&gt;0"),"")</f>
        <v/>
      </c>
      <c r="D38" s="19" t="str">
        <f aca="false">IFERROR(AVERAGEIFS(D14:D37,$B$14:$B$37,"&gt;0"),"")</f>
        <v/>
      </c>
      <c r="E38" s="20" t="str">
        <f aca="false">IFERROR(SUM(C14:C37)/SUM($B$14:$B$37),"")</f>
        <v/>
      </c>
      <c r="F38" s="19" t="str">
        <f aca="false">IFERROR(AVERAGEIFS(F14:F37,$B$14:$B$37,"&gt;0"),"")</f>
        <v/>
      </c>
      <c r="G38" s="19" t="str">
        <f aca="false">IFERROR(AVERAGEIFS(G14:G37,$B$14:$B$37,"&gt;0"),"")</f>
        <v/>
      </c>
      <c r="H38" s="20" t="str">
        <f aca="false">IFERROR(SUM(F14:F37)/SUM($B$14:$B$37),"")</f>
        <v/>
      </c>
      <c r="I38" s="19" t="str">
        <f aca="false">IFERROR(AVERAGEIFS(I14:I37,$B$14:$B$37,"&gt;0"),"")</f>
        <v/>
      </c>
      <c r="J38" s="19" t="str">
        <f aca="false">IFERROR(AVERAGEIFS(J14:J37,$B$14:$B$37,"&gt;0"),"")</f>
        <v/>
      </c>
      <c r="K38" s="20" t="str">
        <f aca="false">IFERROR(SUM(I14:I37)/SUM($B$14:$B$37),"")</f>
        <v/>
      </c>
      <c r="L38" s="19" t="str">
        <f aca="false">IFERROR(AVERAGEIFS(L14:L37,$B$14:$B$37,"&gt;0"),"")</f>
        <v/>
      </c>
    </row>
    <row r="39" customFormat="false" ht="15" hidden="false" customHeight="false" outlineLevel="0" collapsed="false">
      <c r="A39" s="2" t="s">
        <v>37</v>
      </c>
    </row>
  </sheetData>
  <mergeCells count="4">
    <mergeCell ref="A12:B12"/>
    <mergeCell ref="C12:E12"/>
    <mergeCell ref="F12:H12"/>
    <mergeCell ref="I12:K12"/>
  </mergeCells>
  <conditionalFormatting sqref="D3">
    <cfRule type="cellIs" priority="2" operator="equal" aboveAverage="0" equalAverage="0" bottom="0" percent="0" rank="0" text="" dxfId="0">
      <formula>"PENDIENTE"</formula>
    </cfRule>
    <cfRule type="cellIs" priority="3" operator="equal" aboveAverage="0" equalAverage="0" bottom="0" percent="0" rank="0" text="" dxfId="1">
      <formula>"OK - cargado"</formula>
    </cfRule>
  </conditionalFormatting>
  <conditionalFormatting sqref="I6:I8">
    <cfRule type="cellIs" priority="4" operator="equal" aboveAverage="0" equalAverage="0" bottom="0" percent="0" rank="0" text="" dxfId="0">
      <formula>"REPONER"</formula>
    </cfRule>
    <cfRule type="cellIs" priority="5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5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6" t="s">
        <v>40</v>
      </c>
      <c r="B3" s="6" t="s">
        <v>41</v>
      </c>
      <c r="C3" s="6" t="s">
        <v>42</v>
      </c>
    </row>
    <row r="4" customFormat="false" ht="15" hidden="false" customHeight="false" outlineLevel="0" collapsed="false">
      <c r="A4" s="4" t="s">
        <v>43</v>
      </c>
      <c r="B4" s="21" t="s">
        <v>44</v>
      </c>
      <c r="C4" s="22" t="s">
        <v>45</v>
      </c>
    </row>
    <row r="5" customFormat="false" ht="15" hidden="false" customHeight="false" outlineLevel="0" collapsed="false">
      <c r="A5" s="4" t="s">
        <v>46</v>
      </c>
      <c r="B5" s="21" t="s">
        <v>47</v>
      </c>
      <c r="C5" s="22" t="s">
        <v>48</v>
      </c>
    </row>
    <row r="6" customFormat="false" ht="15" hidden="false" customHeight="false" outlineLevel="0" collapsed="false">
      <c r="A6" s="4" t="s">
        <v>49</v>
      </c>
      <c r="B6" s="21" t="s">
        <v>50</v>
      </c>
      <c r="C6" s="22" t="s">
        <v>51</v>
      </c>
    </row>
    <row r="7" customFormat="false" ht="15" hidden="false" customHeight="false" outlineLevel="0" collapsed="false">
      <c r="A7" s="4" t="s">
        <v>52</v>
      </c>
      <c r="B7" s="21" t="s">
        <v>53</v>
      </c>
      <c r="C7" s="22"/>
    </row>
    <row r="8" customFormat="false" ht="15" hidden="false" customHeight="false" outlineLevel="0" collapsed="false">
      <c r="A8" s="4" t="s">
        <v>54</v>
      </c>
      <c r="B8" s="21" t="s">
        <v>55</v>
      </c>
      <c r="C8" s="22" t="s">
        <v>56</v>
      </c>
    </row>
    <row r="9" customFormat="false" ht="15" hidden="false" customHeight="false" outlineLevel="0" collapsed="false">
      <c r="A9" s="4" t="s">
        <v>57</v>
      </c>
      <c r="B9" s="21" t="s">
        <v>58</v>
      </c>
      <c r="C9" s="22"/>
    </row>
    <row r="10" customFormat="false" ht="15" hidden="false" customHeight="false" outlineLevel="0" collapsed="false">
      <c r="A10" s="4" t="s">
        <v>59</v>
      </c>
      <c r="B10" s="21" t="s">
        <v>60</v>
      </c>
      <c r="C10" s="22" t="s">
        <v>61</v>
      </c>
    </row>
    <row r="11" customFormat="false" ht="15" hidden="false" customHeight="false" outlineLevel="0" collapsed="false">
      <c r="A11" s="4" t="s">
        <v>62</v>
      </c>
      <c r="B11" s="21" t="s">
        <v>63</v>
      </c>
      <c r="C11" s="22"/>
    </row>
    <row r="12" customFormat="false" ht="15" hidden="false" customHeight="false" outlineLevel="0" collapsed="false">
      <c r="A12" s="4" t="s">
        <v>64</v>
      </c>
      <c r="B12" s="21" t="s">
        <v>65</v>
      </c>
      <c r="C12" s="22" t="s">
        <v>66</v>
      </c>
    </row>
    <row r="13" customFormat="false" ht="15" hidden="false" customHeight="false" outlineLevel="0" collapsed="false">
      <c r="A13" s="4" t="s">
        <v>67</v>
      </c>
      <c r="B13" s="21" t="s">
        <v>68</v>
      </c>
      <c r="C13" s="22" t="s">
        <v>69</v>
      </c>
    </row>
    <row r="14" customFormat="false" ht="15" hidden="false" customHeight="false" outlineLevel="0" collapsed="false">
      <c r="A14" s="4" t="s">
        <v>70</v>
      </c>
      <c r="B14" s="21" t="s">
        <v>71</v>
      </c>
      <c r="C14" s="22" t="s">
        <v>72</v>
      </c>
    </row>
    <row r="15" customFormat="false" ht="15" hidden="false" customHeight="false" outlineLevel="0" collapsed="false">
      <c r="A15" s="4" t="s">
        <v>73</v>
      </c>
      <c r="B15" s="21" t="s">
        <v>74</v>
      </c>
      <c r="C15" s="22" t="s">
        <v>75</v>
      </c>
    </row>
    <row r="16" customFormat="false" ht="15" hidden="false" customHeight="false" outlineLevel="0" collapsed="false">
      <c r="A16" s="4" t="s">
        <v>76</v>
      </c>
      <c r="B16" s="21" t="n">
        <v>7</v>
      </c>
      <c r="C16" s="22" t="s">
        <v>77</v>
      </c>
    </row>
    <row r="17" customFormat="false" ht="15" hidden="false" customHeight="false" outlineLevel="0" collapsed="false">
      <c r="A17" s="4" t="s">
        <v>78</v>
      </c>
      <c r="B17" s="21" t="n">
        <v>15</v>
      </c>
      <c r="C17" s="22" t="s">
        <v>79</v>
      </c>
    </row>
    <row r="18" customFormat="false" ht="15" hidden="false" customHeight="false" outlineLevel="0" collapsed="false">
      <c r="A18" s="4" t="s">
        <v>80</v>
      </c>
      <c r="B18" s="21" t="s">
        <v>74</v>
      </c>
      <c r="C18" s="22" t="s">
        <v>81</v>
      </c>
    </row>
    <row r="19" customFormat="false" ht="15" hidden="false" customHeight="false" outlineLevel="0" collapsed="false">
      <c r="A19" s="4" t="s">
        <v>82</v>
      </c>
      <c r="B19" s="21"/>
      <c r="C19" s="22" t="s">
        <v>83</v>
      </c>
    </row>
    <row r="21" customFormat="false" ht="15" hidden="false" customHeight="false" outlineLevel="0" collapsed="false">
      <c r="A21" s="3" t="s">
        <v>84</v>
      </c>
    </row>
    <row r="22" customFormat="false" ht="15" hidden="false" customHeight="false" outlineLevel="0" collapsed="false">
      <c r="A22" s="6" t="s">
        <v>20</v>
      </c>
      <c r="B22" s="6" t="s">
        <v>21</v>
      </c>
      <c r="C22" s="6"/>
    </row>
    <row r="23" customFormat="false" ht="15" hidden="false" customHeight="false" outlineLevel="0" collapsed="false">
      <c r="A23" s="21" t="n">
        <v>153523</v>
      </c>
      <c r="B23" s="21" t="s">
        <v>85</v>
      </c>
    </row>
    <row r="24" customFormat="false" ht="15" hidden="false" customHeight="false" outlineLevel="0" collapsed="false">
      <c r="A24" s="21" t="n">
        <v>153553</v>
      </c>
      <c r="B24" s="21" t="s">
        <v>86</v>
      </c>
    </row>
    <row r="25" customFormat="false" ht="15" hidden="false" customHeight="false" outlineLevel="0" collapsed="false">
      <c r="A25" s="21" t="n">
        <v>153526</v>
      </c>
      <c r="B25" s="21" t="s">
        <v>87</v>
      </c>
    </row>
  </sheetData>
  <dataValidations count="1">
    <dataValidation allowBlank="false" errorStyle="stop" operator="between" showDropDown="false" showErrorMessage="false" showInputMessage="false" sqref="B15 B18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8" min="5" style="0" width="16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3" customFormat="false" ht="24" hidden="false" customHeight="true" outlineLevel="0" collapsed="false">
      <c r="E3" s="23" t="str">
        <f aca="false">Config!$B$23</f>
        <v>CAJA MEDIANA 22X33X30 411 C</v>
      </c>
      <c r="F3" s="23" t="str">
        <f aca="false">Config!$B$24</f>
        <v>CAJA 1/24 PEQUEÑA 11X22X15 312 C IMP</v>
      </c>
      <c r="G3" s="23" t="str">
        <f aca="false">Config!$B$25</f>
        <v>CAJA 1/2 GRANDE 33X44X30 411 C IMP</v>
      </c>
    </row>
    <row r="4" customFormat="false" ht="26.85" hidden="false" customHeight="false" outlineLevel="0" collapsed="false">
      <c r="A4" s="6" t="s">
        <v>90</v>
      </c>
      <c r="B4" s="6" t="s">
        <v>91</v>
      </c>
      <c r="C4" s="6" t="s">
        <v>92</v>
      </c>
      <c r="D4" s="6" t="s">
        <v>93</v>
      </c>
      <c r="E4" s="6" t="str">
        <f aca="false">"Stock "&amp;Config!$A$23</f>
        <v>Stock 153523</v>
      </c>
      <c r="F4" s="6" t="str">
        <f aca="false">"Stock "&amp;Config!$A$24</f>
        <v>Stock 153553</v>
      </c>
      <c r="G4" s="6" t="str">
        <f aca="false">"Stock "&amp;Config!$A$25</f>
        <v>Stock 153526</v>
      </c>
      <c r="H4" s="6" t="s">
        <v>94</v>
      </c>
      <c r="I4" s="6" t="s">
        <v>95</v>
      </c>
    </row>
    <row r="5" customFormat="false" ht="15" hidden="false" customHeight="false" outlineLevel="0" collapsed="false">
      <c r="A5" s="5" t="n">
        <v>46310</v>
      </c>
      <c r="B5" s="4" t="s">
        <v>96</v>
      </c>
      <c r="C5" s="4" t="s">
        <v>97</v>
      </c>
      <c r="D5" s="4" t="s">
        <v>98</v>
      </c>
      <c r="E5" s="24" t="n">
        <v>6725</v>
      </c>
      <c r="F5" s="24" t="n">
        <v>5025</v>
      </c>
      <c r="G5" s="24" t="n">
        <v>11025</v>
      </c>
      <c r="H5" s="4" t="s">
        <v>99</v>
      </c>
      <c r="I5" s="25" t="n">
        <v>46310.3645833333</v>
      </c>
    </row>
    <row r="6" customFormat="false" ht="15" hidden="false" customHeight="false" outlineLevel="0" collapsed="false">
      <c r="A6" s="5"/>
      <c r="B6" s="4"/>
      <c r="C6" s="4"/>
      <c r="D6" s="4"/>
      <c r="E6" s="24"/>
      <c r="F6" s="24"/>
      <c r="G6" s="24"/>
      <c r="H6" s="4"/>
      <c r="I6" s="25"/>
    </row>
    <row r="7" customFormat="false" ht="15" hidden="false" customHeight="false" outlineLevel="0" collapsed="false">
      <c r="A7" s="5"/>
      <c r="B7" s="4"/>
      <c r="C7" s="4"/>
      <c r="D7" s="4"/>
      <c r="E7" s="24"/>
      <c r="F7" s="24"/>
      <c r="G7" s="24"/>
      <c r="H7" s="4"/>
      <c r="I7" s="25"/>
    </row>
    <row r="8" customFormat="false" ht="15" hidden="false" customHeight="false" outlineLevel="0" collapsed="false">
      <c r="A8" s="5"/>
      <c r="B8" s="4"/>
      <c r="C8" s="4"/>
      <c r="D8" s="4"/>
      <c r="E8" s="24"/>
      <c r="F8" s="24"/>
      <c r="G8" s="24"/>
      <c r="H8" s="4"/>
      <c r="I8" s="25"/>
    </row>
    <row r="9" customFormat="false" ht="15" hidden="false" customHeight="false" outlineLevel="0" collapsed="false">
      <c r="A9" s="5"/>
      <c r="B9" s="4"/>
      <c r="C9" s="4"/>
      <c r="D9" s="4"/>
      <c r="E9" s="24"/>
      <c r="F9" s="24"/>
      <c r="G9" s="24"/>
      <c r="H9" s="4"/>
      <c r="I9" s="25"/>
    </row>
    <row r="10" customFormat="false" ht="15" hidden="false" customHeight="false" outlineLevel="0" collapsed="false">
      <c r="A10" s="5"/>
      <c r="B10" s="4"/>
      <c r="C10" s="4"/>
      <c r="D10" s="4"/>
      <c r="E10" s="24"/>
      <c r="F10" s="24"/>
      <c r="G10" s="24"/>
      <c r="H10" s="4"/>
      <c r="I10" s="25"/>
    </row>
    <row r="11" customFormat="false" ht="15" hidden="false" customHeight="false" outlineLevel="0" collapsed="false">
      <c r="A11" s="5"/>
      <c r="B11" s="4"/>
      <c r="C11" s="4"/>
      <c r="D11" s="4"/>
      <c r="E11" s="24"/>
      <c r="F11" s="24"/>
      <c r="G11" s="24"/>
      <c r="H11" s="4"/>
      <c r="I11" s="25"/>
    </row>
    <row r="12" customFormat="false" ht="15" hidden="false" customHeight="false" outlineLevel="0" collapsed="false">
      <c r="A12" s="5"/>
      <c r="B12" s="4"/>
      <c r="C12" s="4"/>
      <c r="D12" s="4"/>
      <c r="E12" s="24"/>
      <c r="F12" s="24"/>
      <c r="G12" s="24"/>
      <c r="H12" s="4"/>
      <c r="I12" s="25"/>
    </row>
    <row r="13" customFormat="false" ht="15" hidden="false" customHeight="false" outlineLevel="0" collapsed="false">
      <c r="A13" s="5"/>
      <c r="B13" s="4"/>
      <c r="C13" s="4"/>
      <c r="D13" s="4"/>
      <c r="E13" s="24"/>
      <c r="F13" s="24"/>
      <c r="G13" s="24"/>
      <c r="H13" s="4"/>
      <c r="I13" s="25"/>
    </row>
    <row r="14" customFormat="false" ht="15" hidden="false" customHeight="false" outlineLevel="0" collapsed="false">
      <c r="A14" s="5"/>
      <c r="B14" s="4"/>
      <c r="C14" s="4"/>
      <c r="D14" s="4"/>
      <c r="E14" s="24"/>
      <c r="F14" s="24"/>
      <c r="G14" s="24"/>
      <c r="H14" s="4"/>
      <c r="I14" s="25"/>
    </row>
    <row r="15" customFormat="false" ht="15" hidden="false" customHeight="false" outlineLevel="0" collapsed="false">
      <c r="A15" s="5"/>
      <c r="B15" s="4"/>
      <c r="C15" s="4"/>
      <c r="D15" s="4"/>
      <c r="E15" s="24"/>
      <c r="F15" s="24"/>
      <c r="G15" s="24"/>
      <c r="H15" s="4"/>
      <c r="I15" s="25"/>
    </row>
    <row r="16" customFormat="false" ht="15" hidden="false" customHeight="false" outlineLevel="0" collapsed="false">
      <c r="A16" s="5"/>
      <c r="B16" s="4"/>
      <c r="C16" s="4"/>
      <c r="D16" s="4"/>
      <c r="E16" s="24"/>
      <c r="F16" s="24"/>
      <c r="G16" s="24"/>
      <c r="H16" s="4"/>
      <c r="I16" s="25"/>
    </row>
    <row r="17" customFormat="false" ht="15" hidden="false" customHeight="false" outlineLevel="0" collapsed="false">
      <c r="A17" s="5"/>
      <c r="B17" s="4"/>
      <c r="C17" s="4"/>
      <c r="D17" s="4"/>
      <c r="E17" s="24"/>
      <c r="F17" s="24"/>
      <c r="G17" s="24"/>
      <c r="H17" s="4"/>
      <c r="I17" s="25"/>
    </row>
    <row r="18" customFormat="false" ht="15" hidden="false" customHeight="false" outlineLevel="0" collapsed="false">
      <c r="A18" s="5"/>
      <c r="B18" s="4"/>
      <c r="C18" s="4"/>
      <c r="D18" s="4"/>
      <c r="E18" s="24"/>
      <c r="F18" s="24"/>
      <c r="G18" s="24"/>
      <c r="H18" s="4"/>
      <c r="I18" s="25"/>
    </row>
    <row r="19" customFormat="false" ht="15" hidden="false" customHeight="false" outlineLevel="0" collapsed="false">
      <c r="A19" s="5"/>
      <c r="B19" s="4"/>
      <c r="C19" s="4"/>
      <c r="D19" s="4"/>
      <c r="E19" s="24"/>
      <c r="F19" s="24"/>
      <c r="G19" s="24"/>
      <c r="H19" s="4"/>
      <c r="I19" s="25"/>
    </row>
    <row r="20" customFormat="false" ht="15" hidden="false" customHeight="false" outlineLevel="0" collapsed="false">
      <c r="A20" s="5"/>
      <c r="B20" s="4"/>
      <c r="C20" s="4"/>
      <c r="D20" s="4"/>
      <c r="E20" s="24"/>
      <c r="F20" s="24"/>
      <c r="G20" s="24"/>
      <c r="H20" s="4"/>
      <c r="I20" s="25"/>
    </row>
    <row r="21" customFormat="false" ht="15" hidden="false" customHeight="false" outlineLevel="0" collapsed="false">
      <c r="A21" s="5"/>
      <c r="B21" s="4"/>
      <c r="C21" s="4"/>
      <c r="D21" s="4"/>
      <c r="E21" s="24"/>
      <c r="F21" s="24"/>
      <c r="G21" s="24"/>
      <c r="H21" s="4"/>
      <c r="I21" s="25"/>
    </row>
    <row r="22" customFormat="false" ht="15" hidden="false" customHeight="false" outlineLevel="0" collapsed="false">
      <c r="A22" s="5"/>
      <c r="B22" s="4"/>
      <c r="C22" s="4"/>
      <c r="D22" s="4"/>
      <c r="E22" s="24"/>
      <c r="F22" s="24"/>
      <c r="G22" s="24"/>
      <c r="H22" s="4"/>
      <c r="I22" s="25"/>
    </row>
    <row r="23" customFormat="false" ht="15" hidden="false" customHeight="false" outlineLevel="0" collapsed="false">
      <c r="A23" s="5"/>
      <c r="B23" s="4"/>
      <c r="C23" s="4"/>
      <c r="D23" s="4"/>
      <c r="E23" s="24"/>
      <c r="F23" s="24"/>
      <c r="G23" s="24"/>
      <c r="H23" s="4"/>
      <c r="I23" s="25"/>
    </row>
    <row r="24" customFormat="false" ht="15" hidden="false" customHeight="false" outlineLevel="0" collapsed="false">
      <c r="A24" s="5"/>
      <c r="B24" s="4"/>
      <c r="C24" s="4"/>
      <c r="D24" s="4"/>
      <c r="E24" s="24"/>
      <c r="F24" s="24"/>
      <c r="G24" s="24"/>
      <c r="H24" s="4"/>
      <c r="I24" s="25"/>
    </row>
    <row r="25" customFormat="false" ht="15" hidden="false" customHeight="false" outlineLevel="0" collapsed="false">
      <c r="A25" s="5"/>
      <c r="B25" s="4"/>
      <c r="C25" s="4"/>
      <c r="D25" s="4"/>
      <c r="E25" s="24"/>
      <c r="F25" s="24"/>
      <c r="G25" s="24"/>
      <c r="H25" s="4"/>
      <c r="I25" s="25"/>
    </row>
    <row r="26" customFormat="false" ht="15" hidden="false" customHeight="false" outlineLevel="0" collapsed="false">
      <c r="A26" s="5"/>
      <c r="B26" s="4"/>
      <c r="C26" s="4"/>
      <c r="D26" s="4"/>
      <c r="E26" s="24"/>
      <c r="F26" s="24"/>
      <c r="G26" s="24"/>
      <c r="H26" s="4"/>
      <c r="I26" s="25"/>
    </row>
    <row r="27" customFormat="false" ht="15" hidden="false" customHeight="false" outlineLevel="0" collapsed="false">
      <c r="A27" s="5"/>
      <c r="B27" s="4"/>
      <c r="C27" s="4"/>
      <c r="D27" s="4"/>
      <c r="E27" s="24"/>
      <c r="F27" s="24"/>
      <c r="G27" s="24"/>
      <c r="H27" s="4"/>
      <c r="I27" s="25"/>
    </row>
    <row r="28" customFormat="false" ht="15" hidden="false" customHeight="false" outlineLevel="0" collapsed="false">
      <c r="A28" s="5"/>
      <c r="B28" s="4"/>
      <c r="C28" s="4"/>
      <c r="D28" s="4"/>
      <c r="E28" s="24"/>
      <c r="F28" s="24"/>
      <c r="G28" s="24"/>
      <c r="H28" s="4"/>
      <c r="I28" s="25"/>
    </row>
    <row r="29" customFormat="false" ht="15" hidden="false" customHeight="false" outlineLevel="0" collapsed="false">
      <c r="A29" s="5"/>
      <c r="B29" s="4"/>
      <c r="C29" s="4"/>
      <c r="D29" s="4"/>
      <c r="E29" s="24"/>
      <c r="F29" s="24"/>
      <c r="G29" s="24"/>
      <c r="H29" s="4"/>
      <c r="I29" s="25"/>
    </row>
    <row r="30" customFormat="false" ht="15" hidden="false" customHeight="false" outlineLevel="0" collapsed="false">
      <c r="A30" s="5"/>
      <c r="B30" s="4"/>
      <c r="C30" s="4"/>
      <c r="D30" s="4"/>
      <c r="E30" s="24"/>
      <c r="F30" s="24"/>
      <c r="G30" s="24"/>
      <c r="H30" s="4"/>
      <c r="I30" s="25"/>
    </row>
    <row r="31" customFormat="false" ht="15" hidden="false" customHeight="false" outlineLevel="0" collapsed="false">
      <c r="A31" s="5"/>
      <c r="B31" s="4"/>
      <c r="C31" s="4"/>
      <c r="D31" s="4"/>
      <c r="E31" s="24"/>
      <c r="F31" s="24"/>
      <c r="G31" s="24"/>
      <c r="H31" s="4"/>
      <c r="I31" s="25"/>
    </row>
    <row r="32" customFormat="false" ht="15" hidden="false" customHeight="false" outlineLevel="0" collapsed="false">
      <c r="A32" s="5"/>
      <c r="B32" s="4"/>
      <c r="C32" s="4"/>
      <c r="D32" s="4"/>
      <c r="E32" s="24"/>
      <c r="F32" s="24"/>
      <c r="G32" s="24"/>
      <c r="H32" s="4"/>
      <c r="I32" s="25"/>
    </row>
    <row r="33" customFormat="false" ht="15" hidden="false" customHeight="false" outlineLevel="0" collapsed="false">
      <c r="A33" s="5"/>
      <c r="B33" s="4"/>
      <c r="C33" s="4"/>
      <c r="D33" s="4"/>
      <c r="E33" s="24"/>
      <c r="F33" s="24"/>
      <c r="G33" s="24"/>
      <c r="H33" s="4"/>
      <c r="I33" s="25"/>
    </row>
    <row r="34" customFormat="false" ht="15" hidden="false" customHeight="false" outlineLevel="0" collapsed="false">
      <c r="A34" s="5"/>
      <c r="B34" s="4"/>
      <c r="C34" s="4"/>
      <c r="D34" s="4"/>
      <c r="E34" s="24"/>
      <c r="F34" s="24"/>
      <c r="G34" s="24"/>
      <c r="H34" s="4"/>
      <c r="I34" s="25"/>
    </row>
    <row r="35" customFormat="false" ht="15" hidden="false" customHeight="false" outlineLevel="0" collapsed="false">
      <c r="A35" s="5"/>
      <c r="B35" s="4"/>
      <c r="C35" s="4"/>
      <c r="D35" s="4"/>
      <c r="E35" s="24"/>
      <c r="F35" s="24"/>
      <c r="G35" s="24"/>
      <c r="H35" s="4"/>
      <c r="I35" s="25"/>
    </row>
    <row r="36" customFormat="false" ht="15" hidden="false" customHeight="false" outlineLevel="0" collapsed="false">
      <c r="A36" s="5"/>
      <c r="B36" s="4"/>
      <c r="C36" s="4"/>
      <c r="D36" s="4"/>
      <c r="E36" s="24"/>
      <c r="F36" s="24"/>
      <c r="G36" s="24"/>
      <c r="H36" s="4"/>
      <c r="I36" s="25"/>
    </row>
    <row r="37" customFormat="false" ht="15" hidden="false" customHeight="false" outlineLevel="0" collapsed="false">
      <c r="A37" s="5"/>
      <c r="B37" s="4"/>
      <c r="C37" s="4"/>
      <c r="D37" s="4"/>
      <c r="E37" s="24"/>
      <c r="F37" s="24"/>
      <c r="G37" s="24"/>
      <c r="H37" s="4"/>
      <c r="I37" s="25"/>
    </row>
    <row r="38" customFormat="false" ht="15" hidden="false" customHeight="false" outlineLevel="0" collapsed="false">
      <c r="A38" s="5"/>
      <c r="B38" s="4"/>
      <c r="C38" s="4"/>
      <c r="D38" s="4"/>
      <c r="E38" s="24"/>
      <c r="F38" s="24"/>
      <c r="G38" s="24"/>
      <c r="H38" s="4"/>
      <c r="I38" s="25"/>
    </row>
    <row r="39" customFormat="false" ht="15" hidden="false" customHeight="false" outlineLevel="0" collapsed="false">
      <c r="A39" s="5"/>
      <c r="B39" s="4"/>
      <c r="C39" s="4"/>
      <c r="D39" s="4"/>
      <c r="E39" s="24"/>
      <c r="F39" s="24"/>
      <c r="G39" s="24"/>
      <c r="H39" s="4"/>
      <c r="I39" s="25"/>
    </row>
    <row r="40" customFormat="false" ht="15" hidden="false" customHeight="false" outlineLevel="0" collapsed="false">
      <c r="A40" s="5"/>
      <c r="B40" s="4"/>
      <c r="C40" s="4"/>
      <c r="D40" s="4"/>
      <c r="E40" s="24"/>
      <c r="F40" s="24"/>
      <c r="G40" s="24"/>
      <c r="H40" s="4"/>
      <c r="I40" s="25"/>
    </row>
    <row r="41" customFormat="false" ht="15" hidden="false" customHeight="false" outlineLevel="0" collapsed="false">
      <c r="A41" s="5"/>
      <c r="B41" s="4"/>
      <c r="C41" s="4"/>
      <c r="D41" s="4"/>
      <c r="E41" s="24"/>
      <c r="F41" s="24"/>
      <c r="G41" s="24"/>
      <c r="H41" s="4"/>
      <c r="I41" s="25"/>
    </row>
    <row r="42" customFormat="false" ht="15" hidden="false" customHeight="false" outlineLevel="0" collapsed="false">
      <c r="A42" s="5"/>
      <c r="B42" s="4"/>
      <c r="C42" s="4"/>
      <c r="D42" s="4"/>
      <c r="E42" s="24"/>
      <c r="F42" s="24"/>
      <c r="G42" s="24"/>
      <c r="H42" s="4"/>
      <c r="I42" s="25"/>
    </row>
    <row r="43" customFormat="false" ht="15" hidden="false" customHeight="false" outlineLevel="0" collapsed="false">
      <c r="A43" s="5"/>
      <c r="B43" s="4"/>
      <c r="C43" s="4"/>
      <c r="D43" s="4"/>
      <c r="E43" s="24"/>
      <c r="F43" s="24"/>
      <c r="G43" s="24"/>
      <c r="H43" s="4"/>
      <c r="I43" s="25"/>
    </row>
    <row r="44" customFormat="false" ht="15" hidden="false" customHeight="false" outlineLevel="0" collapsed="false">
      <c r="A44" s="5"/>
      <c r="B44" s="4"/>
      <c r="C44" s="4"/>
      <c r="D44" s="4"/>
      <c r="E44" s="24"/>
      <c r="F44" s="24"/>
      <c r="G44" s="24"/>
      <c r="H44" s="4"/>
      <c r="I44" s="25"/>
    </row>
    <row r="45" customFormat="false" ht="15" hidden="false" customHeight="false" outlineLevel="0" collapsed="false">
      <c r="A45" s="5"/>
      <c r="B45" s="4"/>
      <c r="C45" s="4"/>
      <c r="D45" s="4"/>
      <c r="E45" s="24"/>
      <c r="F45" s="24"/>
      <c r="G45" s="24"/>
      <c r="H45" s="4"/>
      <c r="I45" s="25"/>
    </row>
    <row r="46" customFormat="false" ht="15" hidden="false" customHeight="false" outlineLevel="0" collapsed="false">
      <c r="A46" s="5"/>
      <c r="B46" s="4"/>
      <c r="C46" s="4"/>
      <c r="D46" s="4"/>
      <c r="E46" s="24"/>
      <c r="F46" s="24"/>
      <c r="G46" s="24"/>
      <c r="H46" s="4"/>
      <c r="I46" s="25"/>
    </row>
    <row r="47" customFormat="false" ht="15" hidden="false" customHeight="false" outlineLevel="0" collapsed="false">
      <c r="A47" s="5"/>
      <c r="B47" s="4"/>
      <c r="C47" s="4"/>
      <c r="D47" s="4"/>
      <c r="E47" s="24"/>
      <c r="F47" s="24"/>
      <c r="G47" s="24"/>
      <c r="H47" s="4"/>
      <c r="I47" s="25"/>
    </row>
    <row r="48" customFormat="false" ht="15" hidden="false" customHeight="false" outlineLevel="0" collapsed="false">
      <c r="A48" s="5"/>
      <c r="B48" s="4"/>
      <c r="C48" s="4"/>
      <c r="D48" s="4"/>
      <c r="E48" s="24"/>
      <c r="F48" s="24"/>
      <c r="G48" s="24"/>
      <c r="H48" s="4"/>
      <c r="I48" s="25"/>
    </row>
    <row r="49" customFormat="false" ht="15" hidden="false" customHeight="false" outlineLevel="0" collapsed="false">
      <c r="A49" s="5"/>
      <c r="B49" s="4"/>
      <c r="C49" s="4"/>
      <c r="D49" s="4"/>
      <c r="E49" s="24"/>
      <c r="F49" s="24"/>
      <c r="G49" s="24"/>
      <c r="H49" s="4"/>
      <c r="I49" s="25"/>
    </row>
    <row r="50" customFormat="false" ht="15" hidden="false" customHeight="false" outlineLevel="0" collapsed="false">
      <c r="A50" s="5"/>
      <c r="B50" s="4"/>
      <c r="C50" s="4"/>
      <c r="D50" s="4"/>
      <c r="E50" s="24"/>
      <c r="F50" s="24"/>
      <c r="G50" s="24"/>
      <c r="H50" s="4"/>
      <c r="I50" s="25"/>
    </row>
    <row r="51" customFormat="false" ht="15" hidden="false" customHeight="false" outlineLevel="0" collapsed="false">
      <c r="A51" s="5"/>
      <c r="B51" s="4"/>
      <c r="C51" s="4"/>
      <c r="D51" s="4"/>
      <c r="E51" s="24"/>
      <c r="F51" s="24"/>
      <c r="G51" s="24"/>
      <c r="H51" s="4"/>
      <c r="I51" s="25"/>
    </row>
    <row r="52" customFormat="false" ht="15" hidden="false" customHeight="false" outlineLevel="0" collapsed="false">
      <c r="A52" s="5"/>
      <c r="B52" s="4"/>
      <c r="C52" s="4"/>
      <c r="D52" s="4"/>
      <c r="E52" s="24"/>
      <c r="F52" s="24"/>
      <c r="G52" s="24"/>
      <c r="H52" s="4"/>
      <c r="I52" s="25"/>
    </row>
    <row r="53" customFormat="false" ht="15" hidden="false" customHeight="false" outlineLevel="0" collapsed="false">
      <c r="A53" s="5"/>
      <c r="B53" s="4"/>
      <c r="C53" s="4"/>
      <c r="D53" s="4"/>
      <c r="E53" s="24"/>
      <c r="F53" s="24"/>
      <c r="G53" s="24"/>
      <c r="H53" s="4"/>
      <c r="I53" s="25"/>
    </row>
    <row r="54" customFormat="false" ht="15" hidden="false" customHeight="false" outlineLevel="0" collapsed="false">
      <c r="A54" s="5"/>
      <c r="B54" s="4"/>
      <c r="C54" s="4"/>
      <c r="D54" s="4"/>
      <c r="E54" s="24"/>
      <c r="F54" s="24"/>
      <c r="G54" s="24"/>
      <c r="H54" s="4"/>
      <c r="I54" s="25"/>
    </row>
    <row r="55" customFormat="false" ht="15" hidden="false" customHeight="false" outlineLevel="0" collapsed="false">
      <c r="A55" s="5"/>
      <c r="B55" s="4"/>
      <c r="C55" s="4"/>
      <c r="D55" s="4"/>
      <c r="E55" s="24"/>
      <c r="F55" s="24"/>
      <c r="G55" s="24"/>
      <c r="H55" s="4"/>
      <c r="I55" s="25"/>
    </row>
    <row r="56" customFormat="false" ht="15" hidden="false" customHeight="false" outlineLevel="0" collapsed="false">
      <c r="A56" s="5"/>
      <c r="B56" s="4"/>
      <c r="C56" s="4"/>
      <c r="D56" s="4"/>
      <c r="E56" s="24"/>
      <c r="F56" s="24"/>
      <c r="G56" s="24"/>
      <c r="H56" s="4"/>
      <c r="I56" s="25"/>
    </row>
    <row r="57" customFormat="false" ht="15" hidden="false" customHeight="false" outlineLevel="0" collapsed="false">
      <c r="A57" s="5"/>
      <c r="B57" s="4"/>
      <c r="C57" s="4"/>
      <c r="D57" s="4"/>
      <c r="E57" s="24"/>
      <c r="F57" s="24"/>
      <c r="G57" s="24"/>
      <c r="H57" s="4"/>
      <c r="I57" s="25"/>
    </row>
    <row r="58" customFormat="false" ht="15" hidden="false" customHeight="false" outlineLevel="0" collapsed="false">
      <c r="A58" s="5"/>
      <c r="B58" s="4"/>
      <c r="C58" s="4"/>
      <c r="D58" s="4"/>
      <c r="E58" s="24"/>
      <c r="F58" s="24"/>
      <c r="G58" s="24"/>
      <c r="H58" s="4"/>
      <c r="I58" s="25"/>
    </row>
    <row r="59" customFormat="false" ht="15" hidden="false" customHeight="false" outlineLevel="0" collapsed="false">
      <c r="A59" s="5"/>
      <c r="B59" s="4"/>
      <c r="C59" s="4"/>
      <c r="D59" s="4"/>
      <c r="E59" s="24"/>
      <c r="F59" s="24"/>
      <c r="G59" s="24"/>
      <c r="H59" s="4"/>
      <c r="I59" s="25"/>
    </row>
    <row r="60" customFormat="false" ht="15" hidden="false" customHeight="false" outlineLevel="0" collapsed="false">
      <c r="A60" s="5"/>
      <c r="B60" s="4"/>
      <c r="C60" s="4"/>
      <c r="D60" s="4"/>
      <c r="E60" s="24"/>
      <c r="F60" s="24"/>
      <c r="G60" s="24"/>
      <c r="H60" s="4"/>
      <c r="I60" s="25"/>
    </row>
    <row r="61" customFormat="false" ht="15" hidden="false" customHeight="false" outlineLevel="0" collapsed="false">
      <c r="A61" s="5"/>
      <c r="B61" s="4"/>
      <c r="C61" s="4"/>
      <c r="D61" s="4"/>
      <c r="E61" s="24"/>
      <c r="F61" s="24"/>
      <c r="G61" s="24"/>
      <c r="H61" s="4"/>
      <c r="I61" s="25"/>
    </row>
    <row r="62" customFormat="false" ht="15" hidden="false" customHeight="false" outlineLevel="0" collapsed="false">
      <c r="A62" s="5"/>
      <c r="B62" s="4"/>
      <c r="C62" s="4"/>
      <c r="D62" s="4"/>
      <c r="E62" s="24"/>
      <c r="F62" s="24"/>
      <c r="G62" s="24"/>
      <c r="H62" s="4"/>
      <c r="I62" s="25"/>
    </row>
    <row r="63" customFormat="false" ht="15" hidden="false" customHeight="false" outlineLevel="0" collapsed="false">
      <c r="A63" s="5"/>
      <c r="B63" s="4"/>
      <c r="C63" s="4"/>
      <c r="D63" s="4"/>
      <c r="E63" s="24"/>
      <c r="F63" s="24"/>
      <c r="G63" s="24"/>
      <c r="H63" s="4"/>
      <c r="I63" s="25"/>
    </row>
    <row r="64" customFormat="false" ht="15" hidden="false" customHeight="false" outlineLevel="0" collapsed="false">
      <c r="A64" s="5"/>
      <c r="B64" s="4"/>
      <c r="C64" s="4"/>
      <c r="D64" s="4"/>
      <c r="E64" s="24"/>
      <c r="F64" s="24"/>
      <c r="G64" s="24"/>
      <c r="H64" s="4"/>
      <c r="I64" s="25"/>
    </row>
    <row r="65" customFormat="false" ht="15" hidden="false" customHeight="false" outlineLevel="0" collapsed="false">
      <c r="A65" s="5"/>
      <c r="B65" s="4"/>
      <c r="C65" s="4"/>
      <c r="D65" s="4"/>
      <c r="E65" s="24"/>
      <c r="F65" s="24"/>
      <c r="G65" s="24"/>
      <c r="H65" s="4"/>
      <c r="I65" s="25"/>
    </row>
    <row r="66" customFormat="false" ht="15" hidden="false" customHeight="false" outlineLevel="0" collapsed="false">
      <c r="A66" s="5"/>
      <c r="B66" s="4"/>
      <c r="C66" s="4"/>
      <c r="D66" s="4"/>
      <c r="E66" s="24"/>
      <c r="F66" s="24"/>
      <c r="G66" s="24"/>
      <c r="H66" s="4"/>
      <c r="I66" s="25"/>
    </row>
    <row r="67" customFormat="false" ht="15" hidden="false" customHeight="false" outlineLevel="0" collapsed="false">
      <c r="A67" s="5"/>
      <c r="B67" s="4"/>
      <c r="C67" s="4"/>
      <c r="D67" s="4"/>
      <c r="E67" s="24"/>
      <c r="F67" s="24"/>
      <c r="G67" s="24"/>
      <c r="H67" s="4"/>
      <c r="I67" s="25"/>
    </row>
    <row r="68" customFormat="false" ht="15" hidden="false" customHeight="false" outlineLevel="0" collapsed="false">
      <c r="A68" s="5"/>
      <c r="B68" s="4"/>
      <c r="C68" s="4"/>
      <c r="D68" s="4"/>
      <c r="E68" s="24"/>
      <c r="F68" s="24"/>
      <c r="G68" s="24"/>
      <c r="H68" s="4"/>
      <c r="I68" s="25"/>
    </row>
    <row r="69" customFormat="false" ht="15" hidden="false" customHeight="false" outlineLevel="0" collapsed="false">
      <c r="A69" s="5"/>
      <c r="B69" s="4"/>
      <c r="C69" s="4"/>
      <c r="D69" s="4"/>
      <c r="E69" s="24"/>
      <c r="F69" s="24"/>
      <c r="G69" s="24"/>
      <c r="H69" s="4"/>
      <c r="I69" s="25"/>
    </row>
    <row r="70" customFormat="false" ht="15" hidden="false" customHeight="false" outlineLevel="0" collapsed="false">
      <c r="A70" s="5"/>
      <c r="B70" s="4"/>
      <c r="C70" s="4"/>
      <c r="D70" s="4"/>
      <c r="E70" s="24"/>
      <c r="F70" s="24"/>
      <c r="G70" s="24"/>
      <c r="H70" s="4"/>
      <c r="I70" s="25"/>
    </row>
    <row r="71" customFormat="false" ht="15" hidden="false" customHeight="false" outlineLevel="0" collapsed="false">
      <c r="A71" s="5"/>
      <c r="B71" s="4"/>
      <c r="C71" s="4"/>
      <c r="D71" s="4"/>
      <c r="E71" s="24"/>
      <c r="F71" s="24"/>
      <c r="G71" s="24"/>
      <c r="H71" s="4"/>
      <c r="I71" s="25"/>
    </row>
    <row r="72" customFormat="false" ht="15" hidden="false" customHeight="false" outlineLevel="0" collapsed="false">
      <c r="A72" s="5"/>
      <c r="B72" s="4"/>
      <c r="C72" s="4"/>
      <c r="D72" s="4"/>
      <c r="E72" s="24"/>
      <c r="F72" s="24"/>
      <c r="G72" s="24"/>
      <c r="H72" s="4"/>
      <c r="I72" s="25"/>
    </row>
    <row r="73" customFormat="false" ht="15" hidden="false" customHeight="false" outlineLevel="0" collapsed="false">
      <c r="A73" s="5"/>
      <c r="B73" s="4"/>
      <c r="C73" s="4"/>
      <c r="D73" s="4"/>
      <c r="E73" s="24"/>
      <c r="F73" s="24"/>
      <c r="G73" s="24"/>
      <c r="H73" s="4"/>
      <c r="I73" s="25"/>
    </row>
    <row r="74" customFormat="false" ht="15" hidden="false" customHeight="false" outlineLevel="0" collapsed="false">
      <c r="A74" s="5"/>
      <c r="B74" s="4"/>
      <c r="C74" s="4"/>
      <c r="D74" s="4"/>
      <c r="E74" s="24"/>
      <c r="F74" s="24"/>
      <c r="G74" s="24"/>
      <c r="H74" s="4"/>
      <c r="I74" s="25"/>
    </row>
    <row r="75" customFormat="false" ht="15" hidden="false" customHeight="false" outlineLevel="0" collapsed="false">
      <c r="A75" s="5"/>
      <c r="B75" s="4"/>
      <c r="C75" s="4"/>
      <c r="D75" s="4"/>
      <c r="E75" s="24"/>
      <c r="F75" s="24"/>
      <c r="G75" s="24"/>
      <c r="H75" s="4"/>
      <c r="I75" s="25"/>
    </row>
    <row r="76" customFormat="false" ht="15" hidden="false" customHeight="false" outlineLevel="0" collapsed="false">
      <c r="A76" s="5"/>
      <c r="B76" s="4"/>
      <c r="C76" s="4"/>
      <c r="D76" s="4"/>
      <c r="E76" s="24"/>
      <c r="F76" s="24"/>
      <c r="G76" s="24"/>
      <c r="H76" s="4"/>
      <c r="I76" s="25"/>
    </row>
    <row r="77" customFormat="false" ht="15" hidden="false" customHeight="false" outlineLevel="0" collapsed="false">
      <c r="A77" s="5"/>
      <c r="B77" s="4"/>
      <c r="C77" s="4"/>
      <c r="D77" s="4"/>
      <c r="E77" s="24"/>
      <c r="F77" s="24"/>
      <c r="G77" s="24"/>
      <c r="H77" s="4"/>
      <c r="I77" s="25"/>
    </row>
    <row r="78" customFormat="false" ht="15" hidden="false" customHeight="false" outlineLevel="0" collapsed="false">
      <c r="A78" s="5"/>
      <c r="B78" s="4"/>
      <c r="C78" s="4"/>
      <c r="D78" s="4"/>
      <c r="E78" s="24"/>
      <c r="F78" s="24"/>
      <c r="G78" s="24"/>
      <c r="H78" s="4"/>
      <c r="I78" s="25"/>
    </row>
    <row r="79" customFormat="false" ht="15" hidden="false" customHeight="false" outlineLevel="0" collapsed="false">
      <c r="A79" s="5"/>
      <c r="B79" s="4"/>
      <c r="C79" s="4"/>
      <c r="D79" s="4"/>
      <c r="E79" s="24"/>
      <c r="F79" s="24"/>
      <c r="G79" s="24"/>
      <c r="H79" s="4"/>
      <c r="I79" s="25"/>
    </row>
    <row r="80" customFormat="false" ht="15" hidden="false" customHeight="false" outlineLevel="0" collapsed="false">
      <c r="A80" s="5"/>
      <c r="B80" s="4"/>
      <c r="C80" s="4"/>
      <c r="D80" s="4"/>
      <c r="E80" s="24"/>
      <c r="F80" s="24"/>
      <c r="G80" s="24"/>
      <c r="H80" s="4"/>
      <c r="I80" s="25"/>
    </row>
    <row r="81" customFormat="false" ht="15" hidden="false" customHeight="false" outlineLevel="0" collapsed="false">
      <c r="A81" s="5"/>
      <c r="B81" s="4"/>
      <c r="C81" s="4"/>
      <c r="D81" s="4"/>
      <c r="E81" s="24"/>
      <c r="F81" s="24"/>
      <c r="G81" s="24"/>
      <c r="H81" s="4"/>
      <c r="I81" s="25"/>
    </row>
    <row r="82" customFormat="false" ht="15" hidden="false" customHeight="false" outlineLevel="0" collapsed="false">
      <c r="A82" s="5"/>
      <c r="B82" s="4"/>
      <c r="C82" s="4"/>
      <c r="D82" s="4"/>
      <c r="E82" s="24"/>
      <c r="F82" s="24"/>
      <c r="G82" s="24"/>
      <c r="H82" s="4"/>
      <c r="I82" s="25"/>
    </row>
    <row r="83" customFormat="false" ht="15" hidden="false" customHeight="false" outlineLevel="0" collapsed="false">
      <c r="A83" s="5"/>
      <c r="B83" s="4"/>
      <c r="C83" s="4"/>
      <c r="D83" s="4"/>
      <c r="E83" s="24"/>
      <c r="F83" s="24"/>
      <c r="G83" s="24"/>
      <c r="H83" s="4"/>
      <c r="I83" s="25"/>
    </row>
    <row r="84" customFormat="false" ht="15" hidden="false" customHeight="false" outlineLevel="0" collapsed="false">
      <c r="A84" s="5"/>
      <c r="B84" s="4"/>
      <c r="C84" s="4"/>
      <c r="D84" s="4"/>
      <c r="E84" s="24"/>
      <c r="F84" s="24"/>
      <c r="G84" s="24"/>
      <c r="H84" s="4"/>
      <c r="I84" s="25"/>
    </row>
    <row r="85" customFormat="false" ht="15" hidden="false" customHeight="false" outlineLevel="0" collapsed="false">
      <c r="A85" s="5"/>
      <c r="B85" s="4"/>
      <c r="C85" s="4"/>
      <c r="D85" s="4"/>
      <c r="E85" s="24"/>
      <c r="F85" s="24"/>
      <c r="G85" s="24"/>
      <c r="H85" s="4"/>
      <c r="I85" s="25"/>
    </row>
    <row r="86" customFormat="false" ht="15" hidden="false" customHeight="false" outlineLevel="0" collapsed="false">
      <c r="A86" s="5"/>
      <c r="B86" s="4"/>
      <c r="C86" s="4"/>
      <c r="D86" s="4"/>
      <c r="E86" s="24"/>
      <c r="F86" s="24"/>
      <c r="G86" s="24"/>
      <c r="H86" s="4"/>
      <c r="I86" s="25"/>
    </row>
    <row r="87" customFormat="false" ht="15" hidden="false" customHeight="false" outlineLevel="0" collapsed="false">
      <c r="A87" s="5"/>
      <c r="B87" s="4"/>
      <c r="C87" s="4"/>
      <c r="D87" s="4"/>
      <c r="E87" s="24"/>
      <c r="F87" s="24"/>
      <c r="G87" s="24"/>
      <c r="H87" s="4"/>
      <c r="I87" s="25"/>
    </row>
    <row r="88" customFormat="false" ht="15" hidden="false" customHeight="false" outlineLevel="0" collapsed="false">
      <c r="A88" s="5"/>
      <c r="B88" s="4"/>
      <c r="C88" s="4"/>
      <c r="D88" s="4"/>
      <c r="E88" s="24"/>
      <c r="F88" s="24"/>
      <c r="G88" s="24"/>
      <c r="H88" s="4"/>
      <c r="I88" s="25"/>
    </row>
    <row r="89" customFormat="false" ht="15" hidden="false" customHeight="false" outlineLevel="0" collapsed="false">
      <c r="A89" s="5"/>
      <c r="B89" s="4"/>
      <c r="C89" s="4"/>
      <c r="D89" s="4"/>
      <c r="E89" s="24"/>
      <c r="F89" s="24"/>
      <c r="G89" s="24"/>
      <c r="H89" s="4"/>
      <c r="I89" s="25"/>
    </row>
    <row r="90" customFormat="false" ht="15" hidden="false" customHeight="false" outlineLevel="0" collapsed="false">
      <c r="A90" s="5"/>
      <c r="B90" s="4"/>
      <c r="C90" s="4"/>
      <c r="D90" s="4"/>
      <c r="E90" s="24"/>
      <c r="F90" s="24"/>
      <c r="G90" s="24"/>
      <c r="H90" s="4"/>
      <c r="I90" s="25"/>
    </row>
    <row r="91" customFormat="false" ht="15" hidden="false" customHeight="false" outlineLevel="0" collapsed="false">
      <c r="A91" s="5"/>
      <c r="B91" s="4"/>
      <c r="C91" s="4"/>
      <c r="D91" s="4"/>
      <c r="E91" s="24"/>
      <c r="F91" s="24"/>
      <c r="G91" s="24"/>
      <c r="H91" s="4"/>
      <c r="I91" s="25"/>
    </row>
    <row r="92" customFormat="false" ht="15" hidden="false" customHeight="false" outlineLevel="0" collapsed="false">
      <c r="A92" s="5"/>
      <c r="B92" s="4"/>
      <c r="C92" s="4"/>
      <c r="D92" s="4"/>
      <c r="E92" s="24"/>
      <c r="F92" s="24"/>
      <c r="G92" s="24"/>
      <c r="H92" s="4"/>
      <c r="I92" s="25"/>
    </row>
    <row r="93" customFormat="false" ht="15" hidden="false" customHeight="false" outlineLevel="0" collapsed="false">
      <c r="A93" s="5"/>
      <c r="B93" s="4"/>
      <c r="C93" s="4"/>
      <c r="D93" s="4"/>
      <c r="E93" s="24"/>
      <c r="F93" s="24"/>
      <c r="G93" s="24"/>
      <c r="H93" s="4"/>
      <c r="I93" s="25"/>
    </row>
    <row r="94" customFormat="false" ht="15" hidden="false" customHeight="false" outlineLevel="0" collapsed="false">
      <c r="A94" s="5"/>
      <c r="B94" s="4"/>
      <c r="C94" s="4"/>
      <c r="D94" s="4"/>
      <c r="E94" s="24"/>
      <c r="F94" s="24"/>
      <c r="G94" s="24"/>
      <c r="H94" s="4"/>
      <c r="I94" s="25"/>
    </row>
    <row r="95" customFormat="false" ht="15" hidden="false" customHeight="false" outlineLevel="0" collapsed="false">
      <c r="A95" s="5"/>
      <c r="B95" s="4"/>
      <c r="C95" s="4"/>
      <c r="D95" s="4"/>
      <c r="E95" s="24"/>
      <c r="F95" s="24"/>
      <c r="G95" s="24"/>
      <c r="H95" s="4"/>
      <c r="I95" s="25"/>
    </row>
    <row r="96" customFormat="false" ht="15" hidden="false" customHeight="false" outlineLevel="0" collapsed="false">
      <c r="A96" s="5"/>
      <c r="B96" s="4"/>
      <c r="C96" s="4"/>
      <c r="D96" s="4"/>
      <c r="E96" s="24"/>
      <c r="F96" s="24"/>
      <c r="G96" s="24"/>
      <c r="H96" s="4"/>
      <c r="I96" s="25"/>
    </row>
    <row r="97" customFormat="false" ht="15" hidden="false" customHeight="false" outlineLevel="0" collapsed="false">
      <c r="A97" s="5"/>
      <c r="B97" s="4"/>
      <c r="C97" s="4"/>
      <c r="D97" s="4"/>
      <c r="E97" s="24"/>
      <c r="F97" s="24"/>
      <c r="G97" s="24"/>
      <c r="H97" s="4"/>
      <c r="I97" s="25"/>
    </row>
    <row r="98" customFormat="false" ht="15" hidden="false" customHeight="false" outlineLevel="0" collapsed="false">
      <c r="A98" s="5"/>
      <c r="B98" s="4"/>
      <c r="C98" s="4"/>
      <c r="D98" s="4"/>
      <c r="E98" s="24"/>
      <c r="F98" s="24"/>
      <c r="G98" s="24"/>
      <c r="H98" s="4"/>
      <c r="I98" s="25"/>
    </row>
    <row r="99" customFormat="false" ht="15" hidden="false" customHeight="false" outlineLevel="0" collapsed="false">
      <c r="A99" s="5"/>
      <c r="B99" s="4"/>
      <c r="C99" s="4"/>
      <c r="D99" s="4"/>
      <c r="E99" s="24"/>
      <c r="F99" s="24"/>
      <c r="G99" s="24"/>
      <c r="H99" s="4"/>
      <c r="I99" s="25"/>
    </row>
    <row r="100" customFormat="false" ht="15" hidden="false" customHeight="false" outlineLevel="0" collapsed="false">
      <c r="A100" s="5"/>
      <c r="B100" s="4"/>
      <c r="C100" s="4"/>
      <c r="D100" s="4"/>
      <c r="E100" s="24"/>
      <c r="F100" s="24"/>
      <c r="G100" s="24"/>
      <c r="H100" s="4"/>
      <c r="I100" s="25"/>
    </row>
    <row r="101" customFormat="false" ht="15" hidden="false" customHeight="false" outlineLevel="0" collapsed="false">
      <c r="A101" s="5"/>
      <c r="B101" s="4"/>
      <c r="C101" s="4"/>
      <c r="D101" s="4"/>
      <c r="E101" s="24"/>
      <c r="F101" s="24"/>
      <c r="G101" s="24"/>
      <c r="H101" s="4"/>
      <c r="I101" s="25"/>
    </row>
    <row r="102" customFormat="false" ht="15" hidden="false" customHeight="false" outlineLevel="0" collapsed="false">
      <c r="A102" s="5"/>
      <c r="B102" s="4"/>
      <c r="C102" s="4"/>
      <c r="D102" s="4"/>
      <c r="E102" s="24"/>
      <c r="F102" s="24"/>
      <c r="G102" s="24"/>
      <c r="H102" s="4"/>
      <c r="I102" s="25"/>
    </row>
    <row r="103" customFormat="false" ht="15" hidden="false" customHeight="false" outlineLevel="0" collapsed="false">
      <c r="A103" s="5"/>
      <c r="B103" s="4"/>
      <c r="C103" s="4"/>
      <c r="D103" s="4"/>
      <c r="E103" s="24"/>
      <c r="F103" s="24"/>
      <c r="G103" s="24"/>
      <c r="H103" s="4"/>
      <c r="I103" s="25"/>
    </row>
    <row r="104" customFormat="false" ht="15" hidden="false" customHeight="false" outlineLevel="0" collapsed="false">
      <c r="A104" s="5"/>
      <c r="B104" s="4"/>
      <c r="C104" s="4"/>
      <c r="D104" s="4"/>
      <c r="E104" s="24"/>
      <c r="F104" s="24"/>
      <c r="G104" s="24"/>
      <c r="H104" s="4"/>
      <c r="I104" s="25"/>
    </row>
    <row r="105" customFormat="false" ht="15" hidden="false" customHeight="false" outlineLevel="0" collapsed="false">
      <c r="A105" s="5"/>
      <c r="B105" s="4"/>
      <c r="C105" s="4"/>
      <c r="D105" s="4"/>
      <c r="E105" s="24"/>
      <c r="F105" s="24"/>
      <c r="G105" s="24"/>
      <c r="H105" s="4"/>
      <c r="I105" s="25"/>
    </row>
    <row r="106" customFormat="false" ht="15" hidden="false" customHeight="false" outlineLevel="0" collapsed="false">
      <c r="A106" s="5"/>
      <c r="B106" s="4"/>
      <c r="C106" s="4"/>
      <c r="D106" s="4"/>
      <c r="E106" s="24"/>
      <c r="F106" s="24"/>
      <c r="G106" s="24"/>
      <c r="H106" s="4"/>
      <c r="I106" s="25"/>
    </row>
    <row r="107" customFormat="false" ht="15" hidden="false" customHeight="false" outlineLevel="0" collapsed="false">
      <c r="A107" s="5"/>
      <c r="B107" s="4"/>
      <c r="C107" s="4"/>
      <c r="D107" s="4"/>
      <c r="E107" s="24"/>
      <c r="F107" s="24"/>
      <c r="G107" s="24"/>
      <c r="H107" s="4"/>
      <c r="I107" s="25"/>
    </row>
    <row r="108" customFormat="false" ht="15" hidden="false" customHeight="false" outlineLevel="0" collapsed="false">
      <c r="A108" s="5"/>
      <c r="B108" s="4"/>
      <c r="C108" s="4"/>
      <c r="D108" s="4"/>
      <c r="E108" s="24"/>
      <c r="F108" s="24"/>
      <c r="G108" s="24"/>
      <c r="H108" s="4"/>
      <c r="I108" s="25"/>
    </row>
    <row r="109" customFormat="false" ht="15" hidden="false" customHeight="false" outlineLevel="0" collapsed="false">
      <c r="A109" s="5"/>
      <c r="B109" s="4"/>
      <c r="C109" s="4"/>
      <c r="D109" s="4"/>
      <c r="E109" s="24"/>
      <c r="F109" s="24"/>
      <c r="G109" s="24"/>
      <c r="H109" s="4"/>
      <c r="I109" s="25"/>
    </row>
    <row r="110" customFormat="false" ht="15" hidden="false" customHeight="false" outlineLevel="0" collapsed="false">
      <c r="A110" s="5"/>
      <c r="B110" s="4"/>
      <c r="C110" s="4"/>
      <c r="D110" s="4"/>
      <c r="E110" s="24"/>
      <c r="F110" s="24"/>
      <c r="G110" s="24"/>
      <c r="H110" s="4"/>
      <c r="I110" s="25"/>
    </row>
    <row r="111" customFormat="false" ht="15" hidden="false" customHeight="false" outlineLevel="0" collapsed="false">
      <c r="A111" s="5"/>
      <c r="B111" s="4"/>
      <c r="C111" s="4"/>
      <c r="D111" s="4"/>
      <c r="E111" s="24"/>
      <c r="F111" s="24"/>
      <c r="G111" s="24"/>
      <c r="H111" s="4"/>
      <c r="I111" s="25"/>
    </row>
    <row r="112" customFormat="false" ht="15" hidden="false" customHeight="false" outlineLevel="0" collapsed="false">
      <c r="A112" s="5"/>
      <c r="B112" s="4"/>
      <c r="C112" s="4"/>
      <c r="D112" s="4"/>
      <c r="E112" s="24"/>
      <c r="F112" s="24"/>
      <c r="G112" s="24"/>
      <c r="H112" s="4"/>
      <c r="I112" s="25"/>
    </row>
    <row r="113" customFormat="false" ht="15" hidden="false" customHeight="false" outlineLevel="0" collapsed="false">
      <c r="A113" s="5"/>
      <c r="B113" s="4"/>
      <c r="C113" s="4"/>
      <c r="D113" s="4"/>
      <c r="E113" s="24"/>
      <c r="F113" s="24"/>
      <c r="G113" s="24"/>
      <c r="H113" s="4"/>
      <c r="I113" s="25"/>
    </row>
    <row r="114" customFormat="false" ht="15" hidden="false" customHeight="false" outlineLevel="0" collapsed="false">
      <c r="A114" s="5"/>
      <c r="B114" s="4"/>
      <c r="C114" s="4"/>
      <c r="D114" s="4"/>
      <c r="E114" s="24"/>
      <c r="F114" s="24"/>
      <c r="G114" s="24"/>
      <c r="H114" s="4"/>
      <c r="I114" s="25"/>
    </row>
    <row r="115" customFormat="false" ht="15" hidden="false" customHeight="false" outlineLevel="0" collapsed="false">
      <c r="A115" s="5"/>
      <c r="B115" s="4"/>
      <c r="C115" s="4"/>
      <c r="D115" s="4"/>
      <c r="E115" s="24"/>
      <c r="F115" s="24"/>
      <c r="G115" s="24"/>
      <c r="H115" s="4"/>
      <c r="I115" s="25"/>
    </row>
    <row r="116" customFormat="false" ht="15" hidden="false" customHeight="false" outlineLevel="0" collapsed="false">
      <c r="A116" s="5"/>
      <c r="B116" s="4"/>
      <c r="C116" s="4"/>
      <c r="D116" s="4"/>
      <c r="E116" s="24"/>
      <c r="F116" s="24"/>
      <c r="G116" s="24"/>
      <c r="H116" s="4"/>
      <c r="I116" s="25"/>
    </row>
    <row r="117" customFormat="false" ht="15" hidden="false" customHeight="false" outlineLevel="0" collapsed="false">
      <c r="A117" s="5"/>
      <c r="B117" s="4"/>
      <c r="C117" s="4"/>
      <c r="D117" s="4"/>
      <c r="E117" s="24"/>
      <c r="F117" s="24"/>
      <c r="G117" s="24"/>
      <c r="H117" s="4"/>
      <c r="I117" s="25"/>
    </row>
    <row r="118" customFormat="false" ht="15" hidden="false" customHeight="false" outlineLevel="0" collapsed="false">
      <c r="A118" s="5"/>
      <c r="B118" s="4"/>
      <c r="C118" s="4"/>
      <c r="D118" s="4"/>
      <c r="E118" s="24"/>
      <c r="F118" s="24"/>
      <c r="G118" s="24"/>
      <c r="H118" s="4"/>
      <c r="I118" s="25"/>
    </row>
    <row r="119" customFormat="false" ht="15" hidden="false" customHeight="false" outlineLevel="0" collapsed="false">
      <c r="A119" s="5"/>
      <c r="B119" s="4"/>
      <c r="C119" s="4"/>
      <c r="D119" s="4"/>
      <c r="E119" s="24"/>
      <c r="F119" s="24"/>
      <c r="G119" s="24"/>
      <c r="H119" s="4"/>
      <c r="I119" s="25"/>
    </row>
    <row r="120" customFormat="false" ht="15" hidden="false" customHeight="false" outlineLevel="0" collapsed="false">
      <c r="A120" s="5"/>
      <c r="B120" s="4"/>
      <c r="C120" s="4"/>
      <c r="D120" s="4"/>
      <c r="E120" s="24"/>
      <c r="F120" s="24"/>
      <c r="G120" s="24"/>
      <c r="H120" s="4"/>
      <c r="I120" s="25"/>
    </row>
    <row r="121" customFormat="false" ht="15" hidden="false" customHeight="false" outlineLevel="0" collapsed="false">
      <c r="A121" s="5"/>
      <c r="B121" s="4"/>
      <c r="C121" s="4"/>
      <c r="D121" s="4"/>
      <c r="E121" s="24"/>
      <c r="F121" s="24"/>
      <c r="G121" s="24"/>
      <c r="H121" s="4"/>
      <c r="I121" s="25"/>
    </row>
    <row r="122" customFormat="false" ht="15" hidden="false" customHeight="false" outlineLevel="0" collapsed="false">
      <c r="A122" s="5"/>
      <c r="B122" s="4"/>
      <c r="C122" s="4"/>
      <c r="D122" s="4"/>
      <c r="E122" s="24"/>
      <c r="F122" s="24"/>
      <c r="G122" s="24"/>
      <c r="H122" s="4"/>
      <c r="I122" s="25"/>
    </row>
    <row r="123" customFormat="false" ht="15" hidden="false" customHeight="false" outlineLevel="0" collapsed="false">
      <c r="A123" s="5"/>
      <c r="B123" s="4"/>
      <c r="C123" s="4"/>
      <c r="D123" s="4"/>
      <c r="E123" s="24"/>
      <c r="F123" s="24"/>
      <c r="G123" s="24"/>
      <c r="H123" s="4"/>
      <c r="I123" s="25"/>
    </row>
    <row r="124" customFormat="false" ht="15" hidden="false" customHeight="false" outlineLevel="0" collapsed="false">
      <c r="A124" s="5"/>
      <c r="B124" s="4"/>
      <c r="C124" s="4"/>
      <c r="D124" s="4"/>
      <c r="E124" s="24"/>
      <c r="F124" s="24"/>
      <c r="G124" s="24"/>
      <c r="H124" s="4"/>
      <c r="I124" s="25"/>
    </row>
    <row r="125" customFormat="false" ht="15" hidden="false" customHeight="false" outlineLevel="0" collapsed="false">
      <c r="A125" s="5"/>
      <c r="B125" s="4"/>
      <c r="C125" s="4"/>
      <c r="D125" s="4"/>
      <c r="E125" s="24"/>
      <c r="F125" s="24"/>
      <c r="G125" s="24"/>
      <c r="H125" s="4"/>
      <c r="I125" s="25"/>
    </row>
    <row r="126" customFormat="false" ht="15" hidden="false" customHeight="false" outlineLevel="0" collapsed="false">
      <c r="A126" s="5"/>
      <c r="B126" s="4"/>
      <c r="C126" s="4"/>
      <c r="D126" s="4"/>
      <c r="E126" s="24"/>
      <c r="F126" s="24"/>
      <c r="G126" s="24"/>
      <c r="H126" s="4"/>
      <c r="I126" s="25"/>
    </row>
    <row r="127" customFormat="false" ht="15" hidden="false" customHeight="false" outlineLevel="0" collapsed="false">
      <c r="A127" s="5"/>
      <c r="B127" s="4"/>
      <c r="C127" s="4"/>
      <c r="D127" s="4"/>
      <c r="E127" s="24"/>
      <c r="F127" s="24"/>
      <c r="G127" s="24"/>
      <c r="H127" s="4"/>
      <c r="I127" s="25"/>
    </row>
    <row r="128" customFormat="false" ht="15" hidden="false" customHeight="false" outlineLevel="0" collapsed="false">
      <c r="A128" s="5"/>
      <c r="B128" s="4"/>
      <c r="C128" s="4"/>
      <c r="D128" s="4"/>
      <c r="E128" s="24"/>
      <c r="F128" s="24"/>
      <c r="G128" s="24"/>
      <c r="H128" s="4"/>
      <c r="I128" s="25"/>
    </row>
    <row r="129" customFormat="false" ht="15" hidden="false" customHeight="false" outlineLevel="0" collapsed="false">
      <c r="A129" s="5"/>
      <c r="B129" s="4"/>
      <c r="C129" s="4"/>
      <c r="D129" s="4"/>
      <c r="E129" s="24"/>
      <c r="F129" s="24"/>
      <c r="G129" s="24"/>
      <c r="H129" s="4"/>
      <c r="I129" s="25"/>
    </row>
    <row r="130" customFormat="false" ht="15" hidden="false" customHeight="false" outlineLevel="0" collapsed="false">
      <c r="A130" s="5"/>
      <c r="B130" s="4"/>
      <c r="C130" s="4"/>
      <c r="D130" s="4"/>
      <c r="E130" s="24"/>
      <c r="F130" s="24"/>
      <c r="G130" s="24"/>
      <c r="H130" s="4"/>
      <c r="I130" s="25"/>
    </row>
    <row r="131" customFormat="false" ht="15" hidden="false" customHeight="false" outlineLevel="0" collapsed="false">
      <c r="A131" s="5"/>
      <c r="B131" s="4"/>
      <c r="C131" s="4"/>
      <c r="D131" s="4"/>
      <c r="E131" s="24"/>
      <c r="F131" s="24"/>
      <c r="G131" s="24"/>
      <c r="H131" s="4"/>
      <c r="I131" s="25"/>
    </row>
    <row r="132" customFormat="false" ht="15" hidden="false" customHeight="false" outlineLevel="0" collapsed="false">
      <c r="A132" s="5"/>
      <c r="B132" s="4"/>
      <c r="C132" s="4"/>
      <c r="D132" s="4"/>
      <c r="E132" s="24"/>
      <c r="F132" s="24"/>
      <c r="G132" s="24"/>
      <c r="H132" s="4"/>
      <c r="I132" s="25"/>
    </row>
    <row r="133" customFormat="false" ht="15" hidden="false" customHeight="false" outlineLevel="0" collapsed="false">
      <c r="A133" s="5"/>
      <c r="B133" s="4"/>
      <c r="C133" s="4"/>
      <c r="D133" s="4"/>
      <c r="E133" s="24"/>
      <c r="F133" s="24"/>
      <c r="G133" s="24"/>
      <c r="H133" s="4"/>
      <c r="I133" s="25"/>
    </row>
    <row r="134" customFormat="false" ht="15" hidden="false" customHeight="false" outlineLevel="0" collapsed="false">
      <c r="A134" s="5"/>
      <c r="B134" s="4"/>
      <c r="C134" s="4"/>
      <c r="D134" s="4"/>
      <c r="E134" s="24"/>
      <c r="F134" s="24"/>
      <c r="G134" s="24"/>
      <c r="H134" s="4"/>
      <c r="I134" s="25"/>
    </row>
    <row r="135" customFormat="false" ht="15" hidden="false" customHeight="false" outlineLevel="0" collapsed="false">
      <c r="A135" s="5"/>
      <c r="B135" s="4"/>
      <c r="C135" s="4"/>
      <c r="D135" s="4"/>
      <c r="E135" s="24"/>
      <c r="F135" s="24"/>
      <c r="G135" s="24"/>
      <c r="H135" s="4"/>
      <c r="I135" s="25"/>
    </row>
    <row r="136" customFormat="false" ht="15" hidden="false" customHeight="false" outlineLevel="0" collapsed="false">
      <c r="A136" s="5"/>
      <c r="B136" s="4"/>
      <c r="C136" s="4"/>
      <c r="D136" s="4"/>
      <c r="E136" s="24"/>
      <c r="F136" s="24"/>
      <c r="G136" s="24"/>
      <c r="H136" s="4"/>
      <c r="I136" s="25"/>
    </row>
    <row r="137" customFormat="false" ht="15" hidden="false" customHeight="false" outlineLevel="0" collapsed="false">
      <c r="A137" s="5"/>
      <c r="B137" s="4"/>
      <c r="C137" s="4"/>
      <c r="D137" s="4"/>
      <c r="E137" s="24"/>
      <c r="F137" s="24"/>
      <c r="G137" s="24"/>
      <c r="H137" s="4"/>
      <c r="I137" s="25"/>
    </row>
    <row r="138" customFormat="false" ht="15" hidden="false" customHeight="false" outlineLevel="0" collapsed="false">
      <c r="A138" s="5"/>
      <c r="B138" s="4"/>
      <c r="C138" s="4"/>
      <c r="D138" s="4"/>
      <c r="E138" s="24"/>
      <c r="F138" s="24"/>
      <c r="G138" s="24"/>
      <c r="H138" s="4"/>
      <c r="I138" s="25"/>
    </row>
    <row r="139" customFormat="false" ht="15" hidden="false" customHeight="false" outlineLevel="0" collapsed="false">
      <c r="A139" s="5"/>
      <c r="B139" s="4"/>
      <c r="C139" s="4"/>
      <c r="D139" s="4"/>
      <c r="E139" s="24"/>
      <c r="F139" s="24"/>
      <c r="G139" s="24"/>
      <c r="H139" s="4"/>
      <c r="I139" s="25"/>
    </row>
    <row r="140" customFormat="false" ht="15" hidden="false" customHeight="false" outlineLevel="0" collapsed="false">
      <c r="A140" s="5"/>
      <c r="B140" s="4"/>
      <c r="C140" s="4"/>
      <c r="D140" s="4"/>
      <c r="E140" s="24"/>
      <c r="F140" s="24"/>
      <c r="G140" s="24"/>
      <c r="H140" s="4"/>
      <c r="I140" s="25"/>
    </row>
    <row r="141" customFormat="false" ht="15" hidden="false" customHeight="false" outlineLevel="0" collapsed="false">
      <c r="A141" s="5"/>
      <c r="B141" s="4"/>
      <c r="C141" s="4"/>
      <c r="D141" s="4"/>
      <c r="E141" s="24"/>
      <c r="F141" s="24"/>
      <c r="G141" s="24"/>
      <c r="H141" s="4"/>
      <c r="I141" s="25"/>
    </row>
    <row r="142" customFormat="false" ht="15" hidden="false" customHeight="false" outlineLevel="0" collapsed="false">
      <c r="A142" s="5"/>
      <c r="B142" s="4"/>
      <c r="C142" s="4"/>
      <c r="D142" s="4"/>
      <c r="E142" s="24"/>
      <c r="F142" s="24"/>
      <c r="G142" s="24"/>
      <c r="H142" s="4"/>
      <c r="I142" s="25"/>
    </row>
    <row r="143" customFormat="false" ht="15" hidden="false" customHeight="false" outlineLevel="0" collapsed="false">
      <c r="A143" s="5"/>
      <c r="B143" s="4"/>
      <c r="C143" s="4"/>
      <c r="D143" s="4"/>
      <c r="E143" s="24"/>
      <c r="F143" s="24"/>
      <c r="G143" s="24"/>
      <c r="H143" s="4"/>
      <c r="I143" s="25"/>
    </row>
    <row r="144" customFormat="false" ht="15" hidden="false" customHeight="false" outlineLevel="0" collapsed="false">
      <c r="A144" s="5"/>
      <c r="B144" s="4"/>
      <c r="C144" s="4"/>
      <c r="D144" s="4"/>
      <c r="E144" s="24"/>
      <c r="F144" s="24"/>
      <c r="G144" s="24"/>
      <c r="H144" s="4"/>
      <c r="I144" s="25"/>
    </row>
    <row r="145" customFormat="false" ht="15" hidden="false" customHeight="false" outlineLevel="0" collapsed="false">
      <c r="A145" s="5"/>
      <c r="B145" s="4"/>
      <c r="C145" s="4"/>
      <c r="D145" s="4"/>
      <c r="E145" s="24"/>
      <c r="F145" s="24"/>
      <c r="G145" s="24"/>
      <c r="H145" s="4"/>
      <c r="I145" s="25"/>
    </row>
    <row r="146" customFormat="false" ht="15" hidden="false" customHeight="false" outlineLevel="0" collapsed="false">
      <c r="A146" s="5"/>
      <c r="B146" s="4"/>
      <c r="C146" s="4"/>
      <c r="D146" s="4"/>
      <c r="E146" s="24"/>
      <c r="F146" s="24"/>
      <c r="G146" s="24"/>
      <c r="H146" s="4"/>
      <c r="I146" s="25"/>
    </row>
    <row r="147" customFormat="false" ht="15" hidden="false" customHeight="false" outlineLevel="0" collapsed="false">
      <c r="A147" s="5"/>
      <c r="B147" s="4"/>
      <c r="C147" s="4"/>
      <c r="D147" s="4"/>
      <c r="E147" s="24"/>
      <c r="F147" s="24"/>
      <c r="G147" s="24"/>
      <c r="H147" s="4"/>
      <c r="I147" s="25"/>
    </row>
    <row r="148" customFormat="false" ht="15" hidden="false" customHeight="false" outlineLevel="0" collapsed="false">
      <c r="A148" s="5"/>
      <c r="B148" s="4"/>
      <c r="C148" s="4"/>
      <c r="D148" s="4"/>
      <c r="E148" s="24"/>
      <c r="F148" s="24"/>
      <c r="G148" s="24"/>
      <c r="H148" s="4"/>
      <c r="I148" s="25"/>
    </row>
    <row r="149" customFormat="false" ht="15" hidden="false" customHeight="false" outlineLevel="0" collapsed="false">
      <c r="A149" s="5"/>
      <c r="B149" s="4"/>
      <c r="C149" s="4"/>
      <c r="D149" s="4"/>
      <c r="E149" s="24"/>
      <c r="F149" s="24"/>
      <c r="G149" s="24"/>
      <c r="H149" s="4"/>
      <c r="I149" s="25"/>
    </row>
    <row r="150" customFormat="false" ht="15" hidden="false" customHeight="false" outlineLevel="0" collapsed="false">
      <c r="A150" s="5"/>
      <c r="B150" s="4"/>
      <c r="C150" s="4"/>
      <c r="D150" s="4"/>
      <c r="E150" s="24"/>
      <c r="F150" s="24"/>
      <c r="G150" s="24"/>
      <c r="H150" s="4"/>
      <c r="I150" s="25"/>
    </row>
    <row r="151" customFormat="false" ht="15" hidden="false" customHeight="false" outlineLevel="0" collapsed="false">
      <c r="A151" s="5"/>
      <c r="B151" s="4"/>
      <c r="C151" s="4"/>
      <c r="D151" s="4"/>
      <c r="E151" s="24"/>
      <c r="F151" s="24"/>
      <c r="G151" s="24"/>
      <c r="H151" s="4"/>
      <c r="I151" s="25"/>
    </row>
    <row r="152" customFormat="false" ht="15" hidden="false" customHeight="false" outlineLevel="0" collapsed="false">
      <c r="A152" s="5"/>
      <c r="B152" s="4"/>
      <c r="C152" s="4"/>
      <c r="D152" s="4"/>
      <c r="E152" s="24"/>
      <c r="F152" s="24"/>
      <c r="G152" s="24"/>
      <c r="H152" s="4"/>
      <c r="I152" s="25"/>
    </row>
    <row r="153" customFormat="false" ht="15" hidden="false" customHeight="false" outlineLevel="0" collapsed="false">
      <c r="A153" s="5"/>
      <c r="B153" s="4"/>
      <c r="C153" s="4"/>
      <c r="D153" s="4"/>
      <c r="E153" s="24"/>
      <c r="F153" s="24"/>
      <c r="G153" s="24"/>
      <c r="H153" s="4"/>
      <c r="I153" s="25"/>
    </row>
    <row r="154" customFormat="false" ht="15" hidden="false" customHeight="false" outlineLevel="0" collapsed="false">
      <c r="A154" s="5"/>
      <c r="B154" s="4"/>
      <c r="C154" s="4"/>
      <c r="D154" s="4"/>
      <c r="E154" s="24"/>
      <c r="F154" s="24"/>
      <c r="G154" s="24"/>
      <c r="H154" s="4"/>
      <c r="I154" s="25"/>
    </row>
    <row r="155" customFormat="false" ht="15" hidden="false" customHeight="false" outlineLevel="0" collapsed="false">
      <c r="A155" s="5"/>
      <c r="B155" s="4"/>
      <c r="C155" s="4"/>
      <c r="D155" s="4"/>
      <c r="E155" s="24"/>
      <c r="F155" s="24"/>
      <c r="G155" s="24"/>
      <c r="H155" s="4"/>
      <c r="I155" s="25"/>
    </row>
    <row r="156" customFormat="false" ht="15" hidden="false" customHeight="false" outlineLevel="0" collapsed="false">
      <c r="A156" s="5"/>
      <c r="B156" s="4"/>
      <c r="C156" s="4"/>
      <c r="D156" s="4"/>
      <c r="E156" s="24"/>
      <c r="F156" s="24"/>
      <c r="G156" s="24"/>
      <c r="H156" s="4"/>
      <c r="I156" s="25"/>
    </row>
    <row r="157" customFormat="false" ht="15" hidden="false" customHeight="false" outlineLevel="0" collapsed="false">
      <c r="A157" s="5"/>
      <c r="B157" s="4"/>
      <c r="C157" s="4"/>
      <c r="D157" s="4"/>
      <c r="E157" s="24"/>
      <c r="F157" s="24"/>
      <c r="G157" s="24"/>
      <c r="H157" s="4"/>
      <c r="I157" s="25"/>
    </row>
    <row r="158" customFormat="false" ht="15" hidden="false" customHeight="false" outlineLevel="0" collapsed="false">
      <c r="A158" s="5"/>
      <c r="B158" s="4"/>
      <c r="C158" s="4"/>
      <c r="D158" s="4"/>
      <c r="E158" s="24"/>
      <c r="F158" s="24"/>
      <c r="G158" s="24"/>
      <c r="H158" s="4"/>
      <c r="I158" s="25"/>
    </row>
    <row r="159" customFormat="false" ht="15" hidden="false" customHeight="false" outlineLevel="0" collapsed="false">
      <c r="A159" s="5"/>
      <c r="B159" s="4"/>
      <c r="C159" s="4"/>
      <c r="D159" s="4"/>
      <c r="E159" s="24"/>
      <c r="F159" s="24"/>
      <c r="G159" s="24"/>
      <c r="H159" s="4"/>
      <c r="I159" s="25"/>
    </row>
    <row r="160" customFormat="false" ht="15" hidden="false" customHeight="false" outlineLevel="0" collapsed="false">
      <c r="A160" s="5"/>
      <c r="B160" s="4"/>
      <c r="C160" s="4"/>
      <c r="D160" s="4"/>
      <c r="E160" s="24"/>
      <c r="F160" s="24"/>
      <c r="G160" s="24"/>
      <c r="H160" s="4"/>
      <c r="I160" s="25"/>
    </row>
    <row r="161" customFormat="false" ht="15" hidden="false" customHeight="false" outlineLevel="0" collapsed="false">
      <c r="A161" s="5"/>
      <c r="B161" s="4"/>
      <c r="C161" s="4"/>
      <c r="D161" s="4"/>
      <c r="E161" s="24"/>
      <c r="F161" s="24"/>
      <c r="G161" s="24"/>
      <c r="H161" s="4"/>
      <c r="I161" s="25"/>
    </row>
    <row r="162" customFormat="false" ht="15" hidden="false" customHeight="false" outlineLevel="0" collapsed="false">
      <c r="A162" s="5"/>
      <c r="B162" s="4"/>
      <c r="C162" s="4"/>
      <c r="D162" s="4"/>
      <c r="E162" s="24"/>
      <c r="F162" s="24"/>
      <c r="G162" s="24"/>
      <c r="H162" s="4"/>
      <c r="I162" s="25"/>
    </row>
    <row r="163" customFormat="false" ht="15" hidden="false" customHeight="false" outlineLevel="0" collapsed="false">
      <c r="A163" s="5"/>
      <c r="B163" s="4"/>
      <c r="C163" s="4"/>
      <c r="D163" s="4"/>
      <c r="E163" s="24"/>
      <c r="F163" s="24"/>
      <c r="G163" s="24"/>
      <c r="H163" s="4"/>
      <c r="I163" s="25"/>
    </row>
    <row r="164" customFormat="false" ht="15" hidden="false" customHeight="false" outlineLevel="0" collapsed="false">
      <c r="A164" s="5"/>
      <c r="B164" s="4"/>
      <c r="C164" s="4"/>
      <c r="D164" s="4"/>
      <c r="E164" s="24"/>
      <c r="F164" s="24"/>
      <c r="G164" s="24"/>
      <c r="H164" s="4"/>
      <c r="I164" s="25"/>
    </row>
    <row r="165" customFormat="false" ht="15" hidden="false" customHeight="false" outlineLevel="0" collapsed="false">
      <c r="A165" s="5"/>
      <c r="B165" s="4"/>
      <c r="C165" s="4"/>
      <c r="D165" s="4"/>
      <c r="E165" s="24"/>
      <c r="F165" s="24"/>
      <c r="G165" s="24"/>
      <c r="H165" s="4"/>
      <c r="I165" s="25"/>
    </row>
    <row r="166" customFormat="false" ht="15" hidden="false" customHeight="false" outlineLevel="0" collapsed="false">
      <c r="A166" s="5"/>
      <c r="B166" s="4"/>
      <c r="C166" s="4"/>
      <c r="D166" s="4"/>
      <c r="E166" s="24"/>
      <c r="F166" s="24"/>
      <c r="G166" s="24"/>
      <c r="H166" s="4"/>
      <c r="I166" s="25"/>
    </row>
    <row r="167" customFormat="false" ht="15" hidden="false" customHeight="false" outlineLevel="0" collapsed="false">
      <c r="A167" s="5"/>
      <c r="B167" s="4"/>
      <c r="C167" s="4"/>
      <c r="D167" s="4"/>
      <c r="E167" s="24"/>
      <c r="F167" s="24"/>
      <c r="G167" s="24"/>
      <c r="H167" s="4"/>
      <c r="I167" s="25"/>
    </row>
    <row r="168" customFormat="false" ht="15" hidden="false" customHeight="false" outlineLevel="0" collapsed="false">
      <c r="A168" s="5"/>
      <c r="B168" s="4"/>
      <c r="C168" s="4"/>
      <c r="D168" s="4"/>
      <c r="E168" s="24"/>
      <c r="F168" s="24"/>
      <c r="G168" s="24"/>
      <c r="H168" s="4"/>
      <c r="I168" s="25"/>
    </row>
    <row r="169" customFormat="false" ht="15" hidden="false" customHeight="false" outlineLevel="0" collapsed="false">
      <c r="A169" s="5"/>
      <c r="B169" s="4"/>
      <c r="C169" s="4"/>
      <c r="D169" s="4"/>
      <c r="E169" s="24"/>
      <c r="F169" s="24"/>
      <c r="G169" s="24"/>
      <c r="H169" s="4"/>
      <c r="I169" s="25"/>
    </row>
    <row r="170" customFormat="false" ht="15" hidden="false" customHeight="false" outlineLevel="0" collapsed="false">
      <c r="A170" s="5"/>
      <c r="B170" s="4"/>
      <c r="C170" s="4"/>
      <c r="D170" s="4"/>
      <c r="E170" s="24"/>
      <c r="F170" s="24"/>
      <c r="G170" s="24"/>
      <c r="H170" s="4"/>
      <c r="I170" s="25"/>
    </row>
    <row r="171" customFormat="false" ht="15" hidden="false" customHeight="false" outlineLevel="0" collapsed="false">
      <c r="A171" s="5"/>
      <c r="B171" s="4"/>
      <c r="C171" s="4"/>
      <c r="D171" s="4"/>
      <c r="E171" s="24"/>
      <c r="F171" s="24"/>
      <c r="G171" s="24"/>
      <c r="H171" s="4"/>
      <c r="I171" s="25"/>
    </row>
    <row r="172" customFormat="false" ht="15" hidden="false" customHeight="false" outlineLevel="0" collapsed="false">
      <c r="A172" s="5"/>
      <c r="B172" s="4"/>
      <c r="C172" s="4"/>
      <c r="D172" s="4"/>
      <c r="E172" s="24"/>
      <c r="F172" s="24"/>
      <c r="G172" s="24"/>
      <c r="H172" s="4"/>
      <c r="I172" s="25"/>
    </row>
    <row r="173" customFormat="false" ht="15" hidden="false" customHeight="false" outlineLevel="0" collapsed="false">
      <c r="A173" s="5"/>
      <c r="B173" s="4"/>
      <c r="C173" s="4"/>
      <c r="D173" s="4"/>
      <c r="E173" s="24"/>
      <c r="F173" s="24"/>
      <c r="G173" s="24"/>
      <c r="H173" s="4"/>
      <c r="I173" s="25"/>
    </row>
    <row r="174" customFormat="false" ht="15" hidden="false" customHeight="false" outlineLevel="0" collapsed="false">
      <c r="A174" s="5"/>
      <c r="B174" s="4"/>
      <c r="C174" s="4"/>
      <c r="D174" s="4"/>
      <c r="E174" s="24"/>
      <c r="F174" s="24"/>
      <c r="G174" s="24"/>
      <c r="H174" s="4"/>
      <c r="I174" s="25"/>
    </row>
    <row r="175" customFormat="false" ht="15" hidden="false" customHeight="false" outlineLevel="0" collapsed="false">
      <c r="A175" s="5"/>
      <c r="B175" s="4"/>
      <c r="C175" s="4"/>
      <c r="D175" s="4"/>
      <c r="E175" s="24"/>
      <c r="F175" s="24"/>
      <c r="G175" s="24"/>
      <c r="H175" s="4"/>
      <c r="I175" s="25"/>
    </row>
    <row r="176" customFormat="false" ht="15" hidden="false" customHeight="false" outlineLevel="0" collapsed="false">
      <c r="A176" s="5"/>
      <c r="B176" s="4"/>
      <c r="C176" s="4"/>
      <c r="D176" s="4"/>
      <c r="E176" s="24"/>
      <c r="F176" s="24"/>
      <c r="G176" s="24"/>
      <c r="H176" s="4"/>
      <c r="I176" s="25"/>
    </row>
    <row r="177" customFormat="false" ht="15" hidden="false" customHeight="false" outlineLevel="0" collapsed="false">
      <c r="A177" s="5"/>
      <c r="B177" s="4"/>
      <c r="C177" s="4"/>
      <c r="D177" s="4"/>
      <c r="E177" s="24"/>
      <c r="F177" s="24"/>
      <c r="G177" s="24"/>
      <c r="H177" s="4"/>
      <c r="I177" s="25"/>
    </row>
    <row r="178" customFormat="false" ht="15" hidden="false" customHeight="false" outlineLevel="0" collapsed="false">
      <c r="A178" s="5"/>
      <c r="B178" s="4"/>
      <c r="C178" s="4"/>
      <c r="D178" s="4"/>
      <c r="E178" s="24"/>
      <c r="F178" s="24"/>
      <c r="G178" s="24"/>
      <c r="H178" s="4"/>
      <c r="I178" s="25"/>
    </row>
    <row r="179" customFormat="false" ht="15" hidden="false" customHeight="false" outlineLevel="0" collapsed="false">
      <c r="A179" s="5"/>
      <c r="B179" s="4"/>
      <c r="C179" s="4"/>
      <c r="D179" s="4"/>
      <c r="E179" s="24"/>
      <c r="F179" s="24"/>
      <c r="G179" s="24"/>
      <c r="H179" s="4"/>
      <c r="I179" s="25"/>
    </row>
    <row r="180" customFormat="false" ht="15" hidden="false" customHeight="false" outlineLevel="0" collapsed="false">
      <c r="A180" s="5"/>
      <c r="B180" s="4"/>
      <c r="C180" s="4"/>
      <c r="D180" s="4"/>
      <c r="E180" s="24"/>
      <c r="F180" s="24"/>
      <c r="G180" s="24"/>
      <c r="H180" s="4"/>
      <c r="I180" s="25"/>
    </row>
    <row r="181" customFormat="false" ht="15" hidden="false" customHeight="false" outlineLevel="0" collapsed="false">
      <c r="A181" s="5"/>
      <c r="B181" s="4"/>
      <c r="C181" s="4"/>
      <c r="D181" s="4"/>
      <c r="E181" s="24"/>
      <c r="F181" s="24"/>
      <c r="G181" s="24"/>
      <c r="H181" s="4"/>
      <c r="I181" s="25"/>
    </row>
    <row r="182" customFormat="false" ht="15" hidden="false" customHeight="false" outlineLevel="0" collapsed="false">
      <c r="A182" s="5"/>
      <c r="B182" s="4"/>
      <c r="C182" s="4"/>
      <c r="D182" s="4"/>
      <c r="E182" s="24"/>
      <c r="F182" s="24"/>
      <c r="G182" s="24"/>
      <c r="H182" s="4"/>
      <c r="I182" s="25"/>
    </row>
    <row r="183" customFormat="false" ht="15" hidden="false" customHeight="false" outlineLevel="0" collapsed="false">
      <c r="A183" s="5"/>
      <c r="B183" s="4"/>
      <c r="C183" s="4"/>
      <c r="D183" s="4"/>
      <c r="E183" s="24"/>
      <c r="F183" s="24"/>
      <c r="G183" s="24"/>
      <c r="H183" s="4"/>
      <c r="I183" s="25"/>
    </row>
    <row r="184" customFormat="false" ht="15" hidden="false" customHeight="false" outlineLevel="0" collapsed="false">
      <c r="A184" s="5"/>
      <c r="B184" s="4"/>
      <c r="C184" s="4"/>
      <c r="D184" s="4"/>
      <c r="E184" s="24"/>
      <c r="F184" s="24"/>
      <c r="G184" s="24"/>
      <c r="H184" s="4"/>
      <c r="I184" s="25"/>
    </row>
    <row r="185" customFormat="false" ht="15" hidden="false" customHeight="false" outlineLevel="0" collapsed="false">
      <c r="A185" s="5"/>
      <c r="B185" s="4"/>
      <c r="C185" s="4"/>
      <c r="D185" s="4"/>
      <c r="E185" s="24"/>
      <c r="F185" s="24"/>
      <c r="G185" s="24"/>
      <c r="H185" s="4"/>
      <c r="I185" s="25"/>
    </row>
    <row r="186" customFormat="false" ht="15" hidden="false" customHeight="false" outlineLevel="0" collapsed="false">
      <c r="A186" s="5"/>
      <c r="B186" s="4"/>
      <c r="C186" s="4"/>
      <c r="D186" s="4"/>
      <c r="E186" s="24"/>
      <c r="F186" s="24"/>
      <c r="G186" s="24"/>
      <c r="H186" s="4"/>
      <c r="I186" s="25"/>
    </row>
    <row r="187" customFormat="false" ht="15" hidden="false" customHeight="false" outlineLevel="0" collapsed="false">
      <c r="A187" s="5"/>
      <c r="B187" s="4"/>
      <c r="C187" s="4"/>
      <c r="D187" s="4"/>
      <c r="E187" s="24"/>
      <c r="F187" s="24"/>
      <c r="G187" s="24"/>
      <c r="H187" s="4"/>
      <c r="I187" s="25"/>
    </row>
    <row r="188" customFormat="false" ht="15" hidden="false" customHeight="false" outlineLevel="0" collapsed="false">
      <c r="A188" s="5"/>
      <c r="B188" s="4"/>
      <c r="C188" s="4"/>
      <c r="D188" s="4"/>
      <c r="E188" s="24"/>
      <c r="F188" s="24"/>
      <c r="G188" s="24"/>
      <c r="H188" s="4"/>
      <c r="I188" s="25"/>
    </row>
    <row r="189" customFormat="false" ht="15" hidden="false" customHeight="false" outlineLevel="0" collapsed="false">
      <c r="A189" s="5"/>
      <c r="B189" s="4"/>
      <c r="C189" s="4"/>
      <c r="D189" s="4"/>
      <c r="E189" s="24"/>
      <c r="F189" s="24"/>
      <c r="G189" s="24"/>
      <c r="H189" s="4"/>
      <c r="I189" s="25"/>
    </row>
    <row r="190" customFormat="false" ht="15" hidden="false" customHeight="false" outlineLevel="0" collapsed="false">
      <c r="A190" s="5"/>
      <c r="B190" s="4"/>
      <c r="C190" s="4"/>
      <c r="D190" s="4"/>
      <c r="E190" s="24"/>
      <c r="F190" s="24"/>
      <c r="G190" s="24"/>
      <c r="H190" s="4"/>
      <c r="I190" s="25"/>
    </row>
    <row r="191" customFormat="false" ht="15" hidden="false" customHeight="false" outlineLevel="0" collapsed="false">
      <c r="A191" s="5"/>
      <c r="B191" s="4"/>
      <c r="C191" s="4"/>
      <c r="D191" s="4"/>
      <c r="E191" s="24"/>
      <c r="F191" s="24"/>
      <c r="G191" s="24"/>
      <c r="H191" s="4"/>
      <c r="I191" s="25"/>
    </row>
    <row r="192" customFormat="false" ht="15" hidden="false" customHeight="false" outlineLevel="0" collapsed="false">
      <c r="A192" s="5"/>
      <c r="B192" s="4"/>
      <c r="C192" s="4"/>
      <c r="D192" s="4"/>
      <c r="E192" s="24"/>
      <c r="F192" s="24"/>
      <c r="G192" s="24"/>
      <c r="H192" s="4"/>
      <c r="I192" s="25"/>
    </row>
    <row r="193" customFormat="false" ht="15" hidden="false" customHeight="false" outlineLevel="0" collapsed="false">
      <c r="A193" s="5"/>
      <c r="B193" s="4"/>
      <c r="C193" s="4"/>
      <c r="D193" s="4"/>
      <c r="E193" s="24"/>
      <c r="F193" s="24"/>
      <c r="G193" s="24"/>
      <c r="H193" s="4"/>
      <c r="I193" s="25"/>
    </row>
    <row r="194" customFormat="false" ht="15" hidden="false" customHeight="false" outlineLevel="0" collapsed="false">
      <c r="A194" s="5"/>
      <c r="B194" s="4"/>
      <c r="C194" s="4"/>
      <c r="D194" s="4"/>
      <c r="E194" s="24"/>
      <c r="F194" s="24"/>
      <c r="G194" s="24"/>
      <c r="H194" s="4"/>
      <c r="I194" s="25"/>
    </row>
    <row r="195" customFormat="false" ht="15" hidden="false" customHeight="false" outlineLevel="0" collapsed="false">
      <c r="A195" s="5"/>
      <c r="B195" s="4"/>
      <c r="C195" s="4"/>
      <c r="D195" s="4"/>
      <c r="E195" s="24"/>
      <c r="F195" s="24"/>
      <c r="G195" s="24"/>
      <c r="H195" s="4"/>
      <c r="I195" s="25"/>
    </row>
    <row r="196" customFormat="false" ht="15" hidden="false" customHeight="false" outlineLevel="0" collapsed="false">
      <c r="A196" s="5"/>
      <c r="B196" s="4"/>
      <c r="C196" s="4"/>
      <c r="D196" s="4"/>
      <c r="E196" s="24"/>
      <c r="F196" s="24"/>
      <c r="G196" s="24"/>
      <c r="H196" s="4"/>
      <c r="I196" s="25"/>
    </row>
    <row r="197" customFormat="false" ht="15" hidden="false" customHeight="false" outlineLevel="0" collapsed="false">
      <c r="A197" s="5"/>
      <c r="B197" s="4"/>
      <c r="C197" s="4"/>
      <c r="D197" s="4"/>
      <c r="E197" s="24"/>
      <c r="F197" s="24"/>
      <c r="G197" s="24"/>
      <c r="H197" s="4"/>
      <c r="I197" s="25"/>
    </row>
    <row r="198" customFormat="false" ht="15" hidden="false" customHeight="false" outlineLevel="0" collapsed="false">
      <c r="A198" s="5"/>
      <c r="B198" s="4"/>
      <c r="C198" s="4"/>
      <c r="D198" s="4"/>
      <c r="E198" s="24"/>
      <c r="F198" s="24"/>
      <c r="G198" s="24"/>
      <c r="H198" s="4"/>
      <c r="I198" s="25"/>
    </row>
    <row r="199" customFormat="false" ht="15" hidden="false" customHeight="false" outlineLevel="0" collapsed="false">
      <c r="A199" s="5"/>
      <c r="B199" s="4"/>
      <c r="C199" s="4"/>
      <c r="D199" s="4"/>
      <c r="E199" s="24"/>
      <c r="F199" s="24"/>
      <c r="G199" s="24"/>
      <c r="H199" s="4"/>
      <c r="I199" s="25"/>
    </row>
    <row r="200" customFormat="false" ht="15" hidden="false" customHeight="false" outlineLevel="0" collapsed="false">
      <c r="A200" s="5"/>
      <c r="B200" s="4"/>
      <c r="C200" s="4"/>
      <c r="D200" s="4"/>
      <c r="E200" s="24"/>
      <c r="F200" s="24"/>
      <c r="G200" s="24"/>
      <c r="H200" s="4"/>
      <c r="I200" s="25"/>
    </row>
    <row r="201" customFormat="false" ht="15" hidden="false" customHeight="false" outlineLevel="0" collapsed="false">
      <c r="A201" s="5"/>
      <c r="B201" s="4"/>
      <c r="C201" s="4"/>
      <c r="D201" s="4"/>
      <c r="E201" s="24"/>
      <c r="F201" s="24"/>
      <c r="G201" s="24"/>
      <c r="H201" s="4"/>
      <c r="I201" s="25"/>
    </row>
    <row r="202" customFormat="false" ht="15" hidden="false" customHeight="false" outlineLevel="0" collapsed="false">
      <c r="A202" s="5"/>
      <c r="B202" s="4"/>
      <c r="C202" s="4"/>
      <c r="D202" s="4"/>
      <c r="E202" s="24"/>
      <c r="F202" s="24"/>
      <c r="G202" s="24"/>
      <c r="H202" s="4"/>
      <c r="I202" s="25"/>
    </row>
    <row r="203" customFormat="false" ht="15" hidden="false" customHeight="false" outlineLevel="0" collapsed="false">
      <c r="A203" s="5"/>
      <c r="B203" s="4"/>
      <c r="C203" s="4"/>
      <c r="D203" s="4"/>
      <c r="E203" s="24"/>
      <c r="F203" s="24"/>
      <c r="G203" s="24"/>
      <c r="H203" s="4"/>
      <c r="I203" s="25"/>
    </row>
    <row r="204" customFormat="false" ht="15" hidden="false" customHeight="false" outlineLevel="0" collapsed="false">
      <c r="A204" s="5"/>
      <c r="B204" s="4"/>
      <c r="C204" s="4"/>
      <c r="D204" s="4"/>
      <c r="E204" s="24"/>
      <c r="F204" s="24"/>
      <c r="G204" s="24"/>
      <c r="H204" s="4"/>
      <c r="I204" s="25"/>
    </row>
    <row r="205" customFormat="false" ht="15" hidden="false" customHeight="false" outlineLevel="0" collapsed="false">
      <c r="A205" s="5"/>
      <c r="B205" s="4"/>
      <c r="C205" s="4"/>
      <c r="D205" s="4"/>
      <c r="E205" s="24"/>
      <c r="F205" s="24"/>
      <c r="G205" s="24"/>
      <c r="H205" s="4"/>
      <c r="I205" s="25"/>
    </row>
    <row r="206" customFormat="false" ht="15" hidden="false" customHeight="false" outlineLevel="0" collapsed="false">
      <c r="A206" s="5"/>
      <c r="B206" s="4"/>
      <c r="C206" s="4"/>
      <c r="D206" s="4"/>
      <c r="E206" s="24"/>
      <c r="F206" s="24"/>
      <c r="G206" s="24"/>
      <c r="H206" s="4"/>
      <c r="I206" s="25"/>
    </row>
    <row r="207" customFormat="false" ht="15" hidden="false" customHeight="false" outlineLevel="0" collapsed="false">
      <c r="A207" s="5"/>
      <c r="B207" s="4"/>
      <c r="C207" s="4"/>
      <c r="D207" s="4"/>
      <c r="E207" s="24"/>
      <c r="F207" s="24"/>
      <c r="G207" s="24"/>
      <c r="H207" s="4"/>
      <c r="I207" s="25"/>
    </row>
    <row r="208" customFormat="false" ht="15" hidden="false" customHeight="false" outlineLevel="0" collapsed="false">
      <c r="A208" s="5"/>
      <c r="B208" s="4"/>
      <c r="C208" s="4"/>
      <c r="D208" s="4"/>
      <c r="E208" s="24"/>
      <c r="F208" s="24"/>
      <c r="G208" s="24"/>
      <c r="H208" s="4"/>
      <c r="I208" s="25"/>
    </row>
    <row r="209" customFormat="false" ht="15" hidden="false" customHeight="false" outlineLevel="0" collapsed="false">
      <c r="A209" s="5"/>
      <c r="B209" s="4"/>
      <c r="C209" s="4"/>
      <c r="D209" s="4"/>
      <c r="E209" s="24"/>
      <c r="F209" s="24"/>
      <c r="G209" s="24"/>
      <c r="H209" s="4"/>
      <c r="I209" s="25"/>
    </row>
    <row r="210" customFormat="false" ht="15" hidden="false" customHeight="false" outlineLevel="0" collapsed="false">
      <c r="A210" s="5"/>
      <c r="B210" s="4"/>
      <c r="C210" s="4"/>
      <c r="D210" s="4"/>
      <c r="E210" s="24"/>
      <c r="F210" s="24"/>
      <c r="G210" s="24"/>
      <c r="H210" s="4"/>
      <c r="I210" s="25"/>
    </row>
    <row r="211" customFormat="false" ht="15" hidden="false" customHeight="false" outlineLevel="0" collapsed="false">
      <c r="A211" s="5"/>
      <c r="B211" s="4"/>
      <c r="C211" s="4"/>
      <c r="D211" s="4"/>
      <c r="E211" s="24"/>
      <c r="F211" s="24"/>
      <c r="G211" s="24"/>
      <c r="H211" s="4"/>
      <c r="I211" s="25"/>
    </row>
    <row r="212" customFormat="false" ht="15" hidden="false" customHeight="false" outlineLevel="0" collapsed="false">
      <c r="A212" s="5"/>
      <c r="B212" s="4"/>
      <c r="C212" s="4"/>
      <c r="D212" s="4"/>
      <c r="E212" s="24"/>
      <c r="F212" s="24"/>
      <c r="G212" s="24"/>
      <c r="H212" s="4"/>
      <c r="I212" s="25"/>
    </row>
    <row r="213" customFormat="false" ht="15" hidden="false" customHeight="false" outlineLevel="0" collapsed="false">
      <c r="A213" s="5"/>
      <c r="B213" s="4"/>
      <c r="C213" s="4"/>
      <c r="D213" s="4"/>
      <c r="E213" s="24"/>
      <c r="F213" s="24"/>
      <c r="G213" s="24"/>
      <c r="H213" s="4"/>
      <c r="I213" s="25"/>
    </row>
    <row r="214" customFormat="false" ht="15" hidden="false" customHeight="false" outlineLevel="0" collapsed="false">
      <c r="A214" s="5"/>
      <c r="B214" s="4"/>
      <c r="C214" s="4"/>
      <c r="D214" s="4"/>
      <c r="E214" s="24"/>
      <c r="F214" s="24"/>
      <c r="G214" s="24"/>
      <c r="H214" s="4"/>
      <c r="I214" s="25"/>
    </row>
    <row r="215" customFormat="false" ht="15" hidden="false" customHeight="false" outlineLevel="0" collapsed="false">
      <c r="A215" s="5"/>
      <c r="B215" s="4"/>
      <c r="C215" s="4"/>
      <c r="D215" s="4"/>
      <c r="E215" s="24"/>
      <c r="F215" s="24"/>
      <c r="G215" s="24"/>
      <c r="H215" s="4"/>
      <c r="I215" s="25"/>
    </row>
    <row r="216" customFormat="false" ht="15" hidden="false" customHeight="false" outlineLevel="0" collapsed="false">
      <c r="A216" s="5"/>
      <c r="B216" s="4"/>
      <c r="C216" s="4"/>
      <c r="D216" s="4"/>
      <c r="E216" s="24"/>
      <c r="F216" s="24"/>
      <c r="G216" s="24"/>
      <c r="H216" s="4"/>
      <c r="I216" s="25"/>
    </row>
    <row r="217" customFormat="false" ht="15" hidden="false" customHeight="false" outlineLevel="0" collapsed="false">
      <c r="A217" s="5"/>
      <c r="B217" s="4"/>
      <c r="C217" s="4"/>
      <c r="D217" s="4"/>
      <c r="E217" s="24"/>
      <c r="F217" s="24"/>
      <c r="G217" s="24"/>
      <c r="H217" s="4"/>
      <c r="I217" s="25"/>
    </row>
    <row r="218" customFormat="false" ht="15" hidden="false" customHeight="false" outlineLevel="0" collapsed="false">
      <c r="A218" s="5"/>
      <c r="B218" s="4"/>
      <c r="C218" s="4"/>
      <c r="D218" s="4"/>
      <c r="E218" s="24"/>
      <c r="F218" s="24"/>
      <c r="G218" s="24"/>
      <c r="H218" s="4"/>
      <c r="I218" s="25"/>
    </row>
    <row r="219" customFormat="false" ht="15" hidden="false" customHeight="false" outlineLevel="0" collapsed="false">
      <c r="A219" s="5"/>
      <c r="B219" s="4"/>
      <c r="C219" s="4"/>
      <c r="D219" s="4"/>
      <c r="E219" s="24"/>
      <c r="F219" s="24"/>
      <c r="G219" s="24"/>
      <c r="H219" s="4"/>
      <c r="I219" s="25"/>
    </row>
    <row r="220" customFormat="false" ht="15" hidden="false" customHeight="false" outlineLevel="0" collapsed="false">
      <c r="A220" s="5"/>
      <c r="B220" s="4"/>
      <c r="C220" s="4"/>
      <c r="D220" s="4"/>
      <c r="E220" s="24"/>
      <c r="F220" s="24"/>
      <c r="G220" s="24"/>
      <c r="H220" s="4"/>
      <c r="I220" s="25"/>
    </row>
    <row r="221" customFormat="false" ht="15" hidden="false" customHeight="false" outlineLevel="0" collapsed="false">
      <c r="A221" s="5"/>
      <c r="B221" s="4"/>
      <c r="C221" s="4"/>
      <c r="D221" s="4"/>
      <c r="E221" s="24"/>
      <c r="F221" s="24"/>
      <c r="G221" s="24"/>
      <c r="H221" s="4"/>
      <c r="I221" s="25"/>
    </row>
    <row r="222" customFormat="false" ht="15" hidden="false" customHeight="false" outlineLevel="0" collapsed="false">
      <c r="A222" s="5"/>
      <c r="B222" s="4"/>
      <c r="C222" s="4"/>
      <c r="D222" s="4"/>
      <c r="E222" s="24"/>
      <c r="F222" s="24"/>
      <c r="G222" s="24"/>
      <c r="H222" s="4"/>
      <c r="I222" s="25"/>
    </row>
    <row r="223" customFormat="false" ht="15" hidden="false" customHeight="false" outlineLevel="0" collapsed="false">
      <c r="A223" s="5"/>
      <c r="B223" s="4"/>
      <c r="C223" s="4"/>
      <c r="D223" s="4"/>
      <c r="E223" s="24"/>
      <c r="F223" s="24"/>
      <c r="G223" s="24"/>
      <c r="H223" s="4"/>
      <c r="I223" s="25"/>
    </row>
    <row r="224" customFormat="false" ht="15" hidden="false" customHeight="false" outlineLevel="0" collapsed="false">
      <c r="A224" s="5"/>
      <c r="B224" s="4"/>
      <c r="C224" s="4"/>
      <c r="D224" s="4"/>
      <c r="E224" s="24"/>
      <c r="F224" s="24"/>
      <c r="G224" s="24"/>
      <c r="H224" s="4"/>
      <c r="I224" s="25"/>
    </row>
    <row r="225" customFormat="false" ht="15" hidden="false" customHeight="false" outlineLevel="0" collapsed="false">
      <c r="A225" s="5"/>
      <c r="B225" s="4"/>
      <c r="C225" s="4"/>
      <c r="D225" s="4"/>
      <c r="E225" s="24"/>
      <c r="F225" s="24"/>
      <c r="G225" s="24"/>
      <c r="H225" s="4"/>
      <c r="I225" s="25"/>
    </row>
    <row r="226" customFormat="false" ht="15" hidden="false" customHeight="false" outlineLevel="0" collapsed="false">
      <c r="A226" s="5"/>
      <c r="B226" s="4"/>
      <c r="C226" s="4"/>
      <c r="D226" s="4"/>
      <c r="E226" s="24"/>
      <c r="F226" s="24"/>
      <c r="G226" s="24"/>
      <c r="H226" s="4"/>
      <c r="I226" s="25"/>
    </row>
    <row r="227" customFormat="false" ht="15" hidden="false" customHeight="false" outlineLevel="0" collapsed="false">
      <c r="A227" s="5"/>
      <c r="B227" s="4"/>
      <c r="C227" s="4"/>
      <c r="D227" s="4"/>
      <c r="E227" s="24"/>
      <c r="F227" s="24"/>
      <c r="G227" s="24"/>
      <c r="H227" s="4"/>
      <c r="I227" s="25"/>
    </row>
    <row r="228" customFormat="false" ht="15" hidden="false" customHeight="false" outlineLevel="0" collapsed="false">
      <c r="A228" s="5"/>
      <c r="B228" s="4"/>
      <c r="C228" s="4"/>
      <c r="D228" s="4"/>
      <c r="E228" s="24"/>
      <c r="F228" s="24"/>
      <c r="G228" s="24"/>
      <c r="H228" s="4"/>
      <c r="I228" s="25"/>
    </row>
    <row r="229" customFormat="false" ht="15" hidden="false" customHeight="false" outlineLevel="0" collapsed="false">
      <c r="A229" s="5"/>
      <c r="B229" s="4"/>
      <c r="C229" s="4"/>
      <c r="D229" s="4"/>
      <c r="E229" s="24"/>
      <c r="F229" s="24"/>
      <c r="G229" s="24"/>
      <c r="H229" s="4"/>
      <c r="I229" s="25"/>
    </row>
    <row r="230" customFormat="false" ht="15" hidden="false" customHeight="false" outlineLevel="0" collapsed="false">
      <c r="A230" s="5"/>
      <c r="B230" s="4"/>
      <c r="C230" s="4"/>
      <c r="D230" s="4"/>
      <c r="E230" s="24"/>
      <c r="F230" s="24"/>
      <c r="G230" s="24"/>
      <c r="H230" s="4"/>
      <c r="I230" s="25"/>
    </row>
    <row r="231" customFormat="false" ht="15" hidden="false" customHeight="false" outlineLevel="0" collapsed="false">
      <c r="A231" s="5"/>
      <c r="B231" s="4"/>
      <c r="C231" s="4"/>
      <c r="D231" s="4"/>
      <c r="E231" s="24"/>
      <c r="F231" s="24"/>
      <c r="G231" s="24"/>
      <c r="H231" s="4"/>
      <c r="I231" s="25"/>
    </row>
    <row r="232" customFormat="false" ht="15" hidden="false" customHeight="false" outlineLevel="0" collapsed="false">
      <c r="A232" s="5"/>
      <c r="B232" s="4"/>
      <c r="C232" s="4"/>
      <c r="D232" s="4"/>
      <c r="E232" s="24"/>
      <c r="F232" s="24"/>
      <c r="G232" s="24"/>
      <c r="H232" s="4"/>
      <c r="I232" s="25"/>
    </row>
    <row r="233" customFormat="false" ht="15" hidden="false" customHeight="false" outlineLevel="0" collapsed="false">
      <c r="A233" s="5"/>
      <c r="B233" s="4"/>
      <c r="C233" s="4"/>
      <c r="D233" s="4"/>
      <c r="E233" s="24"/>
      <c r="F233" s="24"/>
      <c r="G233" s="24"/>
      <c r="H233" s="4"/>
      <c r="I233" s="25"/>
    </row>
    <row r="234" customFormat="false" ht="15" hidden="false" customHeight="false" outlineLevel="0" collapsed="false">
      <c r="A234" s="5"/>
      <c r="B234" s="4"/>
      <c r="C234" s="4"/>
      <c r="D234" s="4"/>
      <c r="E234" s="24"/>
      <c r="F234" s="24"/>
      <c r="G234" s="24"/>
      <c r="H234" s="4"/>
      <c r="I234" s="25"/>
    </row>
    <row r="235" customFormat="false" ht="15" hidden="false" customHeight="false" outlineLevel="0" collapsed="false">
      <c r="A235" s="5"/>
      <c r="B235" s="4"/>
      <c r="C235" s="4"/>
      <c r="D235" s="4"/>
      <c r="E235" s="24"/>
      <c r="F235" s="24"/>
      <c r="G235" s="24"/>
      <c r="H235" s="4"/>
      <c r="I235" s="25"/>
    </row>
    <row r="236" customFormat="false" ht="15" hidden="false" customHeight="false" outlineLevel="0" collapsed="false">
      <c r="A236" s="5"/>
      <c r="B236" s="4"/>
      <c r="C236" s="4"/>
      <c r="D236" s="4"/>
      <c r="E236" s="24"/>
      <c r="F236" s="24"/>
      <c r="G236" s="24"/>
      <c r="H236" s="4"/>
      <c r="I236" s="25"/>
    </row>
    <row r="237" customFormat="false" ht="15" hidden="false" customHeight="false" outlineLevel="0" collapsed="false">
      <c r="A237" s="5"/>
      <c r="B237" s="4"/>
      <c r="C237" s="4"/>
      <c r="D237" s="4"/>
      <c r="E237" s="24"/>
      <c r="F237" s="24"/>
      <c r="G237" s="24"/>
      <c r="H237" s="4"/>
      <c r="I237" s="25"/>
    </row>
    <row r="238" customFormat="false" ht="15" hidden="false" customHeight="false" outlineLevel="0" collapsed="false">
      <c r="A238" s="5"/>
      <c r="B238" s="4"/>
      <c r="C238" s="4"/>
      <c r="D238" s="4"/>
      <c r="E238" s="24"/>
      <c r="F238" s="24"/>
      <c r="G238" s="24"/>
      <c r="H238" s="4"/>
      <c r="I238" s="25"/>
    </row>
    <row r="239" customFormat="false" ht="15" hidden="false" customHeight="false" outlineLevel="0" collapsed="false">
      <c r="A239" s="5"/>
      <c r="B239" s="4"/>
      <c r="C239" s="4"/>
      <c r="D239" s="4"/>
      <c r="E239" s="24"/>
      <c r="F239" s="24"/>
      <c r="G239" s="24"/>
      <c r="H239" s="4"/>
      <c r="I239" s="25"/>
    </row>
    <row r="240" customFormat="false" ht="15" hidden="false" customHeight="false" outlineLevel="0" collapsed="false">
      <c r="A240" s="5"/>
      <c r="B240" s="4"/>
      <c r="C240" s="4"/>
      <c r="D240" s="4"/>
      <c r="E240" s="24"/>
      <c r="F240" s="24"/>
      <c r="G240" s="24"/>
      <c r="H240" s="4"/>
      <c r="I240" s="25"/>
    </row>
    <row r="241" customFormat="false" ht="15" hidden="false" customHeight="false" outlineLevel="0" collapsed="false">
      <c r="A241" s="5"/>
      <c r="B241" s="4"/>
      <c r="C241" s="4"/>
      <c r="D241" s="4"/>
      <c r="E241" s="24"/>
      <c r="F241" s="24"/>
      <c r="G241" s="24"/>
      <c r="H241" s="4"/>
      <c r="I241" s="25"/>
    </row>
    <row r="242" customFormat="false" ht="15" hidden="false" customHeight="false" outlineLevel="0" collapsed="false">
      <c r="A242" s="5"/>
      <c r="B242" s="4"/>
      <c r="C242" s="4"/>
      <c r="D242" s="4"/>
      <c r="E242" s="24"/>
      <c r="F242" s="24"/>
      <c r="G242" s="24"/>
      <c r="H242" s="4"/>
      <c r="I242" s="25"/>
    </row>
    <row r="243" customFormat="false" ht="15" hidden="false" customHeight="false" outlineLevel="0" collapsed="false">
      <c r="A243" s="5"/>
      <c r="B243" s="4"/>
      <c r="C243" s="4"/>
      <c r="D243" s="4"/>
      <c r="E243" s="24"/>
      <c r="F243" s="24"/>
      <c r="G243" s="24"/>
      <c r="H243" s="4"/>
      <c r="I243" s="25"/>
    </row>
    <row r="244" customFormat="false" ht="15" hidden="false" customHeight="false" outlineLevel="0" collapsed="false">
      <c r="A244" s="5"/>
      <c r="B244" s="4"/>
      <c r="C244" s="4"/>
      <c r="D244" s="4"/>
      <c r="E244" s="24"/>
      <c r="F244" s="24"/>
      <c r="G244" s="24"/>
      <c r="H244" s="4"/>
      <c r="I244" s="25"/>
    </row>
    <row r="245" customFormat="false" ht="15" hidden="false" customHeight="false" outlineLevel="0" collapsed="false">
      <c r="A245" s="5"/>
      <c r="B245" s="4"/>
      <c r="C245" s="4"/>
      <c r="D245" s="4"/>
      <c r="E245" s="24"/>
      <c r="F245" s="24"/>
      <c r="G245" s="24"/>
      <c r="H245" s="4"/>
      <c r="I245" s="25"/>
    </row>
    <row r="246" customFormat="false" ht="15" hidden="false" customHeight="false" outlineLevel="0" collapsed="false">
      <c r="A246" s="5"/>
      <c r="B246" s="4"/>
      <c r="C246" s="4"/>
      <c r="D246" s="4"/>
      <c r="E246" s="24"/>
      <c r="F246" s="24"/>
      <c r="G246" s="24"/>
      <c r="H246" s="4"/>
      <c r="I246" s="25"/>
    </row>
    <row r="247" customFormat="false" ht="15" hidden="false" customHeight="false" outlineLevel="0" collapsed="false">
      <c r="A247" s="5"/>
      <c r="B247" s="4"/>
      <c r="C247" s="4"/>
      <c r="D247" s="4"/>
      <c r="E247" s="24"/>
      <c r="F247" s="24"/>
      <c r="G247" s="24"/>
      <c r="H247" s="4"/>
      <c r="I247" s="25"/>
    </row>
    <row r="248" customFormat="false" ht="15" hidden="false" customHeight="false" outlineLevel="0" collapsed="false">
      <c r="A248" s="5"/>
      <c r="B248" s="4"/>
      <c r="C248" s="4"/>
      <c r="D248" s="4"/>
      <c r="E248" s="24"/>
      <c r="F248" s="24"/>
      <c r="G248" s="24"/>
      <c r="H248" s="4"/>
      <c r="I248" s="25"/>
    </row>
    <row r="249" customFormat="false" ht="15" hidden="false" customHeight="false" outlineLevel="0" collapsed="false">
      <c r="A249" s="5"/>
      <c r="B249" s="4"/>
      <c r="C249" s="4"/>
      <c r="D249" s="4"/>
      <c r="E249" s="24"/>
      <c r="F249" s="24"/>
      <c r="G249" s="24"/>
      <c r="H249" s="4"/>
      <c r="I249" s="25"/>
    </row>
    <row r="250" customFormat="false" ht="15" hidden="false" customHeight="false" outlineLevel="0" collapsed="false">
      <c r="A250" s="5"/>
      <c r="B250" s="4"/>
      <c r="C250" s="4"/>
      <c r="D250" s="4"/>
      <c r="E250" s="24"/>
      <c r="F250" s="24"/>
      <c r="G250" s="24"/>
      <c r="H250" s="4"/>
      <c r="I250" s="25"/>
    </row>
    <row r="251" customFormat="false" ht="15" hidden="false" customHeight="false" outlineLevel="0" collapsed="false">
      <c r="A251" s="5"/>
      <c r="B251" s="4"/>
      <c r="C251" s="4"/>
      <c r="D251" s="4"/>
      <c r="E251" s="24"/>
      <c r="F251" s="24"/>
      <c r="G251" s="24"/>
      <c r="H251" s="4"/>
      <c r="I251" s="25"/>
    </row>
    <row r="252" customFormat="false" ht="15" hidden="false" customHeight="false" outlineLevel="0" collapsed="false">
      <c r="A252" s="5"/>
      <c r="B252" s="4"/>
      <c r="C252" s="4"/>
      <c r="D252" s="4"/>
      <c r="E252" s="24"/>
      <c r="F252" s="24"/>
      <c r="G252" s="24"/>
      <c r="H252" s="4"/>
      <c r="I252" s="25"/>
    </row>
    <row r="253" customFormat="false" ht="15" hidden="false" customHeight="false" outlineLevel="0" collapsed="false">
      <c r="A253" s="5"/>
      <c r="B253" s="4"/>
      <c r="C253" s="4"/>
      <c r="D253" s="4"/>
      <c r="E253" s="24"/>
      <c r="F253" s="24"/>
      <c r="G253" s="24"/>
      <c r="H253" s="4"/>
      <c r="I253" s="25"/>
    </row>
    <row r="254" customFormat="false" ht="15" hidden="false" customHeight="false" outlineLevel="0" collapsed="false">
      <c r="A254" s="5"/>
      <c r="B254" s="4"/>
      <c r="C254" s="4"/>
      <c r="D254" s="4"/>
      <c r="E254" s="24"/>
      <c r="F254" s="24"/>
      <c r="G254" s="24"/>
      <c r="H254" s="4"/>
      <c r="I254" s="25"/>
    </row>
    <row r="255" customFormat="false" ht="15" hidden="false" customHeight="false" outlineLevel="0" collapsed="false">
      <c r="A255" s="5"/>
      <c r="B255" s="4"/>
      <c r="C255" s="4"/>
      <c r="D255" s="4"/>
      <c r="E255" s="24"/>
      <c r="F255" s="24"/>
      <c r="G255" s="24"/>
      <c r="H255" s="4"/>
      <c r="I255" s="25"/>
    </row>
    <row r="256" customFormat="false" ht="15" hidden="false" customHeight="false" outlineLevel="0" collapsed="false">
      <c r="A256" s="5"/>
      <c r="B256" s="4"/>
      <c r="C256" s="4"/>
      <c r="D256" s="4"/>
      <c r="E256" s="24"/>
      <c r="F256" s="24"/>
      <c r="G256" s="24"/>
      <c r="H256" s="4"/>
      <c r="I256" s="25"/>
    </row>
    <row r="257" customFormat="false" ht="15" hidden="false" customHeight="false" outlineLevel="0" collapsed="false">
      <c r="A257" s="5"/>
      <c r="B257" s="4"/>
      <c r="C257" s="4"/>
      <c r="D257" s="4"/>
      <c r="E257" s="24"/>
      <c r="F257" s="24"/>
      <c r="G257" s="24"/>
      <c r="H257" s="4"/>
      <c r="I257" s="25"/>
    </row>
    <row r="258" customFormat="false" ht="15" hidden="false" customHeight="false" outlineLevel="0" collapsed="false">
      <c r="A258" s="5"/>
      <c r="B258" s="4"/>
      <c r="C258" s="4"/>
      <c r="D258" s="4"/>
      <c r="E258" s="24"/>
      <c r="F258" s="24"/>
      <c r="G258" s="24"/>
      <c r="H258" s="4"/>
      <c r="I258" s="25"/>
    </row>
    <row r="259" customFormat="false" ht="15" hidden="false" customHeight="false" outlineLevel="0" collapsed="false">
      <c r="A259" s="5"/>
      <c r="B259" s="4"/>
      <c r="C259" s="4"/>
      <c r="D259" s="4"/>
      <c r="E259" s="24"/>
      <c r="F259" s="24"/>
      <c r="G259" s="24"/>
      <c r="H259" s="4"/>
      <c r="I259" s="25"/>
    </row>
    <row r="260" customFormat="false" ht="15" hidden="false" customHeight="false" outlineLevel="0" collapsed="false">
      <c r="A260" s="5"/>
      <c r="B260" s="4"/>
      <c r="C260" s="4"/>
      <c r="D260" s="4"/>
      <c r="E260" s="24"/>
      <c r="F260" s="24"/>
      <c r="G260" s="24"/>
      <c r="H260" s="4"/>
      <c r="I260" s="25"/>
    </row>
    <row r="261" customFormat="false" ht="15" hidden="false" customHeight="false" outlineLevel="0" collapsed="false">
      <c r="A261" s="5"/>
      <c r="B261" s="4"/>
      <c r="C261" s="4"/>
      <c r="D261" s="4"/>
      <c r="E261" s="24"/>
      <c r="F261" s="24"/>
      <c r="G261" s="24"/>
      <c r="H261" s="4"/>
      <c r="I261" s="25"/>
    </row>
    <row r="262" customFormat="false" ht="15" hidden="false" customHeight="false" outlineLevel="0" collapsed="false">
      <c r="A262" s="5"/>
      <c r="B262" s="4"/>
      <c r="C262" s="4"/>
      <c r="D262" s="4"/>
      <c r="E262" s="24"/>
      <c r="F262" s="24"/>
      <c r="G262" s="24"/>
      <c r="H262" s="4"/>
      <c r="I262" s="25"/>
    </row>
    <row r="263" customFormat="false" ht="15" hidden="false" customHeight="false" outlineLevel="0" collapsed="false">
      <c r="A263" s="5"/>
      <c r="B263" s="4"/>
      <c r="C263" s="4"/>
      <c r="D263" s="4"/>
      <c r="E263" s="24"/>
      <c r="F263" s="24"/>
      <c r="G263" s="24"/>
      <c r="H263" s="4"/>
      <c r="I263" s="25"/>
    </row>
    <row r="264" customFormat="false" ht="15" hidden="false" customHeight="false" outlineLevel="0" collapsed="false">
      <c r="A264" s="5"/>
      <c r="B264" s="4"/>
      <c r="C264" s="4"/>
      <c r="D264" s="4"/>
      <c r="E264" s="24"/>
      <c r="F264" s="24"/>
      <c r="G264" s="24"/>
      <c r="H264" s="4"/>
      <c r="I264" s="25"/>
    </row>
    <row r="265" customFormat="false" ht="15" hidden="false" customHeight="false" outlineLevel="0" collapsed="false">
      <c r="A265" s="5"/>
      <c r="B265" s="4"/>
      <c r="C265" s="4"/>
      <c r="D265" s="4"/>
      <c r="E265" s="24"/>
      <c r="F265" s="24"/>
      <c r="G265" s="24"/>
      <c r="H265" s="4"/>
      <c r="I265" s="25"/>
    </row>
    <row r="266" customFormat="false" ht="15" hidden="false" customHeight="false" outlineLevel="0" collapsed="false">
      <c r="A266" s="5"/>
      <c r="B266" s="4"/>
      <c r="C266" s="4"/>
      <c r="D266" s="4"/>
      <c r="E266" s="24"/>
      <c r="F266" s="24"/>
      <c r="G266" s="24"/>
      <c r="H266" s="4"/>
      <c r="I266" s="25"/>
    </row>
    <row r="267" customFormat="false" ht="15" hidden="false" customHeight="false" outlineLevel="0" collapsed="false">
      <c r="A267" s="5"/>
      <c r="B267" s="4"/>
      <c r="C267" s="4"/>
      <c r="D267" s="4"/>
      <c r="E267" s="24"/>
      <c r="F267" s="24"/>
      <c r="G267" s="24"/>
      <c r="H267" s="4"/>
      <c r="I267" s="25"/>
    </row>
    <row r="268" customFormat="false" ht="15" hidden="false" customHeight="false" outlineLevel="0" collapsed="false">
      <c r="A268" s="5"/>
      <c r="B268" s="4"/>
      <c r="C268" s="4"/>
      <c r="D268" s="4"/>
      <c r="E268" s="24"/>
      <c r="F268" s="24"/>
      <c r="G268" s="24"/>
      <c r="H268" s="4"/>
      <c r="I268" s="25"/>
    </row>
    <row r="269" customFormat="false" ht="15" hidden="false" customHeight="false" outlineLevel="0" collapsed="false">
      <c r="A269" s="5"/>
      <c r="B269" s="4"/>
      <c r="C269" s="4"/>
      <c r="D269" s="4"/>
      <c r="E269" s="24"/>
      <c r="F269" s="24"/>
      <c r="G269" s="24"/>
      <c r="H269" s="4"/>
      <c r="I269" s="25"/>
    </row>
    <row r="270" customFormat="false" ht="15" hidden="false" customHeight="false" outlineLevel="0" collapsed="false">
      <c r="A270" s="5"/>
      <c r="B270" s="4"/>
      <c r="C270" s="4"/>
      <c r="D270" s="4"/>
      <c r="E270" s="24"/>
      <c r="F270" s="24"/>
      <c r="G270" s="24"/>
      <c r="H270" s="4"/>
      <c r="I270" s="25"/>
    </row>
    <row r="271" customFormat="false" ht="15" hidden="false" customHeight="false" outlineLevel="0" collapsed="false">
      <c r="A271" s="5"/>
      <c r="B271" s="4"/>
      <c r="C271" s="4"/>
      <c r="D271" s="4"/>
      <c r="E271" s="24"/>
      <c r="F271" s="24"/>
      <c r="G271" s="24"/>
      <c r="H271" s="4"/>
      <c r="I271" s="25"/>
    </row>
    <row r="272" customFormat="false" ht="15" hidden="false" customHeight="false" outlineLevel="0" collapsed="false">
      <c r="A272" s="5"/>
      <c r="B272" s="4"/>
      <c r="C272" s="4"/>
      <c r="D272" s="4"/>
      <c r="E272" s="24"/>
      <c r="F272" s="24"/>
      <c r="G272" s="24"/>
      <c r="H272" s="4"/>
      <c r="I272" s="25"/>
    </row>
    <row r="273" customFormat="false" ht="15" hidden="false" customHeight="false" outlineLevel="0" collapsed="false">
      <c r="A273" s="5"/>
      <c r="B273" s="4"/>
      <c r="C273" s="4"/>
      <c r="D273" s="4"/>
      <c r="E273" s="24"/>
      <c r="F273" s="24"/>
      <c r="G273" s="24"/>
      <c r="H273" s="4"/>
      <c r="I273" s="25"/>
    </row>
    <row r="274" customFormat="false" ht="15" hidden="false" customHeight="false" outlineLevel="0" collapsed="false">
      <c r="A274" s="5"/>
      <c r="B274" s="4"/>
      <c r="C274" s="4"/>
      <c r="D274" s="4"/>
      <c r="E274" s="24"/>
      <c r="F274" s="24"/>
      <c r="G274" s="24"/>
      <c r="H274" s="4"/>
      <c r="I274" s="25"/>
    </row>
    <row r="275" customFormat="false" ht="15" hidden="false" customHeight="false" outlineLevel="0" collapsed="false">
      <c r="A275" s="5"/>
      <c r="B275" s="4"/>
      <c r="C275" s="4"/>
      <c r="D275" s="4"/>
      <c r="E275" s="24"/>
      <c r="F275" s="24"/>
      <c r="G275" s="24"/>
      <c r="H275" s="4"/>
      <c r="I275" s="25"/>
    </row>
    <row r="276" customFormat="false" ht="15" hidden="false" customHeight="false" outlineLevel="0" collapsed="false">
      <c r="A276" s="5"/>
      <c r="B276" s="4"/>
      <c r="C276" s="4"/>
      <c r="D276" s="4"/>
      <c r="E276" s="24"/>
      <c r="F276" s="24"/>
      <c r="G276" s="24"/>
      <c r="H276" s="4"/>
      <c r="I276" s="25"/>
    </row>
    <row r="277" customFormat="false" ht="15" hidden="false" customHeight="false" outlineLevel="0" collapsed="false">
      <c r="A277" s="5"/>
      <c r="B277" s="4"/>
      <c r="C277" s="4"/>
      <c r="D277" s="4"/>
      <c r="E277" s="24"/>
      <c r="F277" s="24"/>
      <c r="G277" s="24"/>
      <c r="H277" s="4"/>
      <c r="I277" s="25"/>
    </row>
    <row r="278" customFormat="false" ht="15" hidden="false" customHeight="false" outlineLevel="0" collapsed="false">
      <c r="A278" s="5"/>
      <c r="B278" s="4"/>
      <c r="C278" s="4"/>
      <c r="D278" s="4"/>
      <c r="E278" s="24"/>
      <c r="F278" s="24"/>
      <c r="G278" s="24"/>
      <c r="H278" s="4"/>
      <c r="I278" s="25"/>
    </row>
    <row r="279" customFormat="false" ht="15" hidden="false" customHeight="false" outlineLevel="0" collapsed="false">
      <c r="A279" s="5"/>
      <c r="B279" s="4"/>
      <c r="C279" s="4"/>
      <c r="D279" s="4"/>
      <c r="E279" s="24"/>
      <c r="F279" s="24"/>
      <c r="G279" s="24"/>
      <c r="H279" s="4"/>
      <c r="I279" s="25"/>
    </row>
    <row r="280" customFormat="false" ht="15" hidden="false" customHeight="false" outlineLevel="0" collapsed="false">
      <c r="A280" s="5"/>
      <c r="B280" s="4"/>
      <c r="C280" s="4"/>
      <c r="D280" s="4"/>
      <c r="E280" s="24"/>
      <c r="F280" s="24"/>
      <c r="G280" s="24"/>
      <c r="H280" s="4"/>
      <c r="I280" s="25"/>
    </row>
    <row r="281" customFormat="false" ht="15" hidden="false" customHeight="false" outlineLevel="0" collapsed="false">
      <c r="A281" s="5"/>
      <c r="B281" s="4"/>
      <c r="C281" s="4"/>
      <c r="D281" s="4"/>
      <c r="E281" s="24"/>
      <c r="F281" s="24"/>
      <c r="G281" s="24"/>
      <c r="H281" s="4"/>
      <c r="I281" s="25"/>
    </row>
    <row r="282" customFormat="false" ht="15" hidden="false" customHeight="false" outlineLevel="0" collapsed="false">
      <c r="A282" s="5"/>
      <c r="B282" s="4"/>
      <c r="C282" s="4"/>
      <c r="D282" s="4"/>
      <c r="E282" s="24"/>
      <c r="F282" s="24"/>
      <c r="G282" s="24"/>
      <c r="H282" s="4"/>
      <c r="I282" s="25"/>
    </row>
    <row r="283" customFormat="false" ht="15" hidden="false" customHeight="false" outlineLevel="0" collapsed="false">
      <c r="A283" s="5"/>
      <c r="B283" s="4"/>
      <c r="C283" s="4"/>
      <c r="D283" s="4"/>
      <c r="E283" s="24"/>
      <c r="F283" s="24"/>
      <c r="G283" s="24"/>
      <c r="H283" s="4"/>
      <c r="I283" s="25"/>
    </row>
    <row r="284" customFormat="false" ht="15" hidden="false" customHeight="false" outlineLevel="0" collapsed="false">
      <c r="A284" s="5"/>
      <c r="B284" s="4"/>
      <c r="C284" s="4"/>
      <c r="D284" s="4"/>
      <c r="E284" s="24"/>
      <c r="F284" s="24"/>
      <c r="G284" s="24"/>
      <c r="H284" s="4"/>
      <c r="I284" s="25"/>
    </row>
    <row r="285" customFormat="false" ht="15" hidden="false" customHeight="false" outlineLevel="0" collapsed="false">
      <c r="A285" s="5"/>
      <c r="B285" s="4"/>
      <c r="C285" s="4"/>
      <c r="D285" s="4"/>
      <c r="E285" s="24"/>
      <c r="F285" s="24"/>
      <c r="G285" s="24"/>
      <c r="H285" s="4"/>
      <c r="I285" s="25"/>
    </row>
    <row r="286" customFormat="false" ht="15" hidden="false" customHeight="false" outlineLevel="0" collapsed="false">
      <c r="A286" s="5"/>
      <c r="B286" s="4"/>
      <c r="C286" s="4"/>
      <c r="D286" s="4"/>
      <c r="E286" s="24"/>
      <c r="F286" s="24"/>
      <c r="G286" s="24"/>
      <c r="H286" s="4"/>
      <c r="I286" s="25"/>
    </row>
    <row r="287" customFormat="false" ht="15" hidden="false" customHeight="false" outlineLevel="0" collapsed="false">
      <c r="A287" s="5"/>
      <c r="B287" s="4"/>
      <c r="C287" s="4"/>
      <c r="D287" s="4"/>
      <c r="E287" s="24"/>
      <c r="F287" s="24"/>
      <c r="G287" s="24"/>
      <c r="H287" s="4"/>
      <c r="I287" s="25"/>
    </row>
    <row r="288" customFormat="false" ht="15" hidden="false" customHeight="false" outlineLevel="0" collapsed="false">
      <c r="A288" s="5"/>
      <c r="B288" s="4"/>
      <c r="C288" s="4"/>
      <c r="D288" s="4"/>
      <c r="E288" s="24"/>
      <c r="F288" s="24"/>
      <c r="G288" s="24"/>
      <c r="H288" s="4"/>
      <c r="I288" s="25"/>
    </row>
    <row r="289" customFormat="false" ht="15" hidden="false" customHeight="false" outlineLevel="0" collapsed="false">
      <c r="A289" s="5"/>
      <c r="B289" s="4"/>
      <c r="C289" s="4"/>
      <c r="D289" s="4"/>
      <c r="E289" s="24"/>
      <c r="F289" s="24"/>
      <c r="G289" s="24"/>
      <c r="H289" s="4"/>
      <c r="I289" s="25"/>
    </row>
    <row r="290" customFormat="false" ht="15" hidden="false" customHeight="false" outlineLevel="0" collapsed="false">
      <c r="A290" s="5"/>
      <c r="B290" s="4"/>
      <c r="C290" s="4"/>
      <c r="D290" s="4"/>
      <c r="E290" s="24"/>
      <c r="F290" s="24"/>
      <c r="G290" s="24"/>
      <c r="H290" s="4"/>
      <c r="I290" s="25"/>
    </row>
    <row r="291" customFormat="false" ht="15" hidden="false" customHeight="false" outlineLevel="0" collapsed="false">
      <c r="A291" s="5"/>
      <c r="B291" s="4"/>
      <c r="C291" s="4"/>
      <c r="D291" s="4"/>
      <c r="E291" s="24"/>
      <c r="F291" s="24"/>
      <c r="G291" s="24"/>
      <c r="H291" s="4"/>
      <c r="I291" s="25"/>
    </row>
    <row r="292" customFormat="false" ht="15" hidden="false" customHeight="false" outlineLevel="0" collapsed="false">
      <c r="A292" s="5"/>
      <c r="B292" s="4"/>
      <c r="C292" s="4"/>
      <c r="D292" s="4"/>
      <c r="E292" s="24"/>
      <c r="F292" s="24"/>
      <c r="G292" s="24"/>
      <c r="H292" s="4"/>
      <c r="I292" s="25"/>
    </row>
    <row r="293" customFormat="false" ht="15" hidden="false" customHeight="false" outlineLevel="0" collapsed="false">
      <c r="A293" s="5"/>
      <c r="B293" s="4"/>
      <c r="C293" s="4"/>
      <c r="D293" s="4"/>
      <c r="E293" s="24"/>
      <c r="F293" s="24"/>
      <c r="G293" s="24"/>
      <c r="H293" s="4"/>
      <c r="I293" s="25"/>
    </row>
    <row r="294" customFormat="false" ht="15" hidden="false" customHeight="false" outlineLevel="0" collapsed="false">
      <c r="A294" s="5"/>
      <c r="B294" s="4"/>
      <c r="C294" s="4"/>
      <c r="D294" s="4"/>
      <c r="E294" s="24"/>
      <c r="F294" s="24"/>
      <c r="G294" s="24"/>
      <c r="H294" s="4"/>
      <c r="I294" s="25"/>
    </row>
    <row r="295" customFormat="false" ht="15" hidden="false" customHeight="false" outlineLevel="0" collapsed="false">
      <c r="A295" s="5"/>
      <c r="B295" s="4"/>
      <c r="C295" s="4"/>
      <c r="D295" s="4"/>
      <c r="E295" s="24"/>
      <c r="F295" s="24"/>
      <c r="G295" s="24"/>
      <c r="H295" s="4"/>
      <c r="I295" s="25"/>
    </row>
    <row r="296" customFormat="false" ht="15" hidden="false" customHeight="false" outlineLevel="0" collapsed="false">
      <c r="A296" s="5"/>
      <c r="B296" s="4"/>
      <c r="C296" s="4"/>
      <c r="D296" s="4"/>
      <c r="E296" s="24"/>
      <c r="F296" s="24"/>
      <c r="G296" s="24"/>
      <c r="H296" s="4"/>
      <c r="I296" s="25"/>
    </row>
    <row r="297" customFormat="false" ht="15" hidden="false" customHeight="false" outlineLevel="0" collapsed="false">
      <c r="A297" s="5"/>
      <c r="B297" s="4"/>
      <c r="C297" s="4"/>
      <c r="D297" s="4"/>
      <c r="E297" s="24"/>
      <c r="F297" s="24"/>
      <c r="G297" s="24"/>
      <c r="H297" s="4"/>
      <c r="I297" s="25"/>
    </row>
    <row r="298" customFormat="false" ht="15" hidden="false" customHeight="false" outlineLevel="0" collapsed="false">
      <c r="A298" s="5"/>
      <c r="B298" s="4"/>
      <c r="C298" s="4"/>
      <c r="D298" s="4"/>
      <c r="E298" s="24"/>
      <c r="F298" s="24"/>
      <c r="G298" s="24"/>
      <c r="H298" s="4"/>
      <c r="I298" s="25"/>
    </row>
    <row r="299" customFormat="false" ht="15" hidden="false" customHeight="false" outlineLevel="0" collapsed="false">
      <c r="A299" s="5"/>
      <c r="B299" s="4"/>
      <c r="C299" s="4"/>
      <c r="D299" s="4"/>
      <c r="E299" s="24"/>
      <c r="F299" s="24"/>
      <c r="G299" s="24"/>
      <c r="H299" s="4"/>
      <c r="I299" s="25"/>
    </row>
    <row r="300" customFormat="false" ht="15" hidden="false" customHeight="false" outlineLevel="0" collapsed="false">
      <c r="A300" s="5"/>
      <c r="B300" s="4"/>
      <c r="C300" s="4"/>
      <c r="D300" s="4"/>
      <c r="E300" s="24"/>
      <c r="F300" s="24"/>
      <c r="G300" s="24"/>
      <c r="H300" s="4"/>
      <c r="I300" s="25"/>
    </row>
    <row r="301" customFormat="false" ht="15" hidden="false" customHeight="false" outlineLevel="0" collapsed="false">
      <c r="A301" s="5"/>
      <c r="B301" s="4"/>
      <c r="C301" s="4"/>
      <c r="D301" s="4"/>
      <c r="E301" s="24"/>
      <c r="F301" s="24"/>
      <c r="G301" s="24"/>
      <c r="H301" s="4"/>
      <c r="I301" s="25"/>
    </row>
    <row r="302" customFormat="false" ht="15" hidden="false" customHeight="false" outlineLevel="0" collapsed="false">
      <c r="A302" s="5"/>
      <c r="B302" s="4"/>
      <c r="C302" s="4"/>
      <c r="D302" s="4"/>
      <c r="E302" s="24"/>
      <c r="F302" s="24"/>
      <c r="G302" s="24"/>
      <c r="H302" s="4"/>
      <c r="I302" s="25"/>
    </row>
    <row r="303" customFormat="false" ht="15" hidden="false" customHeight="false" outlineLevel="0" collapsed="false">
      <c r="A303" s="5"/>
      <c r="B303" s="4"/>
      <c r="C303" s="4"/>
      <c r="D303" s="4"/>
      <c r="E303" s="24"/>
      <c r="F303" s="24"/>
      <c r="G303" s="24"/>
      <c r="H303" s="4"/>
      <c r="I303" s="25"/>
    </row>
    <row r="304" customFormat="false" ht="15" hidden="false" customHeight="false" outlineLevel="0" collapsed="false">
      <c r="A304" s="5"/>
      <c r="B304" s="4"/>
      <c r="C304" s="4"/>
      <c r="D304" s="4"/>
      <c r="E304" s="24"/>
      <c r="F304" s="24"/>
      <c r="G304" s="24"/>
      <c r="H304" s="4"/>
      <c r="I304" s="25"/>
    </row>
    <row r="305" customFormat="false" ht="15" hidden="false" customHeight="false" outlineLevel="0" collapsed="false">
      <c r="A305" s="5"/>
      <c r="B305" s="4"/>
      <c r="C305" s="4"/>
      <c r="D305" s="4"/>
      <c r="E305" s="24"/>
      <c r="F305" s="24"/>
      <c r="G305" s="24"/>
      <c r="H305" s="4"/>
      <c r="I305" s="25"/>
    </row>
    <row r="306" customFormat="false" ht="15" hidden="false" customHeight="false" outlineLevel="0" collapsed="false">
      <c r="A306" s="5"/>
      <c r="B306" s="4"/>
      <c r="C306" s="4"/>
      <c r="D306" s="4"/>
      <c r="E306" s="24"/>
      <c r="F306" s="24"/>
      <c r="G306" s="24"/>
      <c r="H306" s="4"/>
      <c r="I306" s="25"/>
    </row>
    <row r="307" customFormat="false" ht="15" hidden="false" customHeight="false" outlineLevel="0" collapsed="false">
      <c r="A307" s="5"/>
      <c r="B307" s="4"/>
      <c r="C307" s="4"/>
      <c r="D307" s="4"/>
      <c r="E307" s="24"/>
      <c r="F307" s="24"/>
      <c r="G307" s="24"/>
      <c r="H307" s="4"/>
      <c r="I307" s="25"/>
    </row>
    <row r="308" customFormat="false" ht="15" hidden="false" customHeight="false" outlineLevel="0" collapsed="false">
      <c r="A308" s="5"/>
      <c r="B308" s="4"/>
      <c r="C308" s="4"/>
      <c r="D308" s="4"/>
      <c r="E308" s="24"/>
      <c r="F308" s="24"/>
      <c r="G308" s="24"/>
      <c r="H308" s="4"/>
      <c r="I308" s="25"/>
    </row>
    <row r="309" customFormat="false" ht="15" hidden="false" customHeight="false" outlineLevel="0" collapsed="false">
      <c r="A309" s="5"/>
      <c r="B309" s="4"/>
      <c r="C309" s="4"/>
      <c r="D309" s="4"/>
      <c r="E309" s="24"/>
      <c r="F309" s="24"/>
      <c r="G309" s="24"/>
      <c r="H309" s="4"/>
      <c r="I309" s="25"/>
    </row>
    <row r="310" customFormat="false" ht="15" hidden="false" customHeight="false" outlineLevel="0" collapsed="false">
      <c r="A310" s="5"/>
      <c r="B310" s="4"/>
      <c r="C310" s="4"/>
      <c r="D310" s="4"/>
      <c r="E310" s="24"/>
      <c r="F310" s="24"/>
      <c r="G310" s="24"/>
      <c r="H310" s="4"/>
      <c r="I310" s="25"/>
    </row>
    <row r="311" customFormat="false" ht="15" hidden="false" customHeight="false" outlineLevel="0" collapsed="false">
      <c r="A311" s="5"/>
      <c r="B311" s="4"/>
      <c r="C311" s="4"/>
      <c r="D311" s="4"/>
      <c r="E311" s="24"/>
      <c r="F311" s="24"/>
      <c r="G311" s="24"/>
      <c r="H311" s="4"/>
      <c r="I311" s="25"/>
    </row>
    <row r="312" customFormat="false" ht="15" hidden="false" customHeight="false" outlineLevel="0" collapsed="false">
      <c r="A312" s="5"/>
      <c r="B312" s="4"/>
      <c r="C312" s="4"/>
      <c r="D312" s="4"/>
      <c r="E312" s="24"/>
      <c r="F312" s="24"/>
      <c r="G312" s="24"/>
      <c r="H312" s="4"/>
      <c r="I312" s="25"/>
    </row>
    <row r="313" customFormat="false" ht="15" hidden="false" customHeight="false" outlineLevel="0" collapsed="false">
      <c r="A313" s="5"/>
      <c r="B313" s="4"/>
      <c r="C313" s="4"/>
      <c r="D313" s="4"/>
      <c r="E313" s="24"/>
      <c r="F313" s="24"/>
      <c r="G313" s="24"/>
      <c r="H313" s="4"/>
      <c r="I313" s="25"/>
    </row>
    <row r="314" customFormat="false" ht="15" hidden="false" customHeight="false" outlineLevel="0" collapsed="false">
      <c r="A314" s="5"/>
      <c r="B314" s="4"/>
      <c r="C314" s="4"/>
      <c r="D314" s="4"/>
      <c r="E314" s="24"/>
      <c r="F314" s="24"/>
      <c r="G314" s="24"/>
      <c r="H314" s="4"/>
      <c r="I314" s="25"/>
    </row>
    <row r="315" customFormat="false" ht="15" hidden="false" customHeight="false" outlineLevel="0" collapsed="false">
      <c r="A315" s="5"/>
      <c r="B315" s="4"/>
      <c r="C315" s="4"/>
      <c r="D315" s="4"/>
      <c r="E315" s="24"/>
      <c r="F315" s="24"/>
      <c r="G315" s="24"/>
      <c r="H315" s="4"/>
      <c r="I315" s="25"/>
    </row>
    <row r="316" customFormat="false" ht="15" hidden="false" customHeight="false" outlineLevel="0" collapsed="false">
      <c r="A316" s="5"/>
      <c r="B316" s="4"/>
      <c r="C316" s="4"/>
      <c r="D316" s="4"/>
      <c r="E316" s="24"/>
      <c r="F316" s="24"/>
      <c r="G316" s="24"/>
      <c r="H316" s="4"/>
      <c r="I316" s="25"/>
    </row>
    <row r="317" customFormat="false" ht="15" hidden="false" customHeight="false" outlineLevel="0" collapsed="false">
      <c r="A317" s="5"/>
      <c r="B317" s="4"/>
      <c r="C317" s="4"/>
      <c r="D317" s="4"/>
      <c r="E317" s="24"/>
      <c r="F317" s="24"/>
      <c r="G317" s="24"/>
      <c r="H317" s="4"/>
      <c r="I317" s="25"/>
    </row>
    <row r="318" customFormat="false" ht="15" hidden="false" customHeight="false" outlineLevel="0" collapsed="false">
      <c r="A318" s="5"/>
      <c r="B318" s="4"/>
      <c r="C318" s="4"/>
      <c r="D318" s="4"/>
      <c r="E318" s="24"/>
      <c r="F318" s="24"/>
      <c r="G318" s="24"/>
      <c r="H318" s="4"/>
      <c r="I318" s="25"/>
    </row>
    <row r="319" customFormat="false" ht="15" hidden="false" customHeight="false" outlineLevel="0" collapsed="false">
      <c r="A319" s="5"/>
      <c r="B319" s="4"/>
      <c r="C319" s="4"/>
      <c r="D319" s="4"/>
      <c r="E319" s="24"/>
      <c r="F319" s="24"/>
      <c r="G319" s="24"/>
      <c r="H319" s="4"/>
      <c r="I319" s="25"/>
    </row>
    <row r="320" customFormat="false" ht="15" hidden="false" customHeight="false" outlineLevel="0" collapsed="false">
      <c r="A320" s="5"/>
      <c r="B320" s="4"/>
      <c r="C320" s="4"/>
      <c r="D320" s="4"/>
      <c r="E320" s="24"/>
      <c r="F320" s="24"/>
      <c r="G320" s="24"/>
      <c r="H320" s="4"/>
      <c r="I320" s="25"/>
    </row>
    <row r="321" customFormat="false" ht="15" hidden="false" customHeight="false" outlineLevel="0" collapsed="false">
      <c r="A321" s="5"/>
      <c r="B321" s="4"/>
      <c r="C321" s="4"/>
      <c r="D321" s="4"/>
      <c r="E321" s="24"/>
      <c r="F321" s="24"/>
      <c r="G321" s="24"/>
      <c r="H321" s="4"/>
      <c r="I321" s="25"/>
    </row>
    <row r="322" customFormat="false" ht="15" hidden="false" customHeight="false" outlineLevel="0" collapsed="false">
      <c r="A322" s="5"/>
      <c r="B322" s="4"/>
      <c r="C322" s="4"/>
      <c r="D322" s="4"/>
      <c r="E322" s="24"/>
      <c r="F322" s="24"/>
      <c r="G322" s="24"/>
      <c r="H322" s="4"/>
      <c r="I322" s="25"/>
    </row>
    <row r="323" customFormat="false" ht="15" hidden="false" customHeight="false" outlineLevel="0" collapsed="false">
      <c r="A323" s="5"/>
      <c r="B323" s="4"/>
      <c r="C323" s="4"/>
      <c r="D323" s="4"/>
      <c r="E323" s="24"/>
      <c r="F323" s="24"/>
      <c r="G323" s="24"/>
      <c r="H323" s="4"/>
      <c r="I323" s="25"/>
    </row>
    <row r="324" customFormat="false" ht="15" hidden="false" customHeight="false" outlineLevel="0" collapsed="false">
      <c r="A324" s="5"/>
      <c r="B324" s="4"/>
      <c r="C324" s="4"/>
      <c r="D324" s="4"/>
      <c r="E324" s="24"/>
      <c r="F324" s="24"/>
      <c r="G324" s="24"/>
      <c r="H324" s="4"/>
      <c r="I324" s="25"/>
    </row>
    <row r="325" customFormat="false" ht="15" hidden="false" customHeight="false" outlineLevel="0" collapsed="false">
      <c r="A325" s="5"/>
      <c r="B325" s="4"/>
      <c r="C325" s="4"/>
      <c r="D325" s="4"/>
      <c r="E325" s="24"/>
      <c r="F325" s="24"/>
      <c r="G325" s="24"/>
      <c r="H325" s="4"/>
      <c r="I325" s="25"/>
    </row>
    <row r="326" customFormat="false" ht="15" hidden="false" customHeight="false" outlineLevel="0" collapsed="false">
      <c r="A326" s="5"/>
      <c r="B326" s="4"/>
      <c r="C326" s="4"/>
      <c r="D326" s="4"/>
      <c r="E326" s="24"/>
      <c r="F326" s="24"/>
      <c r="G326" s="24"/>
      <c r="H326" s="4"/>
      <c r="I326" s="25"/>
    </row>
    <row r="327" customFormat="false" ht="15" hidden="false" customHeight="false" outlineLevel="0" collapsed="false">
      <c r="A327" s="5"/>
      <c r="B327" s="4"/>
      <c r="C327" s="4"/>
      <c r="D327" s="4"/>
      <c r="E327" s="24"/>
      <c r="F327" s="24"/>
      <c r="G327" s="24"/>
      <c r="H327" s="4"/>
      <c r="I327" s="25"/>
    </row>
    <row r="328" customFormat="false" ht="15" hidden="false" customHeight="false" outlineLevel="0" collapsed="false">
      <c r="A328" s="5"/>
      <c r="B328" s="4"/>
      <c r="C328" s="4"/>
      <c r="D328" s="4"/>
      <c r="E328" s="24"/>
      <c r="F328" s="24"/>
      <c r="G328" s="24"/>
      <c r="H328" s="4"/>
      <c r="I328" s="25"/>
    </row>
    <row r="329" customFormat="false" ht="15" hidden="false" customHeight="false" outlineLevel="0" collapsed="false">
      <c r="A329" s="5"/>
      <c r="B329" s="4"/>
      <c r="C329" s="4"/>
      <c r="D329" s="4"/>
      <c r="E329" s="24"/>
      <c r="F329" s="24"/>
      <c r="G329" s="24"/>
      <c r="H329" s="4"/>
      <c r="I329" s="25"/>
    </row>
    <row r="330" customFormat="false" ht="15" hidden="false" customHeight="false" outlineLevel="0" collapsed="false">
      <c r="A330" s="5"/>
      <c r="B330" s="4"/>
      <c r="C330" s="4"/>
      <c r="D330" s="4"/>
      <c r="E330" s="24"/>
      <c r="F330" s="24"/>
      <c r="G330" s="24"/>
      <c r="H330" s="4"/>
      <c r="I330" s="25"/>
    </row>
    <row r="331" customFormat="false" ht="15" hidden="false" customHeight="false" outlineLevel="0" collapsed="false">
      <c r="A331" s="5"/>
      <c r="B331" s="4"/>
      <c r="C331" s="4"/>
      <c r="D331" s="4"/>
      <c r="E331" s="24"/>
      <c r="F331" s="24"/>
      <c r="G331" s="24"/>
      <c r="H331" s="4"/>
      <c r="I331" s="25"/>
    </row>
    <row r="332" customFormat="false" ht="15" hidden="false" customHeight="false" outlineLevel="0" collapsed="false">
      <c r="A332" s="5"/>
      <c r="B332" s="4"/>
      <c r="C332" s="4"/>
      <c r="D332" s="4"/>
      <c r="E332" s="24"/>
      <c r="F332" s="24"/>
      <c r="G332" s="24"/>
      <c r="H332" s="4"/>
      <c r="I332" s="25"/>
    </row>
    <row r="333" customFormat="false" ht="15" hidden="false" customHeight="false" outlineLevel="0" collapsed="false">
      <c r="A333" s="5"/>
      <c r="B333" s="4"/>
      <c r="C333" s="4"/>
      <c r="D333" s="4"/>
      <c r="E333" s="24"/>
      <c r="F333" s="24"/>
      <c r="G333" s="24"/>
      <c r="H333" s="4"/>
      <c r="I333" s="25"/>
    </row>
    <row r="334" customFormat="false" ht="15" hidden="false" customHeight="false" outlineLevel="0" collapsed="false">
      <c r="A334" s="5"/>
      <c r="B334" s="4"/>
      <c r="C334" s="4"/>
      <c r="D334" s="4"/>
      <c r="E334" s="24"/>
      <c r="F334" s="24"/>
      <c r="G334" s="24"/>
      <c r="H334" s="4"/>
      <c r="I334" s="25"/>
    </row>
    <row r="335" customFormat="false" ht="15" hidden="false" customHeight="false" outlineLevel="0" collapsed="false">
      <c r="A335" s="5"/>
      <c r="B335" s="4"/>
      <c r="C335" s="4"/>
      <c r="D335" s="4"/>
      <c r="E335" s="24"/>
      <c r="F335" s="24"/>
      <c r="G335" s="24"/>
      <c r="H335" s="4"/>
      <c r="I335" s="25"/>
    </row>
    <row r="336" customFormat="false" ht="15" hidden="false" customHeight="false" outlineLevel="0" collapsed="false">
      <c r="A336" s="5"/>
      <c r="B336" s="4"/>
      <c r="C336" s="4"/>
      <c r="D336" s="4"/>
      <c r="E336" s="24"/>
      <c r="F336" s="24"/>
      <c r="G336" s="24"/>
      <c r="H336" s="4"/>
      <c r="I336" s="25"/>
    </row>
    <row r="337" customFormat="false" ht="15" hidden="false" customHeight="false" outlineLevel="0" collapsed="false">
      <c r="A337" s="5"/>
      <c r="B337" s="4"/>
      <c r="C337" s="4"/>
      <c r="D337" s="4"/>
      <c r="E337" s="24"/>
      <c r="F337" s="24"/>
      <c r="G337" s="24"/>
      <c r="H337" s="4"/>
      <c r="I337" s="25"/>
    </row>
    <row r="338" customFormat="false" ht="15" hidden="false" customHeight="false" outlineLevel="0" collapsed="false">
      <c r="A338" s="5"/>
      <c r="B338" s="4"/>
      <c r="C338" s="4"/>
      <c r="D338" s="4"/>
      <c r="E338" s="24"/>
      <c r="F338" s="24"/>
      <c r="G338" s="24"/>
      <c r="H338" s="4"/>
      <c r="I338" s="25"/>
    </row>
    <row r="339" customFormat="false" ht="15" hidden="false" customHeight="false" outlineLevel="0" collapsed="false">
      <c r="A339" s="5"/>
      <c r="B339" s="4"/>
      <c r="C339" s="4"/>
      <c r="D339" s="4"/>
      <c r="E339" s="24"/>
      <c r="F339" s="24"/>
      <c r="G339" s="24"/>
      <c r="H339" s="4"/>
      <c r="I339" s="25"/>
    </row>
    <row r="340" customFormat="false" ht="15" hidden="false" customHeight="false" outlineLevel="0" collapsed="false">
      <c r="A340" s="5"/>
      <c r="B340" s="4"/>
      <c r="C340" s="4"/>
      <c r="D340" s="4"/>
      <c r="E340" s="24"/>
      <c r="F340" s="24"/>
      <c r="G340" s="24"/>
      <c r="H340" s="4"/>
      <c r="I340" s="25"/>
    </row>
    <row r="341" customFormat="false" ht="15" hidden="false" customHeight="false" outlineLevel="0" collapsed="false">
      <c r="A341" s="5"/>
      <c r="B341" s="4"/>
      <c r="C341" s="4"/>
      <c r="D341" s="4"/>
      <c r="E341" s="24"/>
      <c r="F341" s="24"/>
      <c r="G341" s="24"/>
      <c r="H341" s="4"/>
      <c r="I341" s="25"/>
    </row>
    <row r="342" customFormat="false" ht="15" hidden="false" customHeight="false" outlineLevel="0" collapsed="false">
      <c r="A342" s="5"/>
      <c r="B342" s="4"/>
      <c r="C342" s="4"/>
      <c r="D342" s="4"/>
      <c r="E342" s="24"/>
      <c r="F342" s="24"/>
      <c r="G342" s="24"/>
      <c r="H342" s="4"/>
      <c r="I342" s="25"/>
    </row>
    <row r="343" customFormat="false" ht="15" hidden="false" customHeight="false" outlineLevel="0" collapsed="false">
      <c r="A343" s="5"/>
      <c r="B343" s="4"/>
      <c r="C343" s="4"/>
      <c r="D343" s="4"/>
      <c r="E343" s="24"/>
      <c r="F343" s="24"/>
      <c r="G343" s="24"/>
      <c r="H343" s="4"/>
      <c r="I343" s="25"/>
    </row>
    <row r="344" customFormat="false" ht="15" hidden="false" customHeight="false" outlineLevel="0" collapsed="false">
      <c r="A344" s="5"/>
      <c r="B344" s="4"/>
      <c r="C344" s="4"/>
      <c r="D344" s="4"/>
      <c r="E344" s="24"/>
      <c r="F344" s="24"/>
      <c r="G344" s="24"/>
      <c r="H344" s="4"/>
      <c r="I344" s="25"/>
    </row>
    <row r="345" customFormat="false" ht="15" hidden="false" customHeight="false" outlineLevel="0" collapsed="false">
      <c r="A345" s="5"/>
      <c r="B345" s="4"/>
      <c r="C345" s="4"/>
      <c r="D345" s="4"/>
      <c r="E345" s="24"/>
      <c r="F345" s="24"/>
      <c r="G345" s="24"/>
      <c r="H345" s="4"/>
      <c r="I345" s="25"/>
    </row>
    <row r="346" customFormat="false" ht="15" hidden="false" customHeight="false" outlineLevel="0" collapsed="false">
      <c r="A346" s="5"/>
      <c r="B346" s="4"/>
      <c r="C346" s="4"/>
      <c r="D346" s="4"/>
      <c r="E346" s="24"/>
      <c r="F346" s="24"/>
      <c r="G346" s="24"/>
      <c r="H346" s="4"/>
      <c r="I346" s="25"/>
    </row>
    <row r="347" customFormat="false" ht="15" hidden="false" customHeight="false" outlineLevel="0" collapsed="false">
      <c r="A347" s="5"/>
      <c r="B347" s="4"/>
      <c r="C347" s="4"/>
      <c r="D347" s="4"/>
      <c r="E347" s="24"/>
      <c r="F347" s="24"/>
      <c r="G347" s="24"/>
      <c r="H347" s="4"/>
      <c r="I347" s="25"/>
    </row>
    <row r="348" customFormat="false" ht="15" hidden="false" customHeight="false" outlineLevel="0" collapsed="false">
      <c r="A348" s="5"/>
      <c r="B348" s="4"/>
      <c r="C348" s="4"/>
      <c r="D348" s="4"/>
      <c r="E348" s="24"/>
      <c r="F348" s="24"/>
      <c r="G348" s="24"/>
      <c r="H348" s="4"/>
      <c r="I348" s="25"/>
    </row>
    <row r="349" customFormat="false" ht="15" hidden="false" customHeight="false" outlineLevel="0" collapsed="false">
      <c r="A349" s="5"/>
      <c r="B349" s="4"/>
      <c r="C349" s="4"/>
      <c r="D349" s="4"/>
      <c r="E349" s="24"/>
      <c r="F349" s="24"/>
      <c r="G349" s="24"/>
      <c r="H349" s="4"/>
      <c r="I349" s="25"/>
    </row>
    <row r="350" customFormat="false" ht="15" hidden="false" customHeight="false" outlineLevel="0" collapsed="false">
      <c r="A350" s="5"/>
      <c r="B350" s="4"/>
      <c r="C350" s="4"/>
      <c r="D350" s="4"/>
      <c r="E350" s="24"/>
      <c r="F350" s="24"/>
      <c r="G350" s="24"/>
      <c r="H350" s="4"/>
      <c r="I350" s="25"/>
    </row>
    <row r="351" customFormat="false" ht="15" hidden="false" customHeight="false" outlineLevel="0" collapsed="false">
      <c r="A351" s="5"/>
      <c r="B351" s="4"/>
      <c r="C351" s="4"/>
      <c r="D351" s="4"/>
      <c r="E351" s="24"/>
      <c r="F351" s="24"/>
      <c r="G351" s="24"/>
      <c r="H351" s="4"/>
      <c r="I351" s="25"/>
    </row>
    <row r="352" customFormat="false" ht="15" hidden="false" customHeight="false" outlineLevel="0" collapsed="false">
      <c r="A352" s="5"/>
      <c r="B352" s="4"/>
      <c r="C352" s="4"/>
      <c r="D352" s="4"/>
      <c r="E352" s="24"/>
      <c r="F352" s="24"/>
      <c r="G352" s="24"/>
      <c r="H352" s="4"/>
      <c r="I352" s="25"/>
    </row>
    <row r="353" customFormat="false" ht="15" hidden="false" customHeight="false" outlineLevel="0" collapsed="false">
      <c r="A353" s="5"/>
      <c r="B353" s="4"/>
      <c r="C353" s="4"/>
      <c r="D353" s="4"/>
      <c r="E353" s="24"/>
      <c r="F353" s="24"/>
      <c r="G353" s="24"/>
      <c r="H353" s="4"/>
      <c r="I353" s="25"/>
    </row>
    <row r="354" customFormat="false" ht="15" hidden="false" customHeight="false" outlineLevel="0" collapsed="false">
      <c r="A354" s="5"/>
      <c r="B354" s="4"/>
      <c r="C354" s="4"/>
      <c r="D354" s="4"/>
      <c r="E354" s="24"/>
      <c r="F354" s="24"/>
      <c r="G354" s="24"/>
      <c r="H354" s="4"/>
      <c r="I354" s="25"/>
    </row>
    <row r="355" customFormat="false" ht="15" hidden="false" customHeight="false" outlineLevel="0" collapsed="false">
      <c r="A355" s="5"/>
      <c r="B355" s="4"/>
      <c r="C355" s="4"/>
      <c r="D355" s="4"/>
      <c r="E355" s="24"/>
      <c r="F355" s="24"/>
      <c r="G355" s="24"/>
      <c r="H355" s="4"/>
      <c r="I355" s="25"/>
    </row>
    <row r="356" customFormat="false" ht="15" hidden="false" customHeight="false" outlineLevel="0" collapsed="false">
      <c r="A356" s="5"/>
      <c r="B356" s="4"/>
      <c r="C356" s="4"/>
      <c r="D356" s="4"/>
      <c r="E356" s="24"/>
      <c r="F356" s="24"/>
      <c r="G356" s="24"/>
      <c r="H356" s="4"/>
      <c r="I356" s="25"/>
    </row>
    <row r="357" customFormat="false" ht="15" hidden="false" customHeight="false" outlineLevel="0" collapsed="false">
      <c r="A357" s="5"/>
      <c r="B357" s="4"/>
      <c r="C357" s="4"/>
      <c r="D357" s="4"/>
      <c r="E357" s="24"/>
      <c r="F357" s="24"/>
      <c r="G357" s="24"/>
      <c r="H357" s="4"/>
      <c r="I357" s="25"/>
    </row>
    <row r="358" customFormat="false" ht="15" hidden="false" customHeight="false" outlineLevel="0" collapsed="false">
      <c r="A358" s="5"/>
      <c r="B358" s="4"/>
      <c r="C358" s="4"/>
      <c r="D358" s="4"/>
      <c r="E358" s="24"/>
      <c r="F358" s="24"/>
      <c r="G358" s="24"/>
      <c r="H358" s="4"/>
      <c r="I358" s="25"/>
    </row>
    <row r="359" customFormat="false" ht="15" hidden="false" customHeight="false" outlineLevel="0" collapsed="false">
      <c r="A359" s="5"/>
      <c r="B359" s="4"/>
      <c r="C359" s="4"/>
      <c r="D359" s="4"/>
      <c r="E359" s="24"/>
      <c r="F359" s="24"/>
      <c r="G359" s="24"/>
      <c r="H359" s="4"/>
      <c r="I359" s="25"/>
    </row>
    <row r="360" customFormat="false" ht="15" hidden="false" customHeight="false" outlineLevel="0" collapsed="false">
      <c r="A360" s="5"/>
      <c r="B360" s="4"/>
      <c r="C360" s="4"/>
      <c r="D360" s="4"/>
      <c r="E360" s="24"/>
      <c r="F360" s="24"/>
      <c r="G360" s="24"/>
      <c r="H360" s="4"/>
      <c r="I360" s="25"/>
    </row>
    <row r="361" customFormat="false" ht="15" hidden="false" customHeight="false" outlineLevel="0" collapsed="false">
      <c r="A361" s="5"/>
      <c r="B361" s="4"/>
      <c r="C361" s="4"/>
      <c r="D361" s="4"/>
      <c r="E361" s="24"/>
      <c r="F361" s="24"/>
      <c r="G361" s="24"/>
      <c r="H361" s="4"/>
      <c r="I361" s="25"/>
    </row>
    <row r="362" customFormat="false" ht="15" hidden="false" customHeight="false" outlineLevel="0" collapsed="false">
      <c r="A362" s="5"/>
      <c r="B362" s="4"/>
      <c r="C362" s="4"/>
      <c r="D362" s="4"/>
      <c r="E362" s="24"/>
      <c r="F362" s="24"/>
      <c r="G362" s="24"/>
      <c r="H362" s="4"/>
      <c r="I362" s="25"/>
    </row>
    <row r="363" customFormat="false" ht="15" hidden="false" customHeight="false" outlineLevel="0" collapsed="false">
      <c r="A363" s="5"/>
      <c r="B363" s="4"/>
      <c r="C363" s="4"/>
      <c r="D363" s="4"/>
      <c r="E363" s="24"/>
      <c r="F363" s="24"/>
      <c r="G363" s="24"/>
      <c r="H363" s="4"/>
      <c r="I363" s="25"/>
    </row>
    <row r="364" customFormat="false" ht="15" hidden="false" customHeight="false" outlineLevel="0" collapsed="false">
      <c r="A364" s="5"/>
      <c r="B364" s="4"/>
      <c r="C364" s="4"/>
      <c r="D364" s="4"/>
      <c r="E364" s="24"/>
      <c r="F364" s="24"/>
      <c r="G364" s="24"/>
      <c r="H364" s="4"/>
      <c r="I364" s="25"/>
    </row>
    <row r="365" customFormat="false" ht="15" hidden="false" customHeight="false" outlineLevel="0" collapsed="false">
      <c r="A365" s="5"/>
      <c r="B365" s="4"/>
      <c r="C365" s="4"/>
      <c r="D365" s="4"/>
      <c r="E365" s="24"/>
      <c r="F365" s="24"/>
      <c r="G365" s="24"/>
      <c r="H365" s="4"/>
      <c r="I365" s="25"/>
    </row>
    <row r="366" customFormat="false" ht="15" hidden="false" customHeight="false" outlineLevel="0" collapsed="false">
      <c r="A366" s="5"/>
      <c r="B366" s="4"/>
      <c r="C366" s="4"/>
      <c r="D366" s="4"/>
      <c r="E366" s="24"/>
      <c r="F366" s="24"/>
      <c r="G366" s="24"/>
      <c r="H366" s="4"/>
      <c r="I366" s="25"/>
    </row>
    <row r="367" customFormat="false" ht="15" hidden="false" customHeight="false" outlineLevel="0" collapsed="false">
      <c r="A367" s="5"/>
      <c r="B367" s="4"/>
      <c r="C367" s="4"/>
      <c r="D367" s="4"/>
      <c r="E367" s="24"/>
      <c r="F367" s="24"/>
      <c r="G367" s="24"/>
      <c r="H367" s="4"/>
      <c r="I367" s="25"/>
    </row>
    <row r="368" customFormat="false" ht="15" hidden="false" customHeight="false" outlineLevel="0" collapsed="false">
      <c r="A368" s="5"/>
      <c r="B368" s="4"/>
      <c r="C368" s="4"/>
      <c r="D368" s="4"/>
      <c r="E368" s="24"/>
      <c r="F368" s="24"/>
      <c r="G368" s="24"/>
      <c r="H368" s="4"/>
      <c r="I368" s="25"/>
    </row>
    <row r="369" customFormat="false" ht="15" hidden="false" customHeight="false" outlineLevel="0" collapsed="false">
      <c r="A369" s="5"/>
      <c r="B369" s="4"/>
      <c r="C369" s="4"/>
      <c r="D369" s="4"/>
      <c r="E369" s="24"/>
      <c r="F369" s="24"/>
      <c r="G369" s="24"/>
      <c r="H369" s="4"/>
      <c r="I369" s="25"/>
    </row>
    <row r="370" customFormat="false" ht="15" hidden="false" customHeight="false" outlineLevel="0" collapsed="false">
      <c r="A370" s="5"/>
      <c r="B370" s="4"/>
      <c r="C370" s="4"/>
      <c r="D370" s="4"/>
      <c r="E370" s="24"/>
      <c r="F370" s="24"/>
      <c r="G370" s="24"/>
      <c r="H370" s="4"/>
      <c r="I370" s="25"/>
    </row>
    <row r="371" customFormat="false" ht="15" hidden="false" customHeight="false" outlineLevel="0" collapsed="false">
      <c r="A371" s="5"/>
      <c r="B371" s="4"/>
      <c r="C371" s="4"/>
      <c r="D371" s="4"/>
      <c r="E371" s="24"/>
      <c r="F371" s="24"/>
      <c r="G371" s="24"/>
      <c r="H371" s="4"/>
      <c r="I371" s="25"/>
    </row>
    <row r="372" customFormat="false" ht="15" hidden="false" customHeight="false" outlineLevel="0" collapsed="false">
      <c r="A372" s="5"/>
      <c r="B372" s="4"/>
      <c r="C372" s="4"/>
      <c r="D372" s="4"/>
      <c r="E372" s="24"/>
      <c r="F372" s="24"/>
      <c r="G372" s="24"/>
      <c r="H372" s="4"/>
      <c r="I372" s="25"/>
    </row>
    <row r="373" customFormat="false" ht="15" hidden="false" customHeight="false" outlineLevel="0" collapsed="false">
      <c r="A373" s="5"/>
      <c r="B373" s="4"/>
      <c r="C373" s="4"/>
      <c r="D373" s="4"/>
      <c r="E373" s="24"/>
      <c r="F373" s="24"/>
      <c r="G373" s="24"/>
      <c r="H373" s="4"/>
      <c r="I373" s="25"/>
    </row>
    <row r="374" customFormat="false" ht="15" hidden="false" customHeight="false" outlineLevel="0" collapsed="false">
      <c r="A374" s="5"/>
      <c r="B374" s="4"/>
      <c r="C374" s="4"/>
      <c r="D374" s="4"/>
      <c r="E374" s="24"/>
      <c r="F374" s="24"/>
      <c r="G374" s="24"/>
      <c r="H374" s="4"/>
      <c r="I374" s="25"/>
    </row>
    <row r="375" customFormat="false" ht="15" hidden="false" customHeight="false" outlineLevel="0" collapsed="false">
      <c r="A375" s="5"/>
      <c r="B375" s="4"/>
      <c r="C375" s="4"/>
      <c r="D375" s="4"/>
      <c r="E375" s="24"/>
      <c r="F375" s="24"/>
      <c r="G375" s="24"/>
      <c r="H375" s="4"/>
      <c r="I375" s="25"/>
    </row>
    <row r="376" customFormat="false" ht="15" hidden="false" customHeight="false" outlineLevel="0" collapsed="false">
      <c r="A376" s="5"/>
      <c r="B376" s="4"/>
      <c r="C376" s="4"/>
      <c r="D376" s="4"/>
      <c r="E376" s="24"/>
      <c r="F376" s="24"/>
      <c r="G376" s="24"/>
      <c r="H376" s="4"/>
      <c r="I376" s="25"/>
    </row>
    <row r="377" customFormat="false" ht="15" hidden="false" customHeight="false" outlineLevel="0" collapsed="false">
      <c r="A377" s="5"/>
      <c r="B377" s="4"/>
      <c r="C377" s="4"/>
      <c r="D377" s="4"/>
      <c r="E377" s="24"/>
      <c r="F377" s="24"/>
      <c r="G377" s="24"/>
      <c r="H377" s="4"/>
      <c r="I377" s="25"/>
    </row>
    <row r="378" customFormat="false" ht="15" hidden="false" customHeight="false" outlineLevel="0" collapsed="false">
      <c r="A378" s="5"/>
      <c r="B378" s="4"/>
      <c r="C378" s="4"/>
      <c r="D378" s="4"/>
      <c r="E378" s="24"/>
      <c r="F378" s="24"/>
      <c r="G378" s="24"/>
      <c r="H378" s="4"/>
      <c r="I378" s="25"/>
    </row>
    <row r="379" customFormat="false" ht="15" hidden="false" customHeight="false" outlineLevel="0" collapsed="false">
      <c r="A379" s="5"/>
      <c r="B379" s="4"/>
      <c r="C379" s="4"/>
      <c r="D379" s="4"/>
      <c r="E379" s="24"/>
      <c r="F379" s="24"/>
      <c r="G379" s="24"/>
      <c r="H379" s="4"/>
      <c r="I379" s="25"/>
    </row>
    <row r="380" customFormat="false" ht="15" hidden="false" customHeight="false" outlineLevel="0" collapsed="false">
      <c r="A380" s="5"/>
      <c r="B380" s="4"/>
      <c r="C380" s="4"/>
      <c r="D380" s="4"/>
      <c r="E380" s="24"/>
      <c r="F380" s="24"/>
      <c r="G380" s="24"/>
      <c r="H380" s="4"/>
      <c r="I380" s="25"/>
    </row>
    <row r="381" customFormat="false" ht="15" hidden="false" customHeight="false" outlineLevel="0" collapsed="false">
      <c r="A381" s="5"/>
      <c r="B381" s="4"/>
      <c r="C381" s="4"/>
      <c r="D381" s="4"/>
      <c r="E381" s="24"/>
      <c r="F381" s="24"/>
      <c r="G381" s="24"/>
      <c r="H381" s="4"/>
      <c r="I381" s="25"/>
    </row>
    <row r="382" customFormat="false" ht="15" hidden="false" customHeight="false" outlineLevel="0" collapsed="false">
      <c r="A382" s="5"/>
      <c r="B382" s="4"/>
      <c r="C382" s="4"/>
      <c r="D382" s="4"/>
      <c r="E382" s="24"/>
      <c r="F382" s="24"/>
      <c r="G382" s="24"/>
      <c r="H382" s="4"/>
      <c r="I382" s="25"/>
    </row>
    <row r="383" customFormat="false" ht="15" hidden="false" customHeight="false" outlineLevel="0" collapsed="false">
      <c r="A383" s="5"/>
      <c r="B383" s="4"/>
      <c r="C383" s="4"/>
      <c r="D383" s="4"/>
      <c r="E383" s="24"/>
      <c r="F383" s="24"/>
      <c r="G383" s="24"/>
      <c r="H383" s="4"/>
      <c r="I383" s="25"/>
    </row>
    <row r="384" customFormat="false" ht="15" hidden="false" customHeight="false" outlineLevel="0" collapsed="false">
      <c r="A384" s="5"/>
      <c r="B384" s="4"/>
      <c r="C384" s="4"/>
      <c r="D384" s="4"/>
      <c r="E384" s="24"/>
      <c r="F384" s="24"/>
      <c r="G384" s="24"/>
      <c r="H384" s="4"/>
      <c r="I384" s="25"/>
    </row>
    <row r="385" customFormat="false" ht="15" hidden="false" customHeight="false" outlineLevel="0" collapsed="false">
      <c r="A385" s="5"/>
      <c r="B385" s="4"/>
      <c r="C385" s="4"/>
      <c r="D385" s="4"/>
      <c r="E385" s="24"/>
      <c r="F385" s="24"/>
      <c r="G385" s="24"/>
      <c r="H385" s="4"/>
      <c r="I385" s="25"/>
    </row>
    <row r="386" customFormat="false" ht="15" hidden="false" customHeight="false" outlineLevel="0" collapsed="false">
      <c r="A386" s="5"/>
      <c r="B386" s="4"/>
      <c r="C386" s="4"/>
      <c r="D386" s="4"/>
      <c r="E386" s="24"/>
      <c r="F386" s="24"/>
      <c r="G386" s="24"/>
      <c r="H386" s="4"/>
      <c r="I386" s="25"/>
    </row>
    <row r="387" customFormat="false" ht="15" hidden="false" customHeight="false" outlineLevel="0" collapsed="false">
      <c r="A387" s="5"/>
      <c r="B387" s="4"/>
      <c r="C387" s="4"/>
      <c r="D387" s="4"/>
      <c r="E387" s="24"/>
      <c r="F387" s="24"/>
      <c r="G387" s="24"/>
      <c r="H387" s="4"/>
      <c r="I387" s="25"/>
    </row>
    <row r="388" customFormat="false" ht="15" hidden="false" customHeight="false" outlineLevel="0" collapsed="false">
      <c r="A388" s="5"/>
      <c r="B388" s="4"/>
      <c r="C388" s="4"/>
      <c r="D388" s="4"/>
      <c r="E388" s="24"/>
      <c r="F388" s="24"/>
      <c r="G388" s="24"/>
      <c r="H388" s="4"/>
      <c r="I388" s="25"/>
    </row>
    <row r="389" customFormat="false" ht="15" hidden="false" customHeight="false" outlineLevel="0" collapsed="false">
      <c r="A389" s="5"/>
      <c r="B389" s="4"/>
      <c r="C389" s="4"/>
      <c r="D389" s="4"/>
      <c r="E389" s="24"/>
      <c r="F389" s="24"/>
      <c r="G389" s="24"/>
      <c r="H389" s="4"/>
      <c r="I389" s="25"/>
    </row>
    <row r="390" customFormat="false" ht="15" hidden="false" customHeight="false" outlineLevel="0" collapsed="false">
      <c r="A390" s="5"/>
      <c r="B390" s="4"/>
      <c r="C390" s="4"/>
      <c r="D390" s="4"/>
      <c r="E390" s="24"/>
      <c r="F390" s="24"/>
      <c r="G390" s="24"/>
      <c r="H390" s="4"/>
      <c r="I390" s="25"/>
    </row>
    <row r="391" customFormat="false" ht="15" hidden="false" customHeight="false" outlineLevel="0" collapsed="false">
      <c r="A391" s="5"/>
      <c r="B391" s="4"/>
      <c r="C391" s="4"/>
      <c r="D391" s="4"/>
      <c r="E391" s="24"/>
      <c r="F391" s="24"/>
      <c r="G391" s="24"/>
      <c r="H391" s="4"/>
      <c r="I391" s="25"/>
    </row>
    <row r="392" customFormat="false" ht="15" hidden="false" customHeight="false" outlineLevel="0" collapsed="false">
      <c r="A392" s="5"/>
      <c r="B392" s="4"/>
      <c r="C392" s="4"/>
      <c r="D392" s="4"/>
      <c r="E392" s="24"/>
      <c r="F392" s="24"/>
      <c r="G392" s="24"/>
      <c r="H392" s="4"/>
      <c r="I392" s="25"/>
    </row>
    <row r="393" customFormat="false" ht="15" hidden="false" customHeight="false" outlineLevel="0" collapsed="false">
      <c r="A393" s="5"/>
      <c r="B393" s="4"/>
      <c r="C393" s="4"/>
      <c r="D393" s="4"/>
      <c r="E393" s="24"/>
      <c r="F393" s="24"/>
      <c r="G393" s="24"/>
      <c r="H393" s="4"/>
      <c r="I393" s="25"/>
    </row>
    <row r="394" customFormat="false" ht="15" hidden="false" customHeight="false" outlineLevel="0" collapsed="false">
      <c r="A394" s="5"/>
      <c r="B394" s="4"/>
      <c r="C394" s="4"/>
      <c r="D394" s="4"/>
      <c r="E394" s="24"/>
      <c r="F394" s="24"/>
      <c r="G394" s="24"/>
      <c r="H394" s="4"/>
      <c r="I394" s="25"/>
    </row>
    <row r="395" customFormat="false" ht="15" hidden="false" customHeight="false" outlineLevel="0" collapsed="false">
      <c r="A395" s="5"/>
      <c r="B395" s="4"/>
      <c r="C395" s="4"/>
      <c r="D395" s="4"/>
      <c r="E395" s="24"/>
      <c r="F395" s="24"/>
      <c r="G395" s="24"/>
      <c r="H395" s="4"/>
      <c r="I395" s="25"/>
    </row>
    <row r="396" customFormat="false" ht="15" hidden="false" customHeight="false" outlineLevel="0" collapsed="false">
      <c r="A396" s="5"/>
      <c r="B396" s="4"/>
      <c r="C396" s="4"/>
      <c r="D396" s="4"/>
      <c r="E396" s="24"/>
      <c r="F396" s="24"/>
      <c r="G396" s="24"/>
      <c r="H396" s="4"/>
      <c r="I396" s="25"/>
    </row>
    <row r="397" customFormat="false" ht="15" hidden="false" customHeight="false" outlineLevel="0" collapsed="false">
      <c r="A397" s="5"/>
      <c r="B397" s="4"/>
      <c r="C397" s="4"/>
      <c r="D397" s="4"/>
      <c r="E397" s="24"/>
      <c r="F397" s="24"/>
      <c r="G397" s="24"/>
      <c r="H397" s="4"/>
      <c r="I397" s="25"/>
    </row>
    <row r="398" customFormat="false" ht="15" hidden="false" customHeight="false" outlineLevel="0" collapsed="false">
      <c r="A398" s="5"/>
      <c r="B398" s="4"/>
      <c r="C398" s="4"/>
      <c r="D398" s="4"/>
      <c r="E398" s="24"/>
      <c r="F398" s="24"/>
      <c r="G398" s="24"/>
      <c r="H398" s="4"/>
      <c r="I398" s="25"/>
    </row>
    <row r="399" customFormat="false" ht="15" hidden="false" customHeight="false" outlineLevel="0" collapsed="false">
      <c r="A399" s="5"/>
      <c r="B399" s="4"/>
      <c r="C399" s="4"/>
      <c r="D399" s="4"/>
      <c r="E399" s="24"/>
      <c r="F399" s="24"/>
      <c r="G399" s="24"/>
      <c r="H399" s="4"/>
      <c r="I399" s="25"/>
    </row>
    <row r="400" customFormat="false" ht="15" hidden="false" customHeight="false" outlineLevel="0" collapsed="false">
      <c r="A400" s="5"/>
      <c r="B400" s="4"/>
      <c r="C400" s="4"/>
      <c r="D400" s="4"/>
      <c r="E400" s="24"/>
      <c r="F400" s="24"/>
      <c r="G400" s="24"/>
      <c r="H400" s="4"/>
      <c r="I400" s="25"/>
    </row>
    <row r="401" customFormat="false" ht="15" hidden="false" customHeight="false" outlineLevel="0" collapsed="false">
      <c r="A401" s="5"/>
      <c r="B401" s="4"/>
      <c r="C401" s="4"/>
      <c r="D401" s="4"/>
      <c r="E401" s="24"/>
      <c r="F401" s="24"/>
      <c r="G401" s="24"/>
      <c r="H401" s="4"/>
      <c r="I401" s="25"/>
    </row>
    <row r="402" customFormat="false" ht="15" hidden="false" customHeight="false" outlineLevel="0" collapsed="false">
      <c r="A402" s="5"/>
      <c r="B402" s="4"/>
      <c r="C402" s="4"/>
      <c r="D402" s="4"/>
      <c r="E402" s="24"/>
      <c r="F402" s="24"/>
      <c r="G402" s="24"/>
      <c r="H402" s="4"/>
      <c r="I402" s="25"/>
    </row>
    <row r="403" customFormat="false" ht="15" hidden="false" customHeight="false" outlineLevel="0" collapsed="false">
      <c r="A403" s="5"/>
      <c r="B403" s="4"/>
      <c r="C403" s="4"/>
      <c r="D403" s="4"/>
      <c r="E403" s="24"/>
      <c r="F403" s="24"/>
      <c r="G403" s="24"/>
      <c r="H403" s="4"/>
      <c r="I403" s="25"/>
    </row>
    <row r="404" customFormat="false" ht="15" hidden="false" customHeight="false" outlineLevel="0" collapsed="false">
      <c r="A404" s="5"/>
      <c r="B404" s="4"/>
      <c r="C404" s="4"/>
      <c r="D404" s="4"/>
      <c r="E404" s="24"/>
      <c r="F404" s="24"/>
      <c r="G404" s="24"/>
      <c r="H404" s="4"/>
      <c r="I404" s="25"/>
    </row>
    <row r="405" customFormat="false" ht="15" hidden="false" customHeight="false" outlineLevel="0" collapsed="false">
      <c r="A405" s="5"/>
      <c r="B405" s="4"/>
      <c r="C405" s="4"/>
      <c r="D405" s="4"/>
      <c r="E405" s="24"/>
      <c r="F405" s="24"/>
      <c r="G405" s="24"/>
      <c r="H405" s="4"/>
      <c r="I405" s="25"/>
    </row>
    <row r="406" customFormat="false" ht="15" hidden="false" customHeight="false" outlineLevel="0" collapsed="false">
      <c r="A406" s="5"/>
      <c r="B406" s="4"/>
      <c r="C406" s="4"/>
      <c r="D406" s="4"/>
      <c r="E406" s="24"/>
      <c r="F406" s="24"/>
      <c r="G406" s="24"/>
      <c r="H406" s="4"/>
      <c r="I406" s="25"/>
    </row>
    <row r="407" customFormat="false" ht="15" hidden="false" customHeight="false" outlineLevel="0" collapsed="false">
      <c r="A407" s="5"/>
      <c r="B407" s="4"/>
      <c r="C407" s="4"/>
      <c r="D407" s="4"/>
      <c r="E407" s="24"/>
      <c r="F407" s="24"/>
      <c r="G407" s="24"/>
      <c r="H407" s="4"/>
      <c r="I407" s="25"/>
    </row>
    <row r="408" customFormat="false" ht="15" hidden="false" customHeight="false" outlineLevel="0" collapsed="false">
      <c r="A408" s="5"/>
      <c r="B408" s="4"/>
      <c r="C408" s="4"/>
      <c r="D408" s="4"/>
      <c r="E408" s="24"/>
      <c r="F408" s="24"/>
      <c r="G408" s="24"/>
      <c r="H408" s="4"/>
      <c r="I408" s="25"/>
    </row>
    <row r="409" customFormat="false" ht="15" hidden="false" customHeight="false" outlineLevel="0" collapsed="false">
      <c r="A409" s="5"/>
      <c r="B409" s="4"/>
      <c r="C409" s="4"/>
      <c r="D409" s="4"/>
      <c r="E409" s="24"/>
      <c r="F409" s="24"/>
      <c r="G409" s="24"/>
      <c r="H409" s="4"/>
      <c r="I409" s="25"/>
    </row>
    <row r="410" customFormat="false" ht="15" hidden="false" customHeight="false" outlineLevel="0" collapsed="false">
      <c r="A410" s="5"/>
      <c r="B410" s="4"/>
      <c r="C410" s="4"/>
      <c r="D410" s="4"/>
      <c r="E410" s="24"/>
      <c r="F410" s="24"/>
      <c r="G410" s="24"/>
      <c r="H410" s="4"/>
      <c r="I410" s="25"/>
    </row>
    <row r="411" customFormat="false" ht="15" hidden="false" customHeight="false" outlineLevel="0" collapsed="false">
      <c r="A411" s="5"/>
      <c r="B411" s="4"/>
      <c r="C411" s="4"/>
      <c r="D411" s="4"/>
      <c r="E411" s="24"/>
      <c r="F411" s="24"/>
      <c r="G411" s="24"/>
      <c r="H411" s="4"/>
      <c r="I411" s="25"/>
    </row>
    <row r="412" customFormat="false" ht="15" hidden="false" customHeight="false" outlineLevel="0" collapsed="false">
      <c r="A412" s="5"/>
      <c r="B412" s="4"/>
      <c r="C412" s="4"/>
      <c r="D412" s="4"/>
      <c r="E412" s="24"/>
      <c r="F412" s="24"/>
      <c r="G412" s="24"/>
      <c r="H412" s="4"/>
      <c r="I412" s="25"/>
    </row>
    <row r="413" customFormat="false" ht="15" hidden="false" customHeight="false" outlineLevel="0" collapsed="false">
      <c r="A413" s="5"/>
      <c r="B413" s="4"/>
      <c r="C413" s="4"/>
      <c r="D413" s="4"/>
      <c r="E413" s="24"/>
      <c r="F413" s="24"/>
      <c r="G413" s="24"/>
      <c r="H413" s="4"/>
      <c r="I413" s="25"/>
    </row>
    <row r="414" customFormat="false" ht="15" hidden="false" customHeight="false" outlineLevel="0" collapsed="false">
      <c r="A414" s="5"/>
      <c r="B414" s="4"/>
      <c r="C414" s="4"/>
      <c r="D414" s="4"/>
      <c r="E414" s="24"/>
      <c r="F414" s="24"/>
      <c r="G414" s="24"/>
      <c r="H414" s="4"/>
      <c r="I414" s="25"/>
    </row>
    <row r="415" customFormat="false" ht="15" hidden="false" customHeight="false" outlineLevel="0" collapsed="false">
      <c r="A415" s="5"/>
      <c r="B415" s="4"/>
      <c r="C415" s="4"/>
      <c r="D415" s="4"/>
      <c r="E415" s="24"/>
      <c r="F415" s="24"/>
      <c r="G415" s="24"/>
      <c r="H415" s="4"/>
      <c r="I415" s="25"/>
    </row>
    <row r="416" customFormat="false" ht="15" hidden="false" customHeight="false" outlineLevel="0" collapsed="false">
      <c r="A416" s="5"/>
      <c r="B416" s="4"/>
      <c r="C416" s="4"/>
      <c r="D416" s="4"/>
      <c r="E416" s="24"/>
      <c r="F416" s="24"/>
      <c r="G416" s="24"/>
      <c r="H416" s="4"/>
      <c r="I416" s="25"/>
    </row>
    <row r="417" customFormat="false" ht="15" hidden="false" customHeight="false" outlineLevel="0" collapsed="false">
      <c r="A417" s="5"/>
      <c r="B417" s="4"/>
      <c r="C417" s="4"/>
      <c r="D417" s="4"/>
      <c r="E417" s="24"/>
      <c r="F417" s="24"/>
      <c r="G417" s="24"/>
      <c r="H417" s="4"/>
      <c r="I417" s="25"/>
    </row>
    <row r="418" customFormat="false" ht="15" hidden="false" customHeight="false" outlineLevel="0" collapsed="false">
      <c r="A418" s="5"/>
      <c r="B418" s="4"/>
      <c r="C418" s="4"/>
      <c r="D418" s="4"/>
      <c r="E418" s="24"/>
      <c r="F418" s="24"/>
      <c r="G418" s="24"/>
      <c r="H418" s="4"/>
      <c r="I418" s="25"/>
    </row>
    <row r="419" customFormat="false" ht="15" hidden="false" customHeight="false" outlineLevel="0" collapsed="false">
      <c r="A419" s="5"/>
      <c r="B419" s="4"/>
      <c r="C419" s="4"/>
      <c r="D419" s="4"/>
      <c r="E419" s="24"/>
      <c r="F419" s="24"/>
      <c r="G419" s="24"/>
      <c r="H419" s="4"/>
      <c r="I419" s="25"/>
    </row>
    <row r="420" customFormat="false" ht="15" hidden="false" customHeight="false" outlineLevel="0" collapsed="false">
      <c r="A420" s="5"/>
      <c r="B420" s="4"/>
      <c r="C420" s="4"/>
      <c r="D420" s="4"/>
      <c r="E420" s="24"/>
      <c r="F420" s="24"/>
      <c r="G420" s="24"/>
      <c r="H420" s="4"/>
      <c r="I420" s="25"/>
    </row>
    <row r="421" customFormat="false" ht="15" hidden="false" customHeight="false" outlineLevel="0" collapsed="false">
      <c r="A421" s="5"/>
      <c r="B421" s="4"/>
      <c r="C421" s="4"/>
      <c r="D421" s="4"/>
      <c r="E421" s="24"/>
      <c r="F421" s="24"/>
      <c r="G421" s="24"/>
      <c r="H421" s="4"/>
      <c r="I421" s="25"/>
    </row>
    <row r="422" customFormat="false" ht="15" hidden="false" customHeight="false" outlineLevel="0" collapsed="false">
      <c r="A422" s="5"/>
      <c r="B422" s="4"/>
      <c r="C422" s="4"/>
      <c r="D422" s="4"/>
      <c r="E422" s="24"/>
      <c r="F422" s="24"/>
      <c r="G422" s="24"/>
      <c r="H422" s="4"/>
      <c r="I422" s="25"/>
    </row>
    <row r="423" customFormat="false" ht="15" hidden="false" customHeight="false" outlineLevel="0" collapsed="false">
      <c r="A423" s="5"/>
      <c r="B423" s="4"/>
      <c r="C423" s="4"/>
      <c r="D423" s="4"/>
      <c r="E423" s="24"/>
      <c r="F423" s="24"/>
      <c r="G423" s="24"/>
      <c r="H423" s="4"/>
      <c r="I423" s="25"/>
    </row>
    <row r="424" customFormat="false" ht="15" hidden="false" customHeight="false" outlineLevel="0" collapsed="false">
      <c r="A424" s="5"/>
      <c r="B424" s="4"/>
      <c r="C424" s="4"/>
      <c r="D424" s="4"/>
      <c r="E424" s="24"/>
      <c r="F424" s="24"/>
      <c r="G424" s="24"/>
      <c r="H424" s="4"/>
      <c r="I424" s="25"/>
    </row>
    <row r="425" customFormat="false" ht="15" hidden="false" customHeight="false" outlineLevel="0" collapsed="false">
      <c r="A425" s="5"/>
      <c r="B425" s="4"/>
      <c r="C425" s="4"/>
      <c r="D425" s="4"/>
      <c r="E425" s="24"/>
      <c r="F425" s="24"/>
      <c r="G425" s="24"/>
      <c r="H425" s="4"/>
      <c r="I425" s="25"/>
    </row>
    <row r="426" customFormat="false" ht="15" hidden="false" customHeight="false" outlineLevel="0" collapsed="false">
      <c r="A426" s="5"/>
      <c r="B426" s="4"/>
      <c r="C426" s="4"/>
      <c r="D426" s="4"/>
      <c r="E426" s="24"/>
      <c r="F426" s="24"/>
      <c r="G426" s="24"/>
      <c r="H426" s="4"/>
      <c r="I426" s="25"/>
    </row>
    <row r="427" customFormat="false" ht="15" hidden="false" customHeight="false" outlineLevel="0" collapsed="false">
      <c r="A427" s="5"/>
      <c r="B427" s="4"/>
      <c r="C427" s="4"/>
      <c r="D427" s="4"/>
      <c r="E427" s="24"/>
      <c r="F427" s="24"/>
      <c r="G427" s="24"/>
      <c r="H427" s="4"/>
      <c r="I427" s="25"/>
    </row>
    <row r="428" customFormat="false" ht="15" hidden="false" customHeight="false" outlineLevel="0" collapsed="false">
      <c r="A428" s="5"/>
      <c r="B428" s="4"/>
      <c r="C428" s="4"/>
      <c r="D428" s="4"/>
      <c r="E428" s="24"/>
      <c r="F428" s="24"/>
      <c r="G428" s="24"/>
      <c r="H428" s="4"/>
      <c r="I428" s="25"/>
    </row>
    <row r="429" customFormat="false" ht="15" hidden="false" customHeight="false" outlineLevel="0" collapsed="false">
      <c r="A429" s="5"/>
      <c r="B429" s="4"/>
      <c r="C429" s="4"/>
      <c r="D429" s="4"/>
      <c r="E429" s="24"/>
      <c r="F429" s="24"/>
      <c r="G429" s="24"/>
      <c r="H429" s="4"/>
      <c r="I429" s="25"/>
    </row>
    <row r="430" customFormat="false" ht="15" hidden="false" customHeight="false" outlineLevel="0" collapsed="false">
      <c r="A430" s="5"/>
      <c r="B430" s="4"/>
      <c r="C430" s="4"/>
      <c r="D430" s="4"/>
      <c r="E430" s="24"/>
      <c r="F430" s="24"/>
      <c r="G430" s="24"/>
      <c r="H430" s="4"/>
      <c r="I430" s="25"/>
    </row>
    <row r="431" customFormat="false" ht="15" hidden="false" customHeight="false" outlineLevel="0" collapsed="false">
      <c r="A431" s="5"/>
      <c r="B431" s="4"/>
      <c r="C431" s="4"/>
      <c r="D431" s="4"/>
      <c r="E431" s="24"/>
      <c r="F431" s="24"/>
      <c r="G431" s="24"/>
      <c r="H431" s="4"/>
      <c r="I431" s="25"/>
    </row>
    <row r="432" customFormat="false" ht="15" hidden="false" customHeight="false" outlineLevel="0" collapsed="false">
      <c r="A432" s="5"/>
      <c r="B432" s="4"/>
      <c r="C432" s="4"/>
      <c r="D432" s="4"/>
      <c r="E432" s="24"/>
      <c r="F432" s="24"/>
      <c r="G432" s="24"/>
      <c r="H432" s="4"/>
      <c r="I432" s="25"/>
    </row>
    <row r="433" customFormat="false" ht="15" hidden="false" customHeight="false" outlineLevel="0" collapsed="false">
      <c r="A433" s="5"/>
      <c r="B433" s="4"/>
      <c r="C433" s="4"/>
      <c r="D433" s="4"/>
      <c r="E433" s="24"/>
      <c r="F433" s="24"/>
      <c r="G433" s="24"/>
      <c r="H433" s="4"/>
      <c r="I433" s="25"/>
    </row>
    <row r="434" customFormat="false" ht="15" hidden="false" customHeight="false" outlineLevel="0" collapsed="false">
      <c r="A434" s="5"/>
      <c r="B434" s="4"/>
      <c r="C434" s="4"/>
      <c r="D434" s="4"/>
      <c r="E434" s="24"/>
      <c r="F434" s="24"/>
      <c r="G434" s="24"/>
      <c r="H434" s="4"/>
      <c r="I434" s="25"/>
    </row>
    <row r="435" customFormat="false" ht="15" hidden="false" customHeight="false" outlineLevel="0" collapsed="false">
      <c r="A435" s="5"/>
      <c r="B435" s="4"/>
      <c r="C435" s="4"/>
      <c r="D435" s="4"/>
      <c r="E435" s="24"/>
      <c r="F435" s="24"/>
      <c r="G435" s="24"/>
      <c r="H435" s="4"/>
      <c r="I435" s="25"/>
    </row>
    <row r="436" customFormat="false" ht="15" hidden="false" customHeight="false" outlineLevel="0" collapsed="false">
      <c r="A436" s="5"/>
      <c r="B436" s="4"/>
      <c r="C436" s="4"/>
      <c r="D436" s="4"/>
      <c r="E436" s="24"/>
      <c r="F436" s="24"/>
      <c r="G436" s="24"/>
      <c r="H436" s="4"/>
      <c r="I436" s="25"/>
    </row>
    <row r="437" customFormat="false" ht="15" hidden="false" customHeight="false" outlineLevel="0" collapsed="false">
      <c r="A437" s="5"/>
      <c r="B437" s="4"/>
      <c r="C437" s="4"/>
      <c r="D437" s="4"/>
      <c r="E437" s="24"/>
      <c r="F437" s="24"/>
      <c r="G437" s="24"/>
      <c r="H437" s="4"/>
      <c r="I437" s="25"/>
    </row>
    <row r="438" customFormat="false" ht="15" hidden="false" customHeight="false" outlineLevel="0" collapsed="false">
      <c r="A438" s="5"/>
      <c r="B438" s="4"/>
      <c r="C438" s="4"/>
      <c r="D438" s="4"/>
      <c r="E438" s="24"/>
      <c r="F438" s="24"/>
      <c r="G438" s="24"/>
      <c r="H438" s="4"/>
      <c r="I438" s="25"/>
    </row>
    <row r="439" customFormat="false" ht="15" hidden="false" customHeight="false" outlineLevel="0" collapsed="false">
      <c r="A439" s="5"/>
      <c r="B439" s="4"/>
      <c r="C439" s="4"/>
      <c r="D439" s="4"/>
      <c r="E439" s="24"/>
      <c r="F439" s="24"/>
      <c r="G439" s="24"/>
      <c r="H439" s="4"/>
      <c r="I439" s="25"/>
    </row>
    <row r="440" customFormat="false" ht="15" hidden="false" customHeight="false" outlineLevel="0" collapsed="false">
      <c r="A440" s="5"/>
      <c r="B440" s="4"/>
      <c r="C440" s="4"/>
      <c r="D440" s="4"/>
      <c r="E440" s="24"/>
      <c r="F440" s="24"/>
      <c r="G440" s="24"/>
      <c r="H440" s="4"/>
      <c r="I440" s="25"/>
    </row>
    <row r="441" customFormat="false" ht="15" hidden="false" customHeight="false" outlineLevel="0" collapsed="false">
      <c r="A441" s="5"/>
      <c r="B441" s="4"/>
      <c r="C441" s="4"/>
      <c r="D441" s="4"/>
      <c r="E441" s="24"/>
      <c r="F441" s="24"/>
      <c r="G441" s="24"/>
      <c r="H441" s="4"/>
      <c r="I441" s="25"/>
    </row>
    <row r="442" customFormat="false" ht="15" hidden="false" customHeight="false" outlineLevel="0" collapsed="false">
      <c r="A442" s="5"/>
      <c r="B442" s="4"/>
      <c r="C442" s="4"/>
      <c r="D442" s="4"/>
      <c r="E442" s="24"/>
      <c r="F442" s="24"/>
      <c r="G442" s="24"/>
      <c r="H442" s="4"/>
      <c r="I442" s="25"/>
    </row>
    <row r="443" customFormat="false" ht="15" hidden="false" customHeight="false" outlineLevel="0" collapsed="false">
      <c r="A443" s="5"/>
      <c r="B443" s="4"/>
      <c r="C443" s="4"/>
      <c r="D443" s="4"/>
      <c r="E443" s="24"/>
      <c r="F443" s="24"/>
      <c r="G443" s="24"/>
      <c r="H443" s="4"/>
      <c r="I443" s="25"/>
    </row>
    <row r="444" customFormat="false" ht="15" hidden="false" customHeight="false" outlineLevel="0" collapsed="false">
      <c r="A444" s="5"/>
      <c r="B444" s="4"/>
      <c r="C444" s="4"/>
      <c r="D444" s="4"/>
      <c r="E444" s="24"/>
      <c r="F444" s="24"/>
      <c r="G444" s="24"/>
      <c r="H444" s="4"/>
      <c r="I444" s="25"/>
    </row>
    <row r="445" customFormat="false" ht="15" hidden="false" customHeight="false" outlineLevel="0" collapsed="false">
      <c r="A445" s="5"/>
      <c r="B445" s="4"/>
      <c r="C445" s="4"/>
      <c r="D445" s="4"/>
      <c r="E445" s="24"/>
      <c r="F445" s="24"/>
      <c r="G445" s="24"/>
      <c r="H445" s="4"/>
      <c r="I445" s="25"/>
    </row>
    <row r="446" customFormat="false" ht="15" hidden="false" customHeight="false" outlineLevel="0" collapsed="false">
      <c r="A446" s="5"/>
      <c r="B446" s="4"/>
      <c r="C446" s="4"/>
      <c r="D446" s="4"/>
      <c r="E446" s="24"/>
      <c r="F446" s="24"/>
      <c r="G446" s="24"/>
      <c r="H446" s="4"/>
      <c r="I446" s="25"/>
    </row>
    <row r="447" customFormat="false" ht="15" hidden="false" customHeight="false" outlineLevel="0" collapsed="false">
      <c r="A447" s="5"/>
      <c r="B447" s="4"/>
      <c r="C447" s="4"/>
      <c r="D447" s="4"/>
      <c r="E447" s="24"/>
      <c r="F447" s="24"/>
      <c r="G447" s="24"/>
      <c r="H447" s="4"/>
      <c r="I447" s="25"/>
    </row>
    <row r="448" customFormat="false" ht="15" hidden="false" customHeight="false" outlineLevel="0" collapsed="false">
      <c r="A448" s="5"/>
      <c r="B448" s="4"/>
      <c r="C448" s="4"/>
      <c r="D448" s="4"/>
      <c r="E448" s="24"/>
      <c r="F448" s="24"/>
      <c r="G448" s="24"/>
      <c r="H448" s="4"/>
      <c r="I448" s="25"/>
    </row>
    <row r="449" customFormat="false" ht="15" hidden="false" customHeight="false" outlineLevel="0" collapsed="false">
      <c r="A449" s="5"/>
      <c r="B449" s="4"/>
      <c r="C449" s="4"/>
      <c r="D449" s="4"/>
      <c r="E449" s="24"/>
      <c r="F449" s="24"/>
      <c r="G449" s="24"/>
      <c r="H449" s="4"/>
      <c r="I449" s="25"/>
    </row>
    <row r="450" customFormat="false" ht="15" hidden="false" customHeight="false" outlineLevel="0" collapsed="false">
      <c r="A450" s="5"/>
      <c r="B450" s="4"/>
      <c r="C450" s="4"/>
      <c r="D450" s="4"/>
      <c r="E450" s="24"/>
      <c r="F450" s="24"/>
      <c r="G450" s="24"/>
      <c r="H450" s="4"/>
      <c r="I450" s="25"/>
    </row>
    <row r="451" customFormat="false" ht="15" hidden="false" customHeight="false" outlineLevel="0" collapsed="false">
      <c r="A451" s="5"/>
      <c r="B451" s="4"/>
      <c r="C451" s="4"/>
      <c r="D451" s="4"/>
      <c r="E451" s="24"/>
      <c r="F451" s="24"/>
      <c r="G451" s="24"/>
      <c r="H451" s="4"/>
      <c r="I451" s="25"/>
    </row>
    <row r="452" customFormat="false" ht="15" hidden="false" customHeight="false" outlineLevel="0" collapsed="false">
      <c r="A452" s="5"/>
      <c r="B452" s="4"/>
      <c r="C452" s="4"/>
      <c r="D452" s="4"/>
      <c r="E452" s="24"/>
      <c r="F452" s="24"/>
      <c r="G452" s="24"/>
      <c r="H452" s="4"/>
      <c r="I452" s="25"/>
    </row>
    <row r="453" customFormat="false" ht="15" hidden="false" customHeight="false" outlineLevel="0" collapsed="false">
      <c r="A453" s="5"/>
      <c r="B453" s="4"/>
      <c r="C453" s="4"/>
      <c r="D453" s="4"/>
      <c r="E453" s="24"/>
      <c r="F453" s="24"/>
      <c r="G453" s="24"/>
      <c r="H453" s="4"/>
      <c r="I453" s="25"/>
    </row>
    <row r="454" customFormat="false" ht="15" hidden="false" customHeight="false" outlineLevel="0" collapsed="false">
      <c r="A454" s="5"/>
      <c r="B454" s="4"/>
      <c r="C454" s="4"/>
      <c r="D454" s="4"/>
      <c r="E454" s="24"/>
      <c r="F454" s="24"/>
      <c r="G454" s="24"/>
      <c r="H454" s="4"/>
      <c r="I454" s="25"/>
    </row>
    <row r="455" customFormat="false" ht="15" hidden="false" customHeight="false" outlineLevel="0" collapsed="false">
      <c r="A455" s="5"/>
      <c r="B455" s="4"/>
      <c r="C455" s="4"/>
      <c r="D455" s="4"/>
      <c r="E455" s="24"/>
      <c r="F455" s="24"/>
      <c r="G455" s="24"/>
      <c r="H455" s="4"/>
      <c r="I455" s="25"/>
    </row>
    <row r="456" customFormat="false" ht="15" hidden="false" customHeight="false" outlineLevel="0" collapsed="false">
      <c r="A456" s="5"/>
      <c r="B456" s="4"/>
      <c r="C456" s="4"/>
      <c r="D456" s="4"/>
      <c r="E456" s="24"/>
      <c r="F456" s="24"/>
      <c r="G456" s="24"/>
      <c r="H456" s="4"/>
      <c r="I456" s="25"/>
    </row>
    <row r="457" customFormat="false" ht="15" hidden="false" customHeight="false" outlineLevel="0" collapsed="false">
      <c r="A457" s="5"/>
      <c r="B457" s="4"/>
      <c r="C457" s="4"/>
      <c r="D457" s="4"/>
      <c r="E457" s="24"/>
      <c r="F457" s="24"/>
      <c r="G457" s="24"/>
      <c r="H457" s="4"/>
      <c r="I457" s="25"/>
    </row>
    <row r="458" customFormat="false" ht="15" hidden="false" customHeight="false" outlineLevel="0" collapsed="false">
      <c r="A458" s="5"/>
      <c r="B458" s="4"/>
      <c r="C458" s="4"/>
      <c r="D458" s="4"/>
      <c r="E458" s="24"/>
      <c r="F458" s="24"/>
      <c r="G458" s="24"/>
      <c r="H458" s="4"/>
      <c r="I458" s="25"/>
    </row>
    <row r="459" customFormat="false" ht="15" hidden="false" customHeight="false" outlineLevel="0" collapsed="false">
      <c r="A459" s="5"/>
      <c r="B459" s="4"/>
      <c r="C459" s="4"/>
      <c r="D459" s="4"/>
      <c r="E459" s="24"/>
      <c r="F459" s="24"/>
      <c r="G459" s="24"/>
      <c r="H459" s="4"/>
      <c r="I459" s="25"/>
    </row>
    <row r="460" customFormat="false" ht="15" hidden="false" customHeight="false" outlineLevel="0" collapsed="false">
      <c r="A460" s="5"/>
      <c r="B460" s="4"/>
      <c r="C460" s="4"/>
      <c r="D460" s="4"/>
      <c r="E460" s="24"/>
      <c r="F460" s="24"/>
      <c r="G460" s="24"/>
      <c r="H460" s="4"/>
      <c r="I460" s="25"/>
    </row>
    <row r="461" customFormat="false" ht="15" hidden="false" customHeight="false" outlineLevel="0" collapsed="false">
      <c r="A461" s="5"/>
      <c r="B461" s="4"/>
      <c r="C461" s="4"/>
      <c r="D461" s="4"/>
      <c r="E461" s="24"/>
      <c r="F461" s="24"/>
      <c r="G461" s="24"/>
      <c r="H461" s="4"/>
      <c r="I461" s="25"/>
    </row>
    <row r="462" customFormat="false" ht="15" hidden="false" customHeight="false" outlineLevel="0" collapsed="false">
      <c r="A462" s="5"/>
      <c r="B462" s="4"/>
      <c r="C462" s="4"/>
      <c r="D462" s="4"/>
      <c r="E462" s="24"/>
      <c r="F462" s="24"/>
      <c r="G462" s="24"/>
      <c r="H462" s="4"/>
      <c r="I462" s="25"/>
    </row>
    <row r="463" customFormat="false" ht="15" hidden="false" customHeight="false" outlineLevel="0" collapsed="false">
      <c r="A463" s="5"/>
      <c r="B463" s="4"/>
      <c r="C463" s="4"/>
      <c r="D463" s="4"/>
      <c r="E463" s="24"/>
      <c r="F463" s="24"/>
      <c r="G463" s="24"/>
      <c r="H463" s="4"/>
      <c r="I463" s="25"/>
    </row>
    <row r="464" customFormat="false" ht="15" hidden="false" customHeight="false" outlineLevel="0" collapsed="false">
      <c r="A464" s="5"/>
      <c r="B464" s="4"/>
      <c r="C464" s="4"/>
      <c r="D464" s="4"/>
      <c r="E464" s="24"/>
      <c r="F464" s="24"/>
      <c r="G464" s="24"/>
      <c r="H464" s="4"/>
      <c r="I464" s="25"/>
    </row>
    <row r="465" customFormat="false" ht="15" hidden="false" customHeight="false" outlineLevel="0" collapsed="false">
      <c r="A465" s="5"/>
      <c r="B465" s="4"/>
      <c r="C465" s="4"/>
      <c r="D465" s="4"/>
      <c r="E465" s="24"/>
      <c r="F465" s="24"/>
      <c r="G465" s="24"/>
      <c r="H465" s="4"/>
      <c r="I465" s="25"/>
    </row>
    <row r="466" customFormat="false" ht="15" hidden="false" customHeight="false" outlineLevel="0" collapsed="false">
      <c r="A466" s="5"/>
      <c r="B466" s="4"/>
      <c r="C466" s="4"/>
      <c r="D466" s="4"/>
      <c r="E466" s="24"/>
      <c r="F466" s="24"/>
      <c r="G466" s="24"/>
      <c r="H466" s="4"/>
      <c r="I466" s="25"/>
    </row>
    <row r="467" customFormat="false" ht="15" hidden="false" customHeight="false" outlineLevel="0" collapsed="false">
      <c r="A467" s="5"/>
      <c r="B467" s="4"/>
      <c r="C467" s="4"/>
      <c r="D467" s="4"/>
      <c r="E467" s="24"/>
      <c r="F467" s="24"/>
      <c r="G467" s="24"/>
      <c r="H467" s="4"/>
      <c r="I467" s="25"/>
    </row>
    <row r="468" customFormat="false" ht="15" hidden="false" customHeight="false" outlineLevel="0" collapsed="false">
      <c r="A468" s="5"/>
      <c r="B468" s="4"/>
      <c r="C468" s="4"/>
      <c r="D468" s="4"/>
      <c r="E468" s="24"/>
      <c r="F468" s="24"/>
      <c r="G468" s="24"/>
      <c r="H468" s="4"/>
      <c r="I468" s="25"/>
    </row>
    <row r="469" customFormat="false" ht="15" hidden="false" customHeight="false" outlineLevel="0" collapsed="false">
      <c r="A469" s="5"/>
      <c r="B469" s="4"/>
      <c r="C469" s="4"/>
      <c r="D469" s="4"/>
      <c r="E469" s="24"/>
      <c r="F469" s="24"/>
      <c r="G469" s="24"/>
      <c r="H469" s="4"/>
      <c r="I469" s="25"/>
    </row>
    <row r="470" customFormat="false" ht="15" hidden="false" customHeight="false" outlineLevel="0" collapsed="false">
      <c r="A470" s="5"/>
      <c r="B470" s="4"/>
      <c r="C470" s="4"/>
      <c r="D470" s="4"/>
      <c r="E470" s="24"/>
      <c r="F470" s="24"/>
      <c r="G470" s="24"/>
      <c r="H470" s="4"/>
      <c r="I470" s="25"/>
    </row>
    <row r="471" customFormat="false" ht="15" hidden="false" customHeight="false" outlineLevel="0" collapsed="false">
      <c r="A471" s="5"/>
      <c r="B471" s="4"/>
      <c r="C471" s="4"/>
      <c r="D471" s="4"/>
      <c r="E471" s="24"/>
      <c r="F471" s="24"/>
      <c r="G471" s="24"/>
      <c r="H471" s="4"/>
      <c r="I471" s="25"/>
    </row>
    <row r="472" customFormat="false" ht="15" hidden="false" customHeight="false" outlineLevel="0" collapsed="false">
      <c r="A472" s="5"/>
      <c r="B472" s="4"/>
      <c r="C472" s="4"/>
      <c r="D472" s="4"/>
      <c r="E472" s="24"/>
      <c r="F472" s="24"/>
      <c r="G472" s="24"/>
      <c r="H472" s="4"/>
      <c r="I472" s="25"/>
    </row>
    <row r="473" customFormat="false" ht="15" hidden="false" customHeight="false" outlineLevel="0" collapsed="false">
      <c r="A473" s="5"/>
      <c r="B473" s="4"/>
      <c r="C473" s="4"/>
      <c r="D473" s="4"/>
      <c r="E473" s="24"/>
      <c r="F473" s="24"/>
      <c r="G473" s="24"/>
      <c r="H473" s="4"/>
      <c r="I473" s="25"/>
    </row>
    <row r="474" customFormat="false" ht="15" hidden="false" customHeight="false" outlineLevel="0" collapsed="false">
      <c r="A474" s="5"/>
      <c r="B474" s="4"/>
      <c r="C474" s="4"/>
      <c r="D474" s="4"/>
      <c r="E474" s="24"/>
      <c r="F474" s="24"/>
      <c r="G474" s="24"/>
      <c r="H474" s="4"/>
      <c r="I474" s="25"/>
    </row>
    <row r="475" customFormat="false" ht="15" hidden="false" customHeight="false" outlineLevel="0" collapsed="false">
      <c r="A475" s="5"/>
      <c r="B475" s="4"/>
      <c r="C475" s="4"/>
      <c r="D475" s="4"/>
      <c r="E475" s="24"/>
      <c r="F475" s="24"/>
      <c r="G475" s="24"/>
      <c r="H475" s="4"/>
      <c r="I475" s="25"/>
    </row>
    <row r="476" customFormat="false" ht="15" hidden="false" customHeight="false" outlineLevel="0" collapsed="false">
      <c r="A476" s="5"/>
      <c r="B476" s="4"/>
      <c r="C476" s="4"/>
      <c r="D476" s="4"/>
      <c r="E476" s="24"/>
      <c r="F476" s="24"/>
      <c r="G476" s="24"/>
      <c r="H476" s="4"/>
      <c r="I476" s="25"/>
    </row>
    <row r="477" customFormat="false" ht="15" hidden="false" customHeight="false" outlineLevel="0" collapsed="false">
      <c r="A477" s="5"/>
      <c r="B477" s="4"/>
      <c r="C477" s="4"/>
      <c r="D477" s="4"/>
      <c r="E477" s="24"/>
      <c r="F477" s="24"/>
      <c r="G477" s="24"/>
      <c r="H477" s="4"/>
      <c r="I477" s="25"/>
    </row>
    <row r="478" customFormat="false" ht="15" hidden="false" customHeight="false" outlineLevel="0" collapsed="false">
      <c r="A478" s="5"/>
      <c r="B478" s="4"/>
      <c r="C478" s="4"/>
      <c r="D478" s="4"/>
      <c r="E478" s="24"/>
      <c r="F478" s="24"/>
      <c r="G478" s="24"/>
      <c r="H478" s="4"/>
      <c r="I478" s="25"/>
    </row>
    <row r="479" customFormat="false" ht="15" hidden="false" customHeight="false" outlineLevel="0" collapsed="false">
      <c r="A479" s="5"/>
      <c r="B479" s="4"/>
      <c r="C479" s="4"/>
      <c r="D479" s="4"/>
      <c r="E479" s="24"/>
      <c r="F479" s="24"/>
      <c r="G479" s="24"/>
      <c r="H479" s="4"/>
      <c r="I479" s="25"/>
    </row>
    <row r="480" customFormat="false" ht="15" hidden="false" customHeight="false" outlineLevel="0" collapsed="false">
      <c r="A480" s="5"/>
      <c r="B480" s="4"/>
      <c r="C480" s="4"/>
      <c r="D480" s="4"/>
      <c r="E480" s="24"/>
      <c r="F480" s="24"/>
      <c r="G480" s="24"/>
      <c r="H480" s="4"/>
      <c r="I480" s="25"/>
    </row>
    <row r="481" customFormat="false" ht="15" hidden="false" customHeight="false" outlineLevel="0" collapsed="false">
      <c r="A481" s="5"/>
      <c r="B481" s="4"/>
      <c r="C481" s="4"/>
      <c r="D481" s="4"/>
      <c r="E481" s="24"/>
      <c r="F481" s="24"/>
      <c r="G481" s="24"/>
      <c r="H481" s="4"/>
      <c r="I481" s="25"/>
    </row>
    <row r="482" customFormat="false" ht="15" hidden="false" customHeight="false" outlineLevel="0" collapsed="false">
      <c r="A482" s="5"/>
      <c r="B482" s="4"/>
      <c r="C482" s="4"/>
      <c r="D482" s="4"/>
      <c r="E482" s="24"/>
      <c r="F482" s="24"/>
      <c r="G482" s="24"/>
      <c r="H482" s="4"/>
      <c r="I482" s="25"/>
    </row>
    <row r="483" customFormat="false" ht="15" hidden="false" customHeight="false" outlineLevel="0" collapsed="false">
      <c r="A483" s="5"/>
      <c r="B483" s="4"/>
      <c r="C483" s="4"/>
      <c r="D483" s="4"/>
      <c r="E483" s="24"/>
      <c r="F483" s="24"/>
      <c r="G483" s="24"/>
      <c r="H483" s="4"/>
      <c r="I483" s="25"/>
    </row>
    <row r="484" customFormat="false" ht="15" hidden="false" customHeight="false" outlineLevel="0" collapsed="false">
      <c r="A484" s="5"/>
      <c r="B484" s="4"/>
      <c r="C484" s="4"/>
      <c r="D484" s="4"/>
      <c r="E484" s="24"/>
      <c r="F484" s="24"/>
      <c r="G484" s="24"/>
      <c r="H484" s="4"/>
      <c r="I484" s="25"/>
    </row>
    <row r="485" customFormat="false" ht="15" hidden="false" customHeight="false" outlineLevel="0" collapsed="false">
      <c r="A485" s="5"/>
      <c r="B485" s="4"/>
      <c r="C485" s="4"/>
      <c r="D485" s="4"/>
      <c r="E485" s="24"/>
      <c r="F485" s="24"/>
      <c r="G485" s="24"/>
      <c r="H485" s="4"/>
      <c r="I485" s="25"/>
    </row>
    <row r="486" customFormat="false" ht="15" hidden="false" customHeight="false" outlineLevel="0" collapsed="false">
      <c r="A486" s="5"/>
      <c r="B486" s="4"/>
      <c r="C486" s="4"/>
      <c r="D486" s="4"/>
      <c r="E486" s="24"/>
      <c r="F486" s="24"/>
      <c r="G486" s="24"/>
      <c r="H486" s="4"/>
      <c r="I486" s="25"/>
    </row>
    <row r="487" customFormat="false" ht="15" hidden="false" customHeight="false" outlineLevel="0" collapsed="false">
      <c r="A487" s="5"/>
      <c r="B487" s="4"/>
      <c r="C487" s="4"/>
      <c r="D487" s="4"/>
      <c r="E487" s="24"/>
      <c r="F487" s="24"/>
      <c r="G487" s="24"/>
      <c r="H487" s="4"/>
      <c r="I487" s="25"/>
    </row>
    <row r="488" customFormat="false" ht="15" hidden="false" customHeight="false" outlineLevel="0" collapsed="false">
      <c r="A488" s="5"/>
      <c r="B488" s="4"/>
      <c r="C488" s="4"/>
      <c r="D488" s="4"/>
      <c r="E488" s="24"/>
      <c r="F488" s="24"/>
      <c r="G488" s="24"/>
      <c r="H488" s="4"/>
      <c r="I488" s="25"/>
    </row>
    <row r="489" customFormat="false" ht="15" hidden="false" customHeight="false" outlineLevel="0" collapsed="false">
      <c r="A489" s="5"/>
      <c r="B489" s="4"/>
      <c r="C489" s="4"/>
      <c r="D489" s="4"/>
      <c r="E489" s="24"/>
      <c r="F489" s="24"/>
      <c r="G489" s="24"/>
      <c r="H489" s="4"/>
      <c r="I489" s="25"/>
    </row>
    <row r="490" customFormat="false" ht="15" hidden="false" customHeight="false" outlineLevel="0" collapsed="false">
      <c r="A490" s="5"/>
      <c r="B490" s="4"/>
      <c r="C490" s="4"/>
      <c r="D490" s="4"/>
      <c r="E490" s="24"/>
      <c r="F490" s="24"/>
      <c r="G490" s="24"/>
      <c r="H490" s="4"/>
      <c r="I490" s="25"/>
    </row>
    <row r="491" customFormat="false" ht="15" hidden="false" customHeight="false" outlineLevel="0" collapsed="false">
      <c r="A491" s="5"/>
      <c r="B491" s="4"/>
      <c r="C491" s="4"/>
      <c r="D491" s="4"/>
      <c r="E491" s="24"/>
      <c r="F491" s="24"/>
      <c r="G491" s="24"/>
      <c r="H491" s="4"/>
      <c r="I491" s="25"/>
    </row>
    <row r="492" customFormat="false" ht="15" hidden="false" customHeight="false" outlineLevel="0" collapsed="false">
      <c r="A492" s="5"/>
      <c r="B492" s="4"/>
      <c r="C492" s="4"/>
      <c r="D492" s="4"/>
      <c r="E492" s="24"/>
      <c r="F492" s="24"/>
      <c r="G492" s="24"/>
      <c r="H492" s="4"/>
      <c r="I492" s="25"/>
    </row>
    <row r="493" customFormat="false" ht="15" hidden="false" customHeight="false" outlineLevel="0" collapsed="false">
      <c r="A493" s="5"/>
      <c r="B493" s="4"/>
      <c r="C493" s="4"/>
      <c r="D493" s="4"/>
      <c r="E493" s="24"/>
      <c r="F493" s="24"/>
      <c r="G493" s="24"/>
      <c r="H493" s="4"/>
      <c r="I493" s="25"/>
    </row>
    <row r="494" customFormat="false" ht="15" hidden="false" customHeight="false" outlineLevel="0" collapsed="false">
      <c r="A494" s="5"/>
      <c r="B494" s="4"/>
      <c r="C494" s="4"/>
      <c r="D494" s="4"/>
      <c r="E494" s="24"/>
      <c r="F494" s="24"/>
      <c r="G494" s="24"/>
      <c r="H494" s="4"/>
      <c r="I494" s="25"/>
    </row>
    <row r="495" customFormat="false" ht="15" hidden="false" customHeight="false" outlineLevel="0" collapsed="false">
      <c r="A495" s="5"/>
      <c r="B495" s="4"/>
      <c r="C495" s="4"/>
      <c r="D495" s="4"/>
      <c r="E495" s="24"/>
      <c r="F495" s="24"/>
      <c r="G495" s="24"/>
      <c r="H495" s="4"/>
      <c r="I495" s="25"/>
    </row>
    <row r="496" customFormat="false" ht="15" hidden="false" customHeight="false" outlineLevel="0" collapsed="false">
      <c r="A496" s="5"/>
      <c r="B496" s="4"/>
      <c r="C496" s="4"/>
      <c r="D496" s="4"/>
      <c r="E496" s="24"/>
      <c r="F496" s="24"/>
      <c r="G496" s="24"/>
      <c r="H496" s="4"/>
      <c r="I496" s="25"/>
    </row>
    <row r="497" customFormat="false" ht="15" hidden="false" customHeight="false" outlineLevel="0" collapsed="false">
      <c r="A497" s="5"/>
      <c r="B497" s="4"/>
      <c r="C497" s="4"/>
      <c r="D497" s="4"/>
      <c r="E497" s="24"/>
      <c r="F497" s="24"/>
      <c r="G497" s="24"/>
      <c r="H497" s="4"/>
      <c r="I497" s="25"/>
    </row>
    <row r="498" customFormat="false" ht="15" hidden="false" customHeight="false" outlineLevel="0" collapsed="false">
      <c r="A498" s="5"/>
      <c r="B498" s="4"/>
      <c r="C498" s="4"/>
      <c r="D498" s="4"/>
      <c r="E498" s="24"/>
      <c r="F498" s="24"/>
      <c r="G498" s="24"/>
      <c r="H498" s="4"/>
      <c r="I498" s="25"/>
    </row>
    <row r="499" customFormat="false" ht="15" hidden="false" customHeight="false" outlineLevel="0" collapsed="false">
      <c r="A499" s="5"/>
      <c r="B499" s="4"/>
      <c r="C499" s="4"/>
      <c r="D499" s="4"/>
      <c r="E499" s="24"/>
      <c r="F499" s="24"/>
      <c r="G499" s="24"/>
      <c r="H499" s="4"/>
      <c r="I499" s="25"/>
    </row>
    <row r="500" customFormat="false" ht="15" hidden="false" customHeight="false" outlineLevel="0" collapsed="false">
      <c r="A500" s="5"/>
      <c r="B500" s="4"/>
      <c r="C500" s="4"/>
      <c r="D500" s="4"/>
      <c r="E500" s="24"/>
      <c r="F500" s="24"/>
      <c r="G500" s="24"/>
      <c r="H500" s="4"/>
      <c r="I500" s="25"/>
    </row>
    <row r="501" customFormat="false" ht="15" hidden="false" customHeight="false" outlineLevel="0" collapsed="false">
      <c r="A501" s="5"/>
      <c r="B501" s="4"/>
      <c r="C501" s="4"/>
      <c r="D501" s="4"/>
      <c r="E501" s="24"/>
      <c r="F501" s="24"/>
      <c r="G501" s="24"/>
      <c r="H501" s="4"/>
      <c r="I501" s="25"/>
    </row>
    <row r="502" customFormat="false" ht="15" hidden="false" customHeight="false" outlineLevel="0" collapsed="false">
      <c r="A502" s="5"/>
      <c r="B502" s="4"/>
      <c r="C502" s="4"/>
      <c r="D502" s="4"/>
      <c r="E502" s="24"/>
      <c r="F502" s="24"/>
      <c r="G502" s="24"/>
      <c r="H502" s="4"/>
      <c r="I502" s="25"/>
    </row>
    <row r="503" customFormat="false" ht="15" hidden="false" customHeight="false" outlineLevel="0" collapsed="false">
      <c r="A503" s="5"/>
      <c r="B503" s="4"/>
      <c r="C503" s="4"/>
      <c r="D503" s="4"/>
      <c r="E503" s="24"/>
      <c r="F503" s="24"/>
      <c r="G503" s="24"/>
      <c r="H503" s="4"/>
      <c r="I503" s="25"/>
    </row>
    <row r="504" customFormat="false" ht="15" hidden="false" customHeight="false" outlineLevel="0" collapsed="false">
      <c r="A504" s="5"/>
      <c r="B504" s="4"/>
      <c r="C504" s="4"/>
      <c r="D504" s="4"/>
      <c r="E504" s="24"/>
      <c r="F504" s="24"/>
      <c r="G504" s="24"/>
      <c r="H504" s="4"/>
      <c r="I504" s="25"/>
    </row>
    <row r="505" customFormat="false" ht="15" hidden="false" customHeight="false" outlineLevel="0" collapsed="false">
      <c r="A505" s="5"/>
      <c r="B505" s="4"/>
      <c r="C505" s="4"/>
      <c r="D505" s="4"/>
      <c r="E505" s="24"/>
      <c r="F505" s="24"/>
      <c r="G505" s="24"/>
      <c r="H505" s="4"/>
      <c r="I505" s="25"/>
    </row>
    <row r="506" customFormat="false" ht="15" hidden="false" customHeight="false" outlineLevel="0" collapsed="false">
      <c r="A506" s="5"/>
      <c r="B506" s="4"/>
      <c r="C506" s="4"/>
      <c r="D506" s="4"/>
      <c r="E506" s="24"/>
      <c r="F506" s="24"/>
      <c r="G506" s="24"/>
      <c r="H506" s="4"/>
      <c r="I506" s="25"/>
    </row>
    <row r="507" customFormat="false" ht="15" hidden="false" customHeight="false" outlineLevel="0" collapsed="false">
      <c r="A507" s="5"/>
      <c r="B507" s="4"/>
      <c r="C507" s="4"/>
      <c r="D507" s="4"/>
      <c r="E507" s="24"/>
      <c r="F507" s="24"/>
      <c r="G507" s="24"/>
      <c r="H507" s="4"/>
      <c r="I507" s="25"/>
    </row>
    <row r="508" customFormat="false" ht="15" hidden="false" customHeight="false" outlineLevel="0" collapsed="false">
      <c r="A508" s="5"/>
      <c r="B508" s="4"/>
      <c r="C508" s="4"/>
      <c r="D508" s="4"/>
      <c r="E508" s="24"/>
      <c r="F508" s="24"/>
      <c r="G508" s="24"/>
      <c r="H508" s="4"/>
      <c r="I508" s="25"/>
    </row>
    <row r="509" customFormat="false" ht="15" hidden="false" customHeight="false" outlineLevel="0" collapsed="false">
      <c r="A509" s="5"/>
      <c r="B509" s="4"/>
      <c r="C509" s="4"/>
      <c r="D509" s="4"/>
      <c r="E509" s="24"/>
      <c r="F509" s="24"/>
      <c r="G509" s="24"/>
      <c r="H509" s="4"/>
      <c r="I509" s="25"/>
    </row>
    <row r="510" customFormat="false" ht="15" hidden="false" customHeight="false" outlineLevel="0" collapsed="false">
      <c r="A510" s="5"/>
      <c r="B510" s="4"/>
      <c r="C510" s="4"/>
      <c r="D510" s="4"/>
      <c r="E510" s="24"/>
      <c r="F510" s="24"/>
      <c r="G510" s="24"/>
      <c r="H510" s="4"/>
      <c r="I510" s="25"/>
    </row>
    <row r="511" customFormat="false" ht="15" hidden="false" customHeight="false" outlineLevel="0" collapsed="false">
      <c r="A511" s="5"/>
      <c r="B511" s="4"/>
      <c r="C511" s="4"/>
      <c r="D511" s="4"/>
      <c r="E511" s="24"/>
      <c r="F511" s="24"/>
      <c r="G511" s="24"/>
      <c r="H511" s="4"/>
      <c r="I511" s="25"/>
    </row>
    <row r="512" customFormat="false" ht="15" hidden="false" customHeight="false" outlineLevel="0" collapsed="false">
      <c r="A512" s="5"/>
      <c r="B512" s="4"/>
      <c r="C512" s="4"/>
      <c r="D512" s="4"/>
      <c r="E512" s="24"/>
      <c r="F512" s="24"/>
      <c r="G512" s="24"/>
      <c r="H512" s="4"/>
      <c r="I512" s="25"/>
    </row>
    <row r="513" customFormat="false" ht="15" hidden="false" customHeight="false" outlineLevel="0" collapsed="false">
      <c r="A513" s="5"/>
      <c r="B513" s="4"/>
      <c r="C513" s="4"/>
      <c r="D513" s="4"/>
      <c r="E513" s="24"/>
      <c r="F513" s="24"/>
      <c r="G513" s="24"/>
      <c r="H513" s="4"/>
      <c r="I513" s="25"/>
    </row>
    <row r="514" customFormat="false" ht="15" hidden="false" customHeight="false" outlineLevel="0" collapsed="false">
      <c r="A514" s="5"/>
      <c r="B514" s="4"/>
      <c r="C514" s="4"/>
      <c r="D514" s="4"/>
      <c r="E514" s="24"/>
      <c r="F514" s="24"/>
      <c r="G514" s="24"/>
      <c r="H514" s="4"/>
      <c r="I514" s="25"/>
    </row>
    <row r="515" customFormat="false" ht="15" hidden="false" customHeight="false" outlineLevel="0" collapsed="false">
      <c r="A515" s="5"/>
      <c r="B515" s="4"/>
      <c r="C515" s="4"/>
      <c r="D515" s="4"/>
      <c r="E515" s="24"/>
      <c r="F515" s="24"/>
      <c r="G515" s="24"/>
      <c r="H515" s="4"/>
      <c r="I515" s="25"/>
    </row>
    <row r="516" customFormat="false" ht="15" hidden="false" customHeight="false" outlineLevel="0" collapsed="false">
      <c r="A516" s="5"/>
      <c r="B516" s="4"/>
      <c r="C516" s="4"/>
      <c r="D516" s="4"/>
      <c r="E516" s="24"/>
      <c r="F516" s="24"/>
      <c r="G516" s="24"/>
      <c r="H516" s="4"/>
      <c r="I516" s="25"/>
    </row>
    <row r="517" customFormat="false" ht="15" hidden="false" customHeight="false" outlineLevel="0" collapsed="false">
      <c r="A517" s="5"/>
      <c r="B517" s="4"/>
      <c r="C517" s="4"/>
      <c r="D517" s="4"/>
      <c r="E517" s="24"/>
      <c r="F517" s="24"/>
      <c r="G517" s="24"/>
      <c r="H517" s="4"/>
      <c r="I517" s="25"/>
    </row>
    <row r="518" customFormat="false" ht="15" hidden="false" customHeight="false" outlineLevel="0" collapsed="false">
      <c r="A518" s="5"/>
      <c r="B518" s="4"/>
      <c r="C518" s="4"/>
      <c r="D518" s="4"/>
      <c r="E518" s="24"/>
      <c r="F518" s="24"/>
      <c r="G518" s="24"/>
      <c r="H518" s="4"/>
      <c r="I518" s="25"/>
    </row>
    <row r="519" customFormat="false" ht="15" hidden="false" customHeight="false" outlineLevel="0" collapsed="false">
      <c r="A519" s="5"/>
      <c r="B519" s="4"/>
      <c r="C519" s="4"/>
      <c r="D519" s="4"/>
      <c r="E519" s="24"/>
      <c r="F519" s="24"/>
      <c r="G519" s="24"/>
      <c r="H519" s="4"/>
      <c r="I519" s="25"/>
    </row>
    <row r="520" customFormat="false" ht="15" hidden="false" customHeight="false" outlineLevel="0" collapsed="false">
      <c r="A520" s="5"/>
      <c r="B520" s="4"/>
      <c r="C520" s="4"/>
      <c r="D520" s="4"/>
      <c r="E520" s="24"/>
      <c r="F520" s="24"/>
      <c r="G520" s="24"/>
      <c r="H520" s="4"/>
      <c r="I520" s="25"/>
    </row>
    <row r="521" customFormat="false" ht="15" hidden="false" customHeight="false" outlineLevel="0" collapsed="false">
      <c r="A521" s="5"/>
      <c r="B521" s="4"/>
      <c r="C521" s="4"/>
      <c r="D521" s="4"/>
      <c r="E521" s="24"/>
      <c r="F521" s="24"/>
      <c r="G521" s="24"/>
      <c r="H521" s="4"/>
      <c r="I521" s="25"/>
    </row>
    <row r="522" customFormat="false" ht="15" hidden="false" customHeight="false" outlineLevel="0" collapsed="false">
      <c r="A522" s="5"/>
      <c r="B522" s="4"/>
      <c r="C522" s="4"/>
      <c r="D522" s="4"/>
      <c r="E522" s="24"/>
      <c r="F522" s="24"/>
      <c r="G522" s="24"/>
      <c r="H522" s="4"/>
      <c r="I522" s="25"/>
    </row>
    <row r="523" customFormat="false" ht="15" hidden="false" customHeight="false" outlineLevel="0" collapsed="false">
      <c r="A523" s="5"/>
      <c r="B523" s="4"/>
      <c r="C523" s="4"/>
      <c r="D523" s="4"/>
      <c r="E523" s="24"/>
      <c r="F523" s="24"/>
      <c r="G523" s="24"/>
      <c r="H523" s="4"/>
      <c r="I523" s="25"/>
    </row>
    <row r="524" customFormat="false" ht="15" hidden="false" customHeight="false" outlineLevel="0" collapsed="false">
      <c r="A524" s="5"/>
      <c r="B524" s="4"/>
      <c r="C524" s="4"/>
      <c r="D524" s="4"/>
      <c r="E524" s="24"/>
      <c r="F524" s="24"/>
      <c r="G524" s="24"/>
      <c r="H524" s="4"/>
      <c r="I524" s="25"/>
    </row>
    <row r="525" customFormat="false" ht="15" hidden="false" customHeight="false" outlineLevel="0" collapsed="false">
      <c r="A525" s="5"/>
      <c r="B525" s="4"/>
      <c r="C525" s="4"/>
      <c r="D525" s="4"/>
      <c r="E525" s="24"/>
      <c r="F525" s="24"/>
      <c r="G525" s="24"/>
      <c r="H525" s="4"/>
      <c r="I525" s="25"/>
    </row>
    <row r="526" customFormat="false" ht="15" hidden="false" customHeight="false" outlineLevel="0" collapsed="false">
      <c r="A526" s="5"/>
      <c r="B526" s="4"/>
      <c r="C526" s="4"/>
      <c r="D526" s="4"/>
      <c r="E526" s="24"/>
      <c r="F526" s="24"/>
      <c r="G526" s="24"/>
      <c r="H526" s="4"/>
      <c r="I526" s="25"/>
    </row>
    <row r="527" customFormat="false" ht="15" hidden="false" customHeight="false" outlineLevel="0" collapsed="false">
      <c r="A527" s="5"/>
      <c r="B527" s="4"/>
      <c r="C527" s="4"/>
      <c r="D527" s="4"/>
      <c r="E527" s="24"/>
      <c r="F527" s="24"/>
      <c r="G527" s="24"/>
      <c r="H527" s="4"/>
      <c r="I527" s="25"/>
    </row>
    <row r="528" customFormat="false" ht="15" hidden="false" customHeight="false" outlineLevel="0" collapsed="false">
      <c r="A528" s="5"/>
      <c r="B528" s="4"/>
      <c r="C528" s="4"/>
      <c r="D528" s="4"/>
      <c r="E528" s="24"/>
      <c r="F528" s="24"/>
      <c r="G528" s="24"/>
      <c r="H528" s="4"/>
      <c r="I528" s="25"/>
    </row>
    <row r="529" customFormat="false" ht="15" hidden="false" customHeight="false" outlineLevel="0" collapsed="false">
      <c r="A529" s="5"/>
      <c r="B529" s="4"/>
      <c r="C529" s="4"/>
      <c r="D529" s="4"/>
      <c r="E529" s="24"/>
      <c r="F529" s="24"/>
      <c r="G529" s="24"/>
      <c r="H529" s="4"/>
      <c r="I529" s="25"/>
    </row>
    <row r="530" customFormat="false" ht="15" hidden="false" customHeight="false" outlineLevel="0" collapsed="false">
      <c r="A530" s="5"/>
      <c r="B530" s="4"/>
      <c r="C530" s="4"/>
      <c r="D530" s="4"/>
      <c r="E530" s="24"/>
      <c r="F530" s="24"/>
      <c r="G530" s="24"/>
      <c r="H530" s="4"/>
      <c r="I530" s="25"/>
    </row>
    <row r="531" customFormat="false" ht="15" hidden="false" customHeight="false" outlineLevel="0" collapsed="false">
      <c r="A531" s="5"/>
      <c r="B531" s="4"/>
      <c r="C531" s="4"/>
      <c r="D531" s="4"/>
      <c r="E531" s="24"/>
      <c r="F531" s="24"/>
      <c r="G531" s="24"/>
      <c r="H531" s="4"/>
      <c r="I531" s="25"/>
    </row>
    <row r="532" customFormat="false" ht="15" hidden="false" customHeight="false" outlineLevel="0" collapsed="false">
      <c r="A532" s="5"/>
      <c r="B532" s="4"/>
      <c r="C532" s="4"/>
      <c r="D532" s="4"/>
      <c r="E532" s="24"/>
      <c r="F532" s="24"/>
      <c r="G532" s="24"/>
      <c r="H532" s="4"/>
      <c r="I532" s="25"/>
    </row>
    <row r="533" customFormat="false" ht="15" hidden="false" customHeight="false" outlineLevel="0" collapsed="false">
      <c r="A533" s="5"/>
      <c r="B533" s="4"/>
      <c r="C533" s="4"/>
      <c r="D533" s="4"/>
      <c r="E533" s="24"/>
      <c r="F533" s="24"/>
      <c r="G533" s="24"/>
      <c r="H533" s="4"/>
      <c r="I533" s="25"/>
    </row>
    <row r="534" customFormat="false" ht="15" hidden="false" customHeight="false" outlineLevel="0" collapsed="false">
      <c r="A534" s="5"/>
      <c r="B534" s="4"/>
      <c r="C534" s="4"/>
      <c r="D534" s="4"/>
      <c r="E534" s="24"/>
      <c r="F534" s="24"/>
      <c r="G534" s="24"/>
      <c r="H534" s="4"/>
      <c r="I534" s="25"/>
    </row>
    <row r="535" customFormat="false" ht="15" hidden="false" customHeight="false" outlineLevel="0" collapsed="false">
      <c r="A535" s="5"/>
      <c r="B535" s="4"/>
      <c r="C535" s="4"/>
      <c r="D535" s="4"/>
      <c r="E535" s="24"/>
      <c r="F535" s="24"/>
      <c r="G535" s="24"/>
      <c r="H535" s="4"/>
      <c r="I535" s="25"/>
    </row>
    <row r="536" customFormat="false" ht="15" hidden="false" customHeight="false" outlineLevel="0" collapsed="false">
      <c r="A536" s="5"/>
      <c r="B536" s="4"/>
      <c r="C536" s="4"/>
      <c r="D536" s="4"/>
      <c r="E536" s="24"/>
      <c r="F536" s="24"/>
      <c r="G536" s="24"/>
      <c r="H536" s="4"/>
      <c r="I536" s="25"/>
    </row>
    <row r="537" customFormat="false" ht="15" hidden="false" customHeight="false" outlineLevel="0" collapsed="false">
      <c r="A537" s="5"/>
      <c r="B537" s="4"/>
      <c r="C537" s="4"/>
      <c r="D537" s="4"/>
      <c r="E537" s="24"/>
      <c r="F537" s="24"/>
      <c r="G537" s="24"/>
      <c r="H537" s="4"/>
      <c r="I537" s="25"/>
    </row>
    <row r="538" customFormat="false" ht="15" hidden="false" customHeight="false" outlineLevel="0" collapsed="false">
      <c r="A538" s="5"/>
      <c r="B538" s="4"/>
      <c r="C538" s="4"/>
      <c r="D538" s="4"/>
      <c r="E538" s="24"/>
      <c r="F538" s="24"/>
      <c r="G538" s="24"/>
      <c r="H538" s="4"/>
      <c r="I538" s="25"/>
    </row>
    <row r="539" customFormat="false" ht="15" hidden="false" customHeight="false" outlineLevel="0" collapsed="false">
      <c r="A539" s="5"/>
      <c r="B539" s="4"/>
      <c r="C539" s="4"/>
      <c r="D539" s="4"/>
      <c r="E539" s="24"/>
      <c r="F539" s="24"/>
      <c r="G539" s="24"/>
      <c r="H539" s="4"/>
      <c r="I539" s="25"/>
    </row>
    <row r="540" customFormat="false" ht="15" hidden="false" customHeight="false" outlineLevel="0" collapsed="false">
      <c r="A540" s="5"/>
      <c r="B540" s="4"/>
      <c r="C540" s="4"/>
      <c r="D540" s="4"/>
      <c r="E540" s="24"/>
      <c r="F540" s="24"/>
      <c r="G540" s="24"/>
      <c r="H540" s="4"/>
      <c r="I540" s="25"/>
    </row>
    <row r="541" customFormat="false" ht="15" hidden="false" customHeight="false" outlineLevel="0" collapsed="false">
      <c r="A541" s="5"/>
      <c r="B541" s="4"/>
      <c r="C541" s="4"/>
      <c r="D541" s="4"/>
      <c r="E541" s="24"/>
      <c r="F541" s="24"/>
      <c r="G541" s="24"/>
      <c r="H541" s="4"/>
      <c r="I541" s="25"/>
    </row>
    <row r="542" customFormat="false" ht="15" hidden="false" customHeight="false" outlineLevel="0" collapsed="false">
      <c r="A542" s="5"/>
      <c r="B542" s="4"/>
      <c r="C542" s="4"/>
      <c r="D542" s="4"/>
      <c r="E542" s="24"/>
      <c r="F542" s="24"/>
      <c r="G542" s="24"/>
      <c r="H542" s="4"/>
      <c r="I542" s="25"/>
    </row>
    <row r="543" customFormat="false" ht="15" hidden="false" customHeight="false" outlineLevel="0" collapsed="false">
      <c r="A543" s="5"/>
      <c r="B543" s="4"/>
      <c r="C543" s="4"/>
      <c r="D543" s="4"/>
      <c r="E543" s="24"/>
      <c r="F543" s="24"/>
      <c r="G543" s="24"/>
      <c r="H543" s="4"/>
      <c r="I543" s="25"/>
    </row>
    <row r="544" customFormat="false" ht="15" hidden="false" customHeight="false" outlineLevel="0" collapsed="false">
      <c r="A544" s="5"/>
      <c r="B544" s="4"/>
      <c r="C544" s="4"/>
      <c r="D544" s="4"/>
      <c r="E544" s="24"/>
      <c r="F544" s="24"/>
      <c r="G544" s="24"/>
      <c r="H544" s="4"/>
      <c r="I544" s="25"/>
    </row>
    <row r="545" customFormat="false" ht="15" hidden="false" customHeight="false" outlineLevel="0" collapsed="false">
      <c r="A545" s="5"/>
      <c r="B545" s="4"/>
      <c r="C545" s="4"/>
      <c r="D545" s="4"/>
      <c r="E545" s="24"/>
      <c r="F545" s="24"/>
      <c r="G545" s="24"/>
      <c r="H545" s="4"/>
      <c r="I545" s="25"/>
    </row>
    <row r="546" customFormat="false" ht="15" hidden="false" customHeight="false" outlineLevel="0" collapsed="false">
      <c r="A546" s="5"/>
      <c r="B546" s="4"/>
      <c r="C546" s="4"/>
      <c r="D546" s="4"/>
      <c r="E546" s="24"/>
      <c r="F546" s="24"/>
      <c r="G546" s="24"/>
      <c r="H546" s="4"/>
      <c r="I546" s="25"/>
    </row>
    <row r="547" customFormat="false" ht="15" hidden="false" customHeight="false" outlineLevel="0" collapsed="false">
      <c r="A547" s="5"/>
      <c r="B547" s="4"/>
      <c r="C547" s="4"/>
      <c r="D547" s="4"/>
      <c r="E547" s="24"/>
      <c r="F547" s="24"/>
      <c r="G547" s="24"/>
      <c r="H547" s="4"/>
      <c r="I547" s="25"/>
    </row>
    <row r="548" customFormat="false" ht="15" hidden="false" customHeight="false" outlineLevel="0" collapsed="false">
      <c r="A548" s="5"/>
      <c r="B548" s="4"/>
      <c r="C548" s="4"/>
      <c r="D548" s="4"/>
      <c r="E548" s="24"/>
      <c r="F548" s="24"/>
      <c r="G548" s="24"/>
      <c r="H548" s="4"/>
      <c r="I548" s="25"/>
    </row>
    <row r="549" customFormat="false" ht="15" hidden="false" customHeight="false" outlineLevel="0" collapsed="false">
      <c r="A549" s="5"/>
      <c r="B549" s="4"/>
      <c r="C549" s="4"/>
      <c r="D549" s="4"/>
      <c r="E549" s="24"/>
      <c r="F549" s="24"/>
      <c r="G549" s="24"/>
      <c r="H549" s="4"/>
      <c r="I549" s="25"/>
    </row>
    <row r="550" customFormat="false" ht="15" hidden="false" customHeight="false" outlineLevel="0" collapsed="false">
      <c r="A550" s="5"/>
      <c r="B550" s="4"/>
      <c r="C550" s="4"/>
      <c r="D550" s="4"/>
      <c r="E550" s="24"/>
      <c r="F550" s="24"/>
      <c r="G550" s="24"/>
      <c r="H550" s="4"/>
      <c r="I550" s="25"/>
    </row>
    <row r="551" customFormat="false" ht="15" hidden="false" customHeight="false" outlineLevel="0" collapsed="false">
      <c r="A551" s="5"/>
      <c r="B551" s="4"/>
      <c r="C551" s="4"/>
      <c r="D551" s="4"/>
      <c r="E551" s="24"/>
      <c r="F551" s="24"/>
      <c r="G551" s="24"/>
      <c r="H551" s="4"/>
      <c r="I551" s="25"/>
    </row>
    <row r="552" customFormat="false" ht="15" hidden="false" customHeight="false" outlineLevel="0" collapsed="false">
      <c r="A552" s="5"/>
      <c r="B552" s="4"/>
      <c r="C552" s="4"/>
      <c r="D552" s="4"/>
      <c r="E552" s="24"/>
      <c r="F552" s="24"/>
      <c r="G552" s="24"/>
      <c r="H552" s="4"/>
      <c r="I552" s="25"/>
    </row>
    <row r="553" customFormat="false" ht="15" hidden="false" customHeight="false" outlineLevel="0" collapsed="false">
      <c r="A553" s="5"/>
      <c r="B553" s="4"/>
      <c r="C553" s="4"/>
      <c r="D553" s="4"/>
      <c r="E553" s="24"/>
      <c r="F553" s="24"/>
      <c r="G553" s="24"/>
      <c r="H553" s="4"/>
      <c r="I553" s="25"/>
    </row>
    <row r="554" customFormat="false" ht="15" hidden="false" customHeight="false" outlineLevel="0" collapsed="false">
      <c r="A554" s="5"/>
      <c r="B554" s="4"/>
      <c r="C554" s="4"/>
      <c r="D554" s="4"/>
      <c r="E554" s="24"/>
      <c r="F554" s="24"/>
      <c r="G554" s="24"/>
      <c r="H554" s="4"/>
      <c r="I554" s="25"/>
    </row>
    <row r="555" customFormat="false" ht="15" hidden="false" customHeight="false" outlineLevel="0" collapsed="false">
      <c r="A555" s="5"/>
      <c r="B555" s="4"/>
      <c r="C555" s="4"/>
      <c r="D555" s="4"/>
      <c r="E555" s="24"/>
      <c r="F555" s="24"/>
      <c r="G555" s="24"/>
      <c r="H555" s="4"/>
      <c r="I555" s="25"/>
    </row>
    <row r="556" customFormat="false" ht="15" hidden="false" customHeight="false" outlineLevel="0" collapsed="false">
      <c r="A556" s="5"/>
      <c r="B556" s="4"/>
      <c r="C556" s="4"/>
      <c r="D556" s="4"/>
      <c r="E556" s="24"/>
      <c r="F556" s="24"/>
      <c r="G556" s="24"/>
      <c r="H556" s="4"/>
      <c r="I556" s="25"/>
    </row>
    <row r="557" customFormat="false" ht="15" hidden="false" customHeight="false" outlineLevel="0" collapsed="false">
      <c r="A557" s="5"/>
      <c r="B557" s="4"/>
      <c r="C557" s="4"/>
      <c r="D557" s="4"/>
      <c r="E557" s="24"/>
      <c r="F557" s="24"/>
      <c r="G557" s="24"/>
      <c r="H557" s="4"/>
      <c r="I557" s="25"/>
    </row>
    <row r="558" customFormat="false" ht="15" hidden="false" customHeight="false" outlineLevel="0" collapsed="false">
      <c r="A558" s="5"/>
      <c r="B558" s="4"/>
      <c r="C558" s="4"/>
      <c r="D558" s="4"/>
      <c r="E558" s="24"/>
      <c r="F558" s="24"/>
      <c r="G558" s="24"/>
      <c r="H558" s="4"/>
      <c r="I558" s="25"/>
    </row>
    <row r="559" customFormat="false" ht="15" hidden="false" customHeight="false" outlineLevel="0" collapsed="false">
      <c r="A559" s="5"/>
      <c r="B559" s="4"/>
      <c r="C559" s="4"/>
      <c r="D559" s="4"/>
      <c r="E559" s="24"/>
      <c r="F559" s="24"/>
      <c r="G559" s="24"/>
      <c r="H559" s="4"/>
      <c r="I559" s="25"/>
    </row>
    <row r="560" customFormat="false" ht="15" hidden="false" customHeight="false" outlineLevel="0" collapsed="false">
      <c r="A560" s="5"/>
      <c r="B560" s="4"/>
      <c r="C560" s="4"/>
      <c r="D560" s="4"/>
      <c r="E560" s="24"/>
      <c r="F560" s="24"/>
      <c r="G560" s="24"/>
      <c r="H560" s="4"/>
      <c r="I560" s="25"/>
    </row>
    <row r="561" customFormat="false" ht="15" hidden="false" customHeight="false" outlineLevel="0" collapsed="false">
      <c r="A561" s="5"/>
      <c r="B561" s="4"/>
      <c r="C561" s="4"/>
      <c r="D561" s="4"/>
      <c r="E561" s="24"/>
      <c r="F561" s="24"/>
      <c r="G561" s="24"/>
      <c r="H561" s="4"/>
      <c r="I561" s="25"/>
    </row>
    <row r="562" customFormat="false" ht="15" hidden="false" customHeight="false" outlineLevel="0" collapsed="false">
      <c r="A562" s="5"/>
      <c r="B562" s="4"/>
      <c r="C562" s="4"/>
      <c r="D562" s="4"/>
      <c r="E562" s="24"/>
      <c r="F562" s="24"/>
      <c r="G562" s="24"/>
      <c r="H562" s="4"/>
      <c r="I562" s="25"/>
    </row>
    <row r="563" customFormat="false" ht="15" hidden="false" customHeight="false" outlineLevel="0" collapsed="false">
      <c r="A563" s="5"/>
      <c r="B563" s="4"/>
      <c r="C563" s="4"/>
      <c r="D563" s="4"/>
      <c r="E563" s="24"/>
      <c r="F563" s="24"/>
      <c r="G563" s="24"/>
      <c r="H563" s="4"/>
      <c r="I563" s="25"/>
    </row>
    <row r="564" customFormat="false" ht="15" hidden="false" customHeight="false" outlineLevel="0" collapsed="false">
      <c r="A564" s="5"/>
      <c r="B564" s="4"/>
      <c r="C564" s="4"/>
      <c r="D564" s="4"/>
      <c r="E564" s="24"/>
      <c r="F564" s="24"/>
      <c r="G564" s="24"/>
      <c r="H564" s="4"/>
      <c r="I564" s="25"/>
    </row>
    <row r="565" customFormat="false" ht="15" hidden="false" customHeight="false" outlineLevel="0" collapsed="false">
      <c r="A565" s="5"/>
      <c r="B565" s="4"/>
      <c r="C565" s="4"/>
      <c r="D565" s="4"/>
      <c r="E565" s="24"/>
      <c r="F565" s="24"/>
      <c r="G565" s="24"/>
      <c r="H565" s="4"/>
      <c r="I565" s="25"/>
    </row>
    <row r="566" customFormat="false" ht="15" hidden="false" customHeight="false" outlineLevel="0" collapsed="false">
      <c r="A566" s="5"/>
      <c r="B566" s="4"/>
      <c r="C566" s="4"/>
      <c r="D566" s="4"/>
      <c r="E566" s="24"/>
      <c r="F566" s="24"/>
      <c r="G566" s="24"/>
      <c r="H566" s="4"/>
      <c r="I566" s="25"/>
    </row>
    <row r="567" customFormat="false" ht="15" hidden="false" customHeight="false" outlineLevel="0" collapsed="false">
      <c r="A567" s="5"/>
      <c r="B567" s="4"/>
      <c r="C567" s="4"/>
      <c r="D567" s="4"/>
      <c r="E567" s="24"/>
      <c r="F567" s="24"/>
      <c r="G567" s="24"/>
      <c r="H567" s="4"/>
      <c r="I567" s="25"/>
    </row>
    <row r="568" customFormat="false" ht="15" hidden="false" customHeight="false" outlineLevel="0" collapsed="false">
      <c r="A568" s="5"/>
      <c r="B568" s="4"/>
      <c r="C568" s="4"/>
      <c r="D568" s="4"/>
      <c r="E568" s="24"/>
      <c r="F568" s="24"/>
      <c r="G568" s="24"/>
      <c r="H568" s="4"/>
      <c r="I568" s="25"/>
    </row>
    <row r="569" customFormat="false" ht="15" hidden="false" customHeight="false" outlineLevel="0" collapsed="false">
      <c r="A569" s="5"/>
      <c r="B569" s="4"/>
      <c r="C569" s="4"/>
      <c r="D569" s="4"/>
      <c r="E569" s="24"/>
      <c r="F569" s="24"/>
      <c r="G569" s="24"/>
      <c r="H569" s="4"/>
      <c r="I569" s="25"/>
    </row>
    <row r="570" customFormat="false" ht="15" hidden="false" customHeight="false" outlineLevel="0" collapsed="false">
      <c r="A570" s="5"/>
      <c r="B570" s="4"/>
      <c r="C570" s="4"/>
      <c r="D570" s="4"/>
      <c r="E570" s="24"/>
      <c r="F570" s="24"/>
      <c r="G570" s="24"/>
      <c r="H570" s="4"/>
      <c r="I570" s="25"/>
    </row>
    <row r="571" customFormat="false" ht="15" hidden="false" customHeight="false" outlineLevel="0" collapsed="false">
      <c r="A571" s="5"/>
      <c r="B571" s="4"/>
      <c r="C571" s="4"/>
      <c r="D571" s="4"/>
      <c r="E571" s="24"/>
      <c r="F571" s="24"/>
      <c r="G571" s="24"/>
      <c r="H571" s="4"/>
      <c r="I571" s="25"/>
    </row>
    <row r="572" customFormat="false" ht="15" hidden="false" customHeight="false" outlineLevel="0" collapsed="false">
      <c r="A572" s="5"/>
      <c r="B572" s="4"/>
      <c r="C572" s="4"/>
      <c r="D572" s="4"/>
      <c r="E572" s="24"/>
      <c r="F572" s="24"/>
      <c r="G572" s="24"/>
      <c r="H572" s="4"/>
      <c r="I572" s="25"/>
    </row>
    <row r="573" customFormat="false" ht="15" hidden="false" customHeight="false" outlineLevel="0" collapsed="false">
      <c r="A573" s="5"/>
      <c r="B573" s="4"/>
      <c r="C573" s="4"/>
      <c r="D573" s="4"/>
      <c r="E573" s="24"/>
      <c r="F573" s="24"/>
      <c r="G573" s="24"/>
      <c r="H573" s="4"/>
      <c r="I573" s="25"/>
    </row>
    <row r="574" customFormat="false" ht="15" hidden="false" customHeight="false" outlineLevel="0" collapsed="false">
      <c r="A574" s="5"/>
      <c r="B574" s="4"/>
      <c r="C574" s="4"/>
      <c r="D574" s="4"/>
      <c r="E574" s="24"/>
      <c r="F574" s="24"/>
      <c r="G574" s="24"/>
      <c r="H574" s="4"/>
      <c r="I574" s="25"/>
    </row>
    <row r="575" customFormat="false" ht="15" hidden="false" customHeight="false" outlineLevel="0" collapsed="false">
      <c r="A575" s="5"/>
      <c r="B575" s="4"/>
      <c r="C575" s="4"/>
      <c r="D575" s="4"/>
      <c r="E575" s="24"/>
      <c r="F575" s="24"/>
      <c r="G575" s="24"/>
      <c r="H575" s="4"/>
      <c r="I575" s="25"/>
    </row>
    <row r="576" customFormat="false" ht="15" hidden="false" customHeight="false" outlineLevel="0" collapsed="false">
      <c r="A576" s="5"/>
      <c r="B576" s="4"/>
      <c r="C576" s="4"/>
      <c r="D576" s="4"/>
      <c r="E576" s="24"/>
      <c r="F576" s="24"/>
      <c r="G576" s="24"/>
      <c r="H576" s="4"/>
      <c r="I576" s="25"/>
    </row>
    <row r="577" customFormat="false" ht="15" hidden="false" customHeight="false" outlineLevel="0" collapsed="false">
      <c r="A577" s="5"/>
      <c r="B577" s="4"/>
      <c r="C577" s="4"/>
      <c r="D577" s="4"/>
      <c r="E577" s="24"/>
      <c r="F577" s="24"/>
      <c r="G577" s="24"/>
      <c r="H577" s="4"/>
      <c r="I577" s="25"/>
    </row>
    <row r="578" customFormat="false" ht="15" hidden="false" customHeight="false" outlineLevel="0" collapsed="false">
      <c r="A578" s="5"/>
      <c r="B578" s="4"/>
      <c r="C578" s="4"/>
      <c r="D578" s="4"/>
      <c r="E578" s="24"/>
      <c r="F578" s="24"/>
      <c r="G578" s="24"/>
      <c r="H578" s="4"/>
      <c r="I578" s="25"/>
    </row>
    <row r="579" customFormat="false" ht="15" hidden="false" customHeight="false" outlineLevel="0" collapsed="false">
      <c r="A579" s="5"/>
      <c r="B579" s="4"/>
      <c r="C579" s="4"/>
      <c r="D579" s="4"/>
      <c r="E579" s="24"/>
      <c r="F579" s="24"/>
      <c r="G579" s="24"/>
      <c r="H579" s="4"/>
      <c r="I579" s="25"/>
    </row>
    <row r="580" customFormat="false" ht="15" hidden="false" customHeight="false" outlineLevel="0" collapsed="false">
      <c r="A580" s="5"/>
      <c r="B580" s="4"/>
      <c r="C580" s="4"/>
      <c r="D580" s="4"/>
      <c r="E580" s="24"/>
      <c r="F580" s="24"/>
      <c r="G580" s="24"/>
      <c r="H580" s="4"/>
      <c r="I580" s="25"/>
    </row>
    <row r="581" customFormat="false" ht="15" hidden="false" customHeight="false" outlineLevel="0" collapsed="false">
      <c r="A581" s="5"/>
      <c r="B581" s="4"/>
      <c r="C581" s="4"/>
      <c r="D581" s="4"/>
      <c r="E581" s="24"/>
      <c r="F581" s="24"/>
      <c r="G581" s="24"/>
      <c r="H581" s="4"/>
      <c r="I581" s="25"/>
    </row>
    <row r="582" customFormat="false" ht="15" hidden="false" customHeight="false" outlineLevel="0" collapsed="false">
      <c r="A582" s="5"/>
      <c r="B582" s="4"/>
      <c r="C582" s="4"/>
      <c r="D582" s="4"/>
      <c r="E582" s="24"/>
      <c r="F582" s="24"/>
      <c r="G582" s="24"/>
      <c r="H582" s="4"/>
      <c r="I582" s="25"/>
    </row>
    <row r="583" customFormat="false" ht="15" hidden="false" customHeight="false" outlineLevel="0" collapsed="false">
      <c r="A583" s="5"/>
      <c r="B583" s="4"/>
      <c r="C583" s="4"/>
      <c r="D583" s="4"/>
      <c r="E583" s="24"/>
      <c r="F583" s="24"/>
      <c r="G583" s="24"/>
      <c r="H583" s="4"/>
      <c r="I583" s="25"/>
    </row>
    <row r="584" customFormat="false" ht="15" hidden="false" customHeight="false" outlineLevel="0" collapsed="false">
      <c r="A584" s="5"/>
      <c r="B584" s="4"/>
      <c r="C584" s="4"/>
      <c r="D584" s="4"/>
      <c r="E584" s="24"/>
      <c r="F584" s="24"/>
      <c r="G584" s="24"/>
      <c r="H584" s="4"/>
      <c r="I584" s="25"/>
    </row>
    <row r="585" customFormat="false" ht="15" hidden="false" customHeight="false" outlineLevel="0" collapsed="false">
      <c r="A585" s="5"/>
      <c r="B585" s="4"/>
      <c r="C585" s="4"/>
      <c r="D585" s="4"/>
      <c r="E585" s="24"/>
      <c r="F585" s="24"/>
      <c r="G585" s="24"/>
      <c r="H585" s="4"/>
      <c r="I585" s="25"/>
    </row>
    <row r="586" customFormat="false" ht="15" hidden="false" customHeight="false" outlineLevel="0" collapsed="false">
      <c r="A586" s="5"/>
      <c r="B586" s="4"/>
      <c r="C586" s="4"/>
      <c r="D586" s="4"/>
      <c r="E586" s="24"/>
      <c r="F586" s="24"/>
      <c r="G586" s="24"/>
      <c r="H586" s="4"/>
      <c r="I586" s="25"/>
    </row>
    <row r="587" customFormat="false" ht="15" hidden="false" customHeight="false" outlineLevel="0" collapsed="false">
      <c r="A587" s="5"/>
      <c r="B587" s="4"/>
      <c r="C587" s="4"/>
      <c r="D587" s="4"/>
      <c r="E587" s="24"/>
      <c r="F587" s="24"/>
      <c r="G587" s="24"/>
      <c r="H587" s="4"/>
      <c r="I587" s="25"/>
    </row>
    <row r="588" customFormat="false" ht="15" hidden="false" customHeight="false" outlineLevel="0" collapsed="false">
      <c r="A588" s="5"/>
      <c r="B588" s="4"/>
      <c r="C588" s="4"/>
      <c r="D588" s="4"/>
      <c r="E588" s="24"/>
      <c r="F588" s="24"/>
      <c r="G588" s="24"/>
      <c r="H588" s="4"/>
      <c r="I588" s="25"/>
    </row>
    <row r="589" customFormat="false" ht="15" hidden="false" customHeight="false" outlineLevel="0" collapsed="false">
      <c r="A589" s="5"/>
      <c r="B589" s="4"/>
      <c r="C589" s="4"/>
      <c r="D589" s="4"/>
      <c r="E589" s="24"/>
      <c r="F589" s="24"/>
      <c r="G589" s="24"/>
      <c r="H589" s="4"/>
      <c r="I589" s="25"/>
    </row>
    <row r="590" customFormat="false" ht="15" hidden="false" customHeight="false" outlineLevel="0" collapsed="false">
      <c r="A590" s="5"/>
      <c r="B590" s="4"/>
      <c r="C590" s="4"/>
      <c r="D590" s="4"/>
      <c r="E590" s="24"/>
      <c r="F590" s="24"/>
      <c r="G590" s="24"/>
      <c r="H590" s="4"/>
      <c r="I590" s="25"/>
    </row>
    <row r="591" customFormat="false" ht="15" hidden="false" customHeight="false" outlineLevel="0" collapsed="false">
      <c r="A591" s="5"/>
      <c r="B591" s="4"/>
      <c r="C591" s="4"/>
      <c r="D591" s="4"/>
      <c r="E591" s="24"/>
      <c r="F591" s="24"/>
      <c r="G591" s="24"/>
      <c r="H591" s="4"/>
      <c r="I591" s="25"/>
    </row>
    <row r="592" customFormat="false" ht="15" hidden="false" customHeight="false" outlineLevel="0" collapsed="false">
      <c r="A592" s="5"/>
      <c r="B592" s="4"/>
      <c r="C592" s="4"/>
      <c r="D592" s="4"/>
      <c r="E592" s="24"/>
      <c r="F592" s="24"/>
      <c r="G592" s="24"/>
      <c r="H592" s="4"/>
      <c r="I592" s="25"/>
    </row>
    <row r="593" customFormat="false" ht="15" hidden="false" customHeight="false" outlineLevel="0" collapsed="false">
      <c r="A593" s="5"/>
      <c r="B593" s="4"/>
      <c r="C593" s="4"/>
      <c r="D593" s="4"/>
      <c r="E593" s="24"/>
      <c r="F593" s="24"/>
      <c r="G593" s="24"/>
      <c r="H593" s="4"/>
      <c r="I593" s="25"/>
    </row>
    <row r="594" customFormat="false" ht="15" hidden="false" customHeight="false" outlineLevel="0" collapsed="false">
      <c r="A594" s="5"/>
      <c r="B594" s="4"/>
      <c r="C594" s="4"/>
      <c r="D594" s="4"/>
      <c r="E594" s="24"/>
      <c r="F594" s="24"/>
      <c r="G594" s="24"/>
      <c r="H594" s="4"/>
      <c r="I594" s="25"/>
    </row>
    <row r="595" customFormat="false" ht="15" hidden="false" customHeight="false" outlineLevel="0" collapsed="false">
      <c r="A595" s="5"/>
      <c r="B595" s="4"/>
      <c r="C595" s="4"/>
      <c r="D595" s="4"/>
      <c r="E595" s="24"/>
      <c r="F595" s="24"/>
      <c r="G595" s="24"/>
      <c r="H595" s="4"/>
      <c r="I595" s="25"/>
    </row>
    <row r="596" customFormat="false" ht="15" hidden="false" customHeight="false" outlineLevel="0" collapsed="false">
      <c r="A596" s="5"/>
      <c r="B596" s="4"/>
      <c r="C596" s="4"/>
      <c r="D596" s="4"/>
      <c r="E596" s="24"/>
      <c r="F596" s="24"/>
      <c r="G596" s="24"/>
      <c r="H596" s="4"/>
      <c r="I596" s="25"/>
    </row>
    <row r="597" customFormat="false" ht="15" hidden="false" customHeight="false" outlineLevel="0" collapsed="false">
      <c r="A597" s="5"/>
      <c r="B597" s="4"/>
      <c r="C597" s="4"/>
      <c r="D597" s="4"/>
      <c r="E597" s="24"/>
      <c r="F597" s="24"/>
      <c r="G597" s="24"/>
      <c r="H597" s="4"/>
      <c r="I597" s="25"/>
    </row>
    <row r="598" customFormat="false" ht="15" hidden="false" customHeight="false" outlineLevel="0" collapsed="false">
      <c r="A598" s="5"/>
      <c r="B598" s="4"/>
      <c r="C598" s="4"/>
      <c r="D598" s="4"/>
      <c r="E598" s="24"/>
      <c r="F598" s="24"/>
      <c r="G598" s="24"/>
      <c r="H598" s="4"/>
      <c r="I598" s="25"/>
    </row>
    <row r="599" customFormat="false" ht="15" hidden="false" customHeight="false" outlineLevel="0" collapsed="false">
      <c r="A599" s="5"/>
      <c r="B599" s="4"/>
      <c r="C599" s="4"/>
      <c r="D599" s="4"/>
      <c r="E599" s="24"/>
      <c r="F599" s="24"/>
      <c r="G599" s="24"/>
      <c r="H599" s="4"/>
      <c r="I599" s="25"/>
    </row>
    <row r="600" customFormat="false" ht="15" hidden="false" customHeight="false" outlineLevel="0" collapsed="false">
      <c r="A600" s="5"/>
      <c r="B600" s="4"/>
      <c r="C600" s="4"/>
      <c r="D600" s="4"/>
      <c r="E600" s="24"/>
      <c r="F600" s="24"/>
      <c r="G600" s="24"/>
      <c r="H600" s="4"/>
      <c r="I600" s="25"/>
    </row>
    <row r="601" customFormat="false" ht="15" hidden="false" customHeight="false" outlineLevel="0" collapsed="false">
      <c r="A601" s="5"/>
      <c r="B601" s="4"/>
      <c r="C601" s="4"/>
      <c r="D601" s="4"/>
      <c r="E601" s="24"/>
      <c r="F601" s="24"/>
      <c r="G601" s="24"/>
      <c r="H601" s="4"/>
      <c r="I601" s="25"/>
    </row>
    <row r="602" customFormat="false" ht="15" hidden="false" customHeight="false" outlineLevel="0" collapsed="false">
      <c r="A602" s="5"/>
      <c r="B602" s="4"/>
      <c r="C602" s="4"/>
      <c r="D602" s="4"/>
      <c r="E602" s="24"/>
      <c r="F602" s="24"/>
      <c r="G602" s="24"/>
      <c r="H602" s="4"/>
      <c r="I602" s="25"/>
    </row>
    <row r="603" customFormat="false" ht="15" hidden="false" customHeight="false" outlineLevel="0" collapsed="false">
      <c r="A603" s="5"/>
      <c r="B603" s="4"/>
      <c r="C603" s="4"/>
      <c r="D603" s="4"/>
      <c r="E603" s="24"/>
      <c r="F603" s="24"/>
      <c r="G603" s="24"/>
      <c r="H603" s="4"/>
      <c r="I603" s="25"/>
    </row>
    <row r="604" customFormat="false" ht="15" hidden="false" customHeight="false" outlineLevel="0" collapsed="false">
      <c r="A604" s="5"/>
      <c r="B604" s="4"/>
      <c r="C604" s="4"/>
      <c r="D604" s="4"/>
      <c r="E604" s="24"/>
      <c r="F604" s="24"/>
      <c r="G604" s="24"/>
      <c r="H604" s="4"/>
      <c r="I604" s="25"/>
    </row>
    <row r="605" customFormat="false" ht="15" hidden="false" customHeight="false" outlineLevel="0" collapsed="false">
      <c r="A605" s="5"/>
      <c r="B605" s="4"/>
      <c r="C605" s="4"/>
      <c r="D605" s="4"/>
      <c r="E605" s="24"/>
      <c r="F605" s="24"/>
      <c r="G605" s="24"/>
      <c r="H605" s="4"/>
      <c r="I605" s="25"/>
    </row>
    <row r="606" customFormat="false" ht="15" hidden="false" customHeight="false" outlineLevel="0" collapsed="false">
      <c r="A606" s="5"/>
      <c r="B606" s="4"/>
      <c r="C606" s="4"/>
      <c r="D606" s="4"/>
      <c r="E606" s="24"/>
      <c r="F606" s="24"/>
      <c r="G606" s="24"/>
      <c r="H606" s="4"/>
      <c r="I606" s="25"/>
    </row>
    <row r="607" customFormat="false" ht="15" hidden="false" customHeight="false" outlineLevel="0" collapsed="false">
      <c r="A607" s="5"/>
      <c r="B607" s="4"/>
      <c r="C607" s="4"/>
      <c r="D607" s="4"/>
      <c r="E607" s="24"/>
      <c r="F607" s="24"/>
      <c r="G607" s="24"/>
      <c r="H607" s="4"/>
      <c r="I607" s="25"/>
    </row>
    <row r="608" customFormat="false" ht="15" hidden="false" customHeight="false" outlineLevel="0" collapsed="false">
      <c r="A608" s="5"/>
      <c r="B608" s="4"/>
      <c r="C608" s="4"/>
      <c r="D608" s="4"/>
      <c r="E608" s="24"/>
      <c r="F608" s="24"/>
      <c r="G608" s="24"/>
      <c r="H608" s="4"/>
      <c r="I608" s="25"/>
    </row>
    <row r="609" customFormat="false" ht="15" hidden="false" customHeight="false" outlineLevel="0" collapsed="false">
      <c r="A609" s="5"/>
      <c r="B609" s="4"/>
      <c r="C609" s="4"/>
      <c r="D609" s="4"/>
      <c r="E609" s="24"/>
      <c r="F609" s="24"/>
      <c r="G609" s="24"/>
      <c r="H609" s="4"/>
      <c r="I609" s="25"/>
    </row>
    <row r="610" customFormat="false" ht="15" hidden="false" customHeight="false" outlineLevel="0" collapsed="false">
      <c r="A610" s="5"/>
      <c r="B610" s="4"/>
      <c r="C610" s="4"/>
      <c r="D610" s="4"/>
      <c r="E610" s="24"/>
      <c r="F610" s="24"/>
      <c r="G610" s="24"/>
      <c r="H610" s="4"/>
      <c r="I610" s="25"/>
    </row>
    <row r="611" customFormat="false" ht="15" hidden="false" customHeight="false" outlineLevel="0" collapsed="false">
      <c r="A611" s="5"/>
      <c r="B611" s="4"/>
      <c r="C611" s="4"/>
      <c r="D611" s="4"/>
      <c r="E611" s="24"/>
      <c r="F611" s="24"/>
      <c r="G611" s="24"/>
      <c r="H611" s="4"/>
      <c r="I611" s="25"/>
    </row>
    <row r="612" customFormat="false" ht="15" hidden="false" customHeight="false" outlineLevel="0" collapsed="false">
      <c r="A612" s="5"/>
      <c r="B612" s="4"/>
      <c r="C612" s="4"/>
      <c r="D612" s="4"/>
      <c r="E612" s="24"/>
      <c r="F612" s="24"/>
      <c r="G612" s="24"/>
      <c r="H612" s="4"/>
      <c r="I612" s="25"/>
    </row>
    <row r="613" customFormat="false" ht="15" hidden="false" customHeight="false" outlineLevel="0" collapsed="false">
      <c r="A613" s="5"/>
      <c r="B613" s="4"/>
      <c r="C613" s="4"/>
      <c r="D613" s="4"/>
      <c r="E613" s="24"/>
      <c r="F613" s="24"/>
      <c r="G613" s="24"/>
      <c r="H613" s="4"/>
      <c r="I613" s="25"/>
    </row>
    <row r="614" customFormat="false" ht="15" hidden="false" customHeight="false" outlineLevel="0" collapsed="false">
      <c r="A614" s="5"/>
      <c r="B614" s="4"/>
      <c r="C614" s="4"/>
      <c r="D614" s="4"/>
      <c r="E614" s="24"/>
      <c r="F614" s="24"/>
      <c r="G614" s="24"/>
      <c r="H614" s="4"/>
      <c r="I614" s="25"/>
    </row>
    <row r="615" customFormat="false" ht="15" hidden="false" customHeight="false" outlineLevel="0" collapsed="false">
      <c r="A615" s="5"/>
      <c r="B615" s="4"/>
      <c r="C615" s="4"/>
      <c r="D615" s="4"/>
      <c r="E615" s="24"/>
      <c r="F615" s="24"/>
      <c r="G615" s="24"/>
      <c r="H615" s="4"/>
      <c r="I615" s="25"/>
    </row>
    <row r="616" customFormat="false" ht="15" hidden="false" customHeight="false" outlineLevel="0" collapsed="false">
      <c r="A616" s="5"/>
      <c r="B616" s="4"/>
      <c r="C616" s="4"/>
      <c r="D616" s="4"/>
      <c r="E616" s="24"/>
      <c r="F616" s="24"/>
      <c r="G616" s="24"/>
      <c r="H616" s="4"/>
      <c r="I616" s="25"/>
    </row>
    <row r="617" customFormat="false" ht="15" hidden="false" customHeight="false" outlineLevel="0" collapsed="false">
      <c r="A617" s="5"/>
      <c r="B617" s="4"/>
      <c r="C617" s="4"/>
      <c r="D617" s="4"/>
      <c r="E617" s="24"/>
      <c r="F617" s="24"/>
      <c r="G617" s="24"/>
      <c r="H617" s="4"/>
      <c r="I617" s="25"/>
    </row>
    <row r="618" customFormat="false" ht="15" hidden="false" customHeight="false" outlineLevel="0" collapsed="false">
      <c r="A618" s="5"/>
      <c r="B618" s="4"/>
      <c r="C618" s="4"/>
      <c r="D618" s="4"/>
      <c r="E618" s="24"/>
      <c r="F618" s="24"/>
      <c r="G618" s="24"/>
      <c r="H618" s="4"/>
      <c r="I618" s="25"/>
    </row>
    <row r="619" customFormat="false" ht="15" hidden="false" customHeight="false" outlineLevel="0" collapsed="false">
      <c r="A619" s="5"/>
      <c r="B619" s="4"/>
      <c r="C619" s="4"/>
      <c r="D619" s="4"/>
      <c r="E619" s="24"/>
      <c r="F619" s="24"/>
      <c r="G619" s="24"/>
      <c r="H619" s="4"/>
      <c r="I619" s="25"/>
    </row>
    <row r="620" customFormat="false" ht="15" hidden="false" customHeight="false" outlineLevel="0" collapsed="false">
      <c r="A620" s="5"/>
      <c r="B620" s="4"/>
      <c r="C620" s="4"/>
      <c r="D620" s="4"/>
      <c r="E620" s="24"/>
      <c r="F620" s="24"/>
      <c r="G620" s="24"/>
      <c r="H620" s="4"/>
      <c r="I620" s="25"/>
    </row>
    <row r="621" customFormat="false" ht="15" hidden="false" customHeight="false" outlineLevel="0" collapsed="false">
      <c r="A621" s="5"/>
      <c r="B621" s="4"/>
      <c r="C621" s="4"/>
      <c r="D621" s="4"/>
      <c r="E621" s="24"/>
      <c r="F621" s="24"/>
      <c r="G621" s="24"/>
      <c r="H621" s="4"/>
      <c r="I621" s="25"/>
    </row>
    <row r="622" customFormat="false" ht="15" hidden="false" customHeight="false" outlineLevel="0" collapsed="false">
      <c r="A622" s="5"/>
      <c r="B622" s="4"/>
      <c r="C622" s="4"/>
      <c r="D622" s="4"/>
      <c r="E622" s="24"/>
      <c r="F622" s="24"/>
      <c r="G622" s="24"/>
      <c r="H622" s="4"/>
      <c r="I622" s="25"/>
    </row>
    <row r="623" customFormat="false" ht="15" hidden="false" customHeight="false" outlineLevel="0" collapsed="false">
      <c r="A623" s="5"/>
      <c r="B623" s="4"/>
      <c r="C623" s="4"/>
      <c r="D623" s="4"/>
      <c r="E623" s="24"/>
      <c r="F623" s="24"/>
      <c r="G623" s="24"/>
      <c r="H623" s="4"/>
      <c r="I623" s="25"/>
    </row>
    <row r="624" customFormat="false" ht="15" hidden="false" customHeight="false" outlineLevel="0" collapsed="false">
      <c r="A624" s="5"/>
      <c r="B624" s="4"/>
      <c r="C624" s="4"/>
      <c r="D624" s="4"/>
      <c r="E624" s="24"/>
      <c r="F624" s="24"/>
      <c r="G624" s="24"/>
      <c r="H624" s="4"/>
      <c r="I624" s="25"/>
    </row>
    <row r="625" customFormat="false" ht="15" hidden="false" customHeight="false" outlineLevel="0" collapsed="false">
      <c r="A625" s="5"/>
      <c r="B625" s="4"/>
      <c r="C625" s="4"/>
      <c r="D625" s="4"/>
      <c r="E625" s="24"/>
      <c r="F625" s="24"/>
      <c r="G625" s="24"/>
      <c r="H625" s="4"/>
      <c r="I625" s="25"/>
    </row>
    <row r="626" customFormat="false" ht="15" hidden="false" customHeight="false" outlineLevel="0" collapsed="false">
      <c r="A626" s="5"/>
      <c r="B626" s="4"/>
      <c r="C626" s="4"/>
      <c r="D626" s="4"/>
      <c r="E626" s="24"/>
      <c r="F626" s="24"/>
      <c r="G626" s="24"/>
      <c r="H626" s="4"/>
      <c r="I626" s="25"/>
    </row>
    <row r="627" customFormat="false" ht="15" hidden="false" customHeight="false" outlineLevel="0" collapsed="false">
      <c r="A627" s="5"/>
      <c r="B627" s="4"/>
      <c r="C627" s="4"/>
      <c r="D627" s="4"/>
      <c r="E627" s="24"/>
      <c r="F627" s="24"/>
      <c r="G627" s="24"/>
      <c r="H627" s="4"/>
      <c r="I627" s="25"/>
    </row>
    <row r="628" customFormat="false" ht="15" hidden="false" customHeight="false" outlineLevel="0" collapsed="false">
      <c r="A628" s="5"/>
      <c r="B628" s="4"/>
      <c r="C628" s="4"/>
      <c r="D628" s="4"/>
      <c r="E628" s="24"/>
      <c r="F628" s="24"/>
      <c r="G628" s="24"/>
      <c r="H628" s="4"/>
      <c r="I628" s="25"/>
    </row>
    <row r="629" customFormat="false" ht="15" hidden="false" customHeight="false" outlineLevel="0" collapsed="false">
      <c r="A629" s="5"/>
      <c r="B629" s="4"/>
      <c r="C629" s="4"/>
      <c r="D629" s="4"/>
      <c r="E629" s="24"/>
      <c r="F629" s="24"/>
      <c r="G629" s="24"/>
      <c r="H629" s="4"/>
      <c r="I629" s="25"/>
    </row>
    <row r="630" customFormat="false" ht="15" hidden="false" customHeight="false" outlineLevel="0" collapsed="false">
      <c r="A630" s="5"/>
      <c r="B630" s="4"/>
      <c r="C630" s="4"/>
      <c r="D630" s="4"/>
      <c r="E630" s="24"/>
      <c r="F630" s="24"/>
      <c r="G630" s="24"/>
      <c r="H630" s="4"/>
      <c r="I630" s="25"/>
    </row>
    <row r="631" customFormat="false" ht="15" hidden="false" customHeight="false" outlineLevel="0" collapsed="false">
      <c r="A631" s="5"/>
      <c r="B631" s="4"/>
      <c r="C631" s="4"/>
      <c r="D631" s="4"/>
      <c r="E631" s="24"/>
      <c r="F631" s="24"/>
      <c r="G631" s="24"/>
      <c r="H631" s="4"/>
      <c r="I631" s="25"/>
    </row>
    <row r="632" customFormat="false" ht="15" hidden="false" customHeight="false" outlineLevel="0" collapsed="false">
      <c r="A632" s="5"/>
      <c r="B632" s="4"/>
      <c r="C632" s="4"/>
      <c r="D632" s="4"/>
      <c r="E632" s="24"/>
      <c r="F632" s="24"/>
      <c r="G632" s="24"/>
      <c r="H632" s="4"/>
      <c r="I632" s="25"/>
    </row>
    <row r="633" customFormat="false" ht="15" hidden="false" customHeight="false" outlineLevel="0" collapsed="false">
      <c r="A633" s="5"/>
      <c r="B633" s="4"/>
      <c r="C633" s="4"/>
      <c r="D633" s="4"/>
      <c r="E633" s="24"/>
      <c r="F633" s="24"/>
      <c r="G633" s="24"/>
      <c r="H633" s="4"/>
      <c r="I633" s="25"/>
    </row>
    <row r="634" customFormat="false" ht="15" hidden="false" customHeight="false" outlineLevel="0" collapsed="false">
      <c r="A634" s="5"/>
      <c r="B634" s="4"/>
      <c r="C634" s="4"/>
      <c r="D634" s="4"/>
      <c r="E634" s="24"/>
      <c r="F634" s="24"/>
      <c r="G634" s="24"/>
      <c r="H634" s="4"/>
      <c r="I634" s="25"/>
    </row>
    <row r="635" customFormat="false" ht="15" hidden="false" customHeight="false" outlineLevel="0" collapsed="false">
      <c r="A635" s="5"/>
      <c r="B635" s="4"/>
      <c r="C635" s="4"/>
      <c r="D635" s="4"/>
      <c r="E635" s="24"/>
      <c r="F635" s="24"/>
      <c r="G635" s="24"/>
      <c r="H635" s="4"/>
      <c r="I635" s="25"/>
    </row>
    <row r="636" customFormat="false" ht="15" hidden="false" customHeight="false" outlineLevel="0" collapsed="false">
      <c r="A636" s="5"/>
      <c r="B636" s="4"/>
      <c r="C636" s="4"/>
      <c r="D636" s="4"/>
      <c r="E636" s="24"/>
      <c r="F636" s="24"/>
      <c r="G636" s="24"/>
      <c r="H636" s="4"/>
      <c r="I636" s="25"/>
    </row>
    <row r="637" customFormat="false" ht="15" hidden="false" customHeight="false" outlineLevel="0" collapsed="false">
      <c r="A637" s="5"/>
      <c r="B637" s="4"/>
      <c r="C637" s="4"/>
      <c r="D637" s="4"/>
      <c r="E637" s="24"/>
      <c r="F637" s="24"/>
      <c r="G637" s="24"/>
      <c r="H637" s="4"/>
      <c r="I637" s="25"/>
    </row>
    <row r="638" customFormat="false" ht="15" hidden="false" customHeight="false" outlineLevel="0" collapsed="false">
      <c r="A638" s="5"/>
      <c r="B638" s="4"/>
      <c r="C638" s="4"/>
      <c r="D638" s="4"/>
      <c r="E638" s="24"/>
      <c r="F638" s="24"/>
      <c r="G638" s="24"/>
      <c r="H638" s="4"/>
      <c r="I638" s="25"/>
    </row>
    <row r="639" customFormat="false" ht="15" hidden="false" customHeight="false" outlineLevel="0" collapsed="false">
      <c r="A639" s="5"/>
      <c r="B639" s="4"/>
      <c r="C639" s="4"/>
      <c r="D639" s="4"/>
      <c r="E639" s="24"/>
      <c r="F639" s="24"/>
      <c r="G639" s="24"/>
      <c r="H639" s="4"/>
      <c r="I639" s="25"/>
    </row>
    <row r="640" customFormat="false" ht="15" hidden="false" customHeight="false" outlineLevel="0" collapsed="false">
      <c r="A640" s="5"/>
      <c r="B640" s="4"/>
      <c r="C640" s="4"/>
      <c r="D640" s="4"/>
      <c r="E640" s="24"/>
      <c r="F640" s="24"/>
      <c r="G640" s="24"/>
      <c r="H640" s="4"/>
      <c r="I640" s="25"/>
    </row>
    <row r="641" customFormat="false" ht="15" hidden="false" customHeight="false" outlineLevel="0" collapsed="false">
      <c r="A641" s="5"/>
      <c r="B641" s="4"/>
      <c r="C641" s="4"/>
      <c r="D641" s="4"/>
      <c r="E641" s="24"/>
      <c r="F641" s="24"/>
      <c r="G641" s="24"/>
      <c r="H641" s="4"/>
      <c r="I641" s="25"/>
    </row>
    <row r="642" customFormat="false" ht="15" hidden="false" customHeight="false" outlineLevel="0" collapsed="false">
      <c r="A642" s="5"/>
      <c r="B642" s="4"/>
      <c r="C642" s="4"/>
      <c r="D642" s="4"/>
      <c r="E642" s="24"/>
      <c r="F642" s="24"/>
      <c r="G642" s="24"/>
      <c r="H642" s="4"/>
      <c r="I642" s="25"/>
    </row>
    <row r="643" customFormat="false" ht="15" hidden="false" customHeight="false" outlineLevel="0" collapsed="false">
      <c r="A643" s="5"/>
      <c r="B643" s="4"/>
      <c r="C643" s="4"/>
      <c r="D643" s="4"/>
      <c r="E643" s="24"/>
      <c r="F643" s="24"/>
      <c r="G643" s="24"/>
      <c r="H643" s="4"/>
      <c r="I643" s="25"/>
    </row>
    <row r="644" customFormat="false" ht="15" hidden="false" customHeight="false" outlineLevel="0" collapsed="false">
      <c r="A644" s="5"/>
      <c r="B644" s="4"/>
      <c r="C644" s="4"/>
      <c r="D644" s="4"/>
      <c r="E644" s="24"/>
      <c r="F644" s="24"/>
      <c r="G644" s="24"/>
      <c r="H644" s="4"/>
      <c r="I644" s="25"/>
    </row>
    <row r="645" customFormat="false" ht="15" hidden="false" customHeight="false" outlineLevel="0" collapsed="false">
      <c r="A645" s="5"/>
      <c r="B645" s="4"/>
      <c r="C645" s="4"/>
      <c r="D645" s="4"/>
      <c r="E645" s="24"/>
      <c r="F645" s="24"/>
      <c r="G645" s="24"/>
      <c r="H645" s="4"/>
      <c r="I645" s="25"/>
    </row>
    <row r="646" customFormat="false" ht="15" hidden="false" customHeight="false" outlineLevel="0" collapsed="false">
      <c r="A646" s="5"/>
      <c r="B646" s="4"/>
      <c r="C646" s="4"/>
      <c r="D646" s="4"/>
      <c r="E646" s="24"/>
      <c r="F646" s="24"/>
      <c r="G646" s="24"/>
      <c r="H646" s="4"/>
      <c r="I646" s="25"/>
    </row>
    <row r="647" customFormat="false" ht="15" hidden="false" customHeight="false" outlineLevel="0" collapsed="false">
      <c r="A647" s="5"/>
      <c r="B647" s="4"/>
      <c r="C647" s="4"/>
      <c r="D647" s="4"/>
      <c r="E647" s="24"/>
      <c r="F647" s="24"/>
      <c r="G647" s="24"/>
      <c r="H647" s="4"/>
      <c r="I647" s="25"/>
    </row>
    <row r="648" customFormat="false" ht="15" hidden="false" customHeight="false" outlineLevel="0" collapsed="false">
      <c r="A648" s="5"/>
      <c r="B648" s="4"/>
      <c r="C648" s="4"/>
      <c r="D648" s="4"/>
      <c r="E648" s="24"/>
      <c r="F648" s="24"/>
      <c r="G648" s="24"/>
      <c r="H648" s="4"/>
      <c r="I648" s="25"/>
    </row>
    <row r="649" customFormat="false" ht="15" hidden="false" customHeight="false" outlineLevel="0" collapsed="false">
      <c r="A649" s="5"/>
      <c r="B649" s="4"/>
      <c r="C649" s="4"/>
      <c r="D649" s="4"/>
      <c r="E649" s="24"/>
      <c r="F649" s="24"/>
      <c r="G649" s="24"/>
      <c r="H649" s="4"/>
      <c r="I649" s="25"/>
    </row>
    <row r="650" customFormat="false" ht="15" hidden="false" customHeight="false" outlineLevel="0" collapsed="false">
      <c r="A650" s="5"/>
      <c r="B650" s="4"/>
      <c r="C650" s="4"/>
      <c r="D650" s="4"/>
      <c r="E650" s="24"/>
      <c r="F650" s="24"/>
      <c r="G650" s="24"/>
      <c r="H650" s="4"/>
      <c r="I650" s="25"/>
    </row>
    <row r="651" customFormat="false" ht="15" hidden="false" customHeight="false" outlineLevel="0" collapsed="false">
      <c r="A651" s="5"/>
      <c r="B651" s="4"/>
      <c r="C651" s="4"/>
      <c r="D651" s="4"/>
      <c r="E651" s="24"/>
      <c r="F651" s="24"/>
      <c r="G651" s="24"/>
      <c r="H651" s="4"/>
      <c r="I651" s="25"/>
    </row>
    <row r="652" customFormat="false" ht="15" hidden="false" customHeight="false" outlineLevel="0" collapsed="false">
      <c r="A652" s="5"/>
      <c r="B652" s="4"/>
      <c r="C652" s="4"/>
      <c r="D652" s="4"/>
      <c r="E652" s="24"/>
      <c r="F652" s="24"/>
      <c r="G652" s="24"/>
      <c r="H652" s="4"/>
      <c r="I652" s="25"/>
    </row>
    <row r="653" customFormat="false" ht="15" hidden="false" customHeight="false" outlineLevel="0" collapsed="false">
      <c r="A653" s="5"/>
      <c r="B653" s="4"/>
      <c r="C653" s="4"/>
      <c r="D653" s="4"/>
      <c r="E653" s="24"/>
      <c r="F653" s="24"/>
      <c r="G653" s="24"/>
      <c r="H653" s="4"/>
      <c r="I653" s="25"/>
    </row>
    <row r="654" customFormat="false" ht="15" hidden="false" customHeight="false" outlineLevel="0" collapsed="false">
      <c r="A654" s="5"/>
      <c r="B654" s="4"/>
      <c r="C654" s="4"/>
      <c r="D654" s="4"/>
      <c r="E654" s="24"/>
      <c r="F654" s="24"/>
      <c r="G654" s="24"/>
      <c r="H654" s="4"/>
      <c r="I654" s="25"/>
    </row>
    <row r="655" customFormat="false" ht="15" hidden="false" customHeight="false" outlineLevel="0" collapsed="false">
      <c r="A655" s="5"/>
      <c r="B655" s="4"/>
      <c r="C655" s="4"/>
      <c r="D655" s="4"/>
      <c r="E655" s="24"/>
      <c r="F655" s="24"/>
      <c r="G655" s="24"/>
      <c r="H655" s="4"/>
      <c r="I655" s="25"/>
    </row>
    <row r="656" customFormat="false" ht="15" hidden="false" customHeight="false" outlineLevel="0" collapsed="false">
      <c r="A656" s="5"/>
      <c r="B656" s="4"/>
      <c r="C656" s="4"/>
      <c r="D656" s="4"/>
      <c r="E656" s="24"/>
      <c r="F656" s="24"/>
      <c r="G656" s="24"/>
      <c r="H656" s="4"/>
      <c r="I656" s="25"/>
    </row>
    <row r="657" customFormat="false" ht="15" hidden="false" customHeight="false" outlineLevel="0" collapsed="false">
      <c r="A657" s="5"/>
      <c r="B657" s="4"/>
      <c r="C657" s="4"/>
      <c r="D657" s="4"/>
      <c r="E657" s="24"/>
      <c r="F657" s="24"/>
      <c r="G657" s="24"/>
      <c r="H657" s="4"/>
      <c r="I657" s="25"/>
    </row>
    <row r="658" customFormat="false" ht="15" hidden="false" customHeight="false" outlineLevel="0" collapsed="false">
      <c r="A658" s="5"/>
      <c r="B658" s="4"/>
      <c r="C658" s="4"/>
      <c r="D658" s="4"/>
      <c r="E658" s="24"/>
      <c r="F658" s="24"/>
      <c r="G658" s="24"/>
      <c r="H658" s="4"/>
      <c r="I658" s="25"/>
    </row>
    <row r="659" customFormat="false" ht="15" hidden="false" customHeight="false" outlineLevel="0" collapsed="false">
      <c r="A659" s="5"/>
      <c r="B659" s="4"/>
      <c r="C659" s="4"/>
      <c r="D659" s="4"/>
      <c r="E659" s="24"/>
      <c r="F659" s="24"/>
      <c r="G659" s="24"/>
      <c r="H659" s="4"/>
      <c r="I659" s="25"/>
    </row>
    <row r="660" customFormat="false" ht="15" hidden="false" customHeight="false" outlineLevel="0" collapsed="false">
      <c r="A660" s="5"/>
      <c r="B660" s="4"/>
      <c r="C660" s="4"/>
      <c r="D660" s="4"/>
      <c r="E660" s="24"/>
      <c r="F660" s="24"/>
      <c r="G660" s="24"/>
      <c r="H660" s="4"/>
      <c r="I660" s="25"/>
    </row>
    <row r="661" customFormat="false" ht="15" hidden="false" customHeight="false" outlineLevel="0" collapsed="false">
      <c r="A661" s="5"/>
      <c r="B661" s="4"/>
      <c r="C661" s="4"/>
      <c r="D661" s="4"/>
      <c r="E661" s="24"/>
      <c r="F661" s="24"/>
      <c r="G661" s="24"/>
      <c r="H661" s="4"/>
      <c r="I661" s="25"/>
    </row>
    <row r="662" customFormat="false" ht="15" hidden="false" customHeight="false" outlineLevel="0" collapsed="false">
      <c r="A662" s="5"/>
      <c r="B662" s="4"/>
      <c r="C662" s="4"/>
      <c r="D662" s="4"/>
      <c r="E662" s="24"/>
      <c r="F662" s="24"/>
      <c r="G662" s="24"/>
      <c r="H662" s="4"/>
      <c r="I662" s="25"/>
    </row>
    <row r="663" customFormat="false" ht="15" hidden="false" customHeight="false" outlineLevel="0" collapsed="false">
      <c r="A663" s="5"/>
      <c r="B663" s="4"/>
      <c r="C663" s="4"/>
      <c r="D663" s="4"/>
      <c r="E663" s="24"/>
      <c r="F663" s="24"/>
      <c r="G663" s="24"/>
      <c r="H663" s="4"/>
      <c r="I663" s="25"/>
    </row>
    <row r="664" customFormat="false" ht="15" hidden="false" customHeight="false" outlineLevel="0" collapsed="false">
      <c r="A664" s="5"/>
      <c r="B664" s="4"/>
      <c r="C664" s="4"/>
      <c r="D664" s="4"/>
      <c r="E664" s="24"/>
      <c r="F664" s="24"/>
      <c r="G664" s="24"/>
      <c r="H664" s="4"/>
      <c r="I664" s="25"/>
    </row>
    <row r="665" customFormat="false" ht="15" hidden="false" customHeight="false" outlineLevel="0" collapsed="false">
      <c r="A665" s="5"/>
      <c r="B665" s="4"/>
      <c r="C665" s="4"/>
      <c r="D665" s="4"/>
      <c r="E665" s="24"/>
      <c r="F665" s="24"/>
      <c r="G665" s="24"/>
      <c r="H665" s="4"/>
      <c r="I665" s="25"/>
    </row>
    <row r="666" customFormat="false" ht="15" hidden="false" customHeight="false" outlineLevel="0" collapsed="false">
      <c r="A666" s="5"/>
      <c r="B666" s="4"/>
      <c r="C666" s="4"/>
      <c r="D666" s="4"/>
      <c r="E666" s="24"/>
      <c r="F666" s="24"/>
      <c r="G666" s="24"/>
      <c r="H666" s="4"/>
      <c r="I666" s="25"/>
    </row>
    <row r="667" customFormat="false" ht="15" hidden="false" customHeight="false" outlineLevel="0" collapsed="false">
      <c r="A667" s="5"/>
      <c r="B667" s="4"/>
      <c r="C667" s="4"/>
      <c r="D667" s="4"/>
      <c r="E667" s="24"/>
      <c r="F667" s="24"/>
      <c r="G667" s="24"/>
      <c r="H667" s="4"/>
      <c r="I667" s="25"/>
    </row>
    <row r="668" customFormat="false" ht="15" hidden="false" customHeight="false" outlineLevel="0" collapsed="false">
      <c r="A668" s="5"/>
      <c r="B668" s="4"/>
      <c r="C668" s="4"/>
      <c r="D668" s="4"/>
      <c r="E668" s="24"/>
      <c r="F668" s="24"/>
      <c r="G668" s="24"/>
      <c r="H668" s="4"/>
      <c r="I668" s="25"/>
    </row>
    <row r="669" customFormat="false" ht="15" hidden="false" customHeight="false" outlineLevel="0" collapsed="false">
      <c r="A669" s="5"/>
      <c r="B669" s="4"/>
      <c r="C669" s="4"/>
      <c r="D669" s="4"/>
      <c r="E669" s="24"/>
      <c r="F669" s="24"/>
      <c r="G669" s="24"/>
      <c r="H669" s="4"/>
      <c r="I669" s="25"/>
    </row>
    <row r="670" customFormat="false" ht="15" hidden="false" customHeight="false" outlineLevel="0" collapsed="false">
      <c r="A670" s="5"/>
      <c r="B670" s="4"/>
      <c r="C670" s="4"/>
      <c r="D670" s="4"/>
      <c r="E670" s="24"/>
      <c r="F670" s="24"/>
      <c r="G670" s="24"/>
      <c r="H670" s="4"/>
      <c r="I670" s="25"/>
    </row>
    <row r="671" customFormat="false" ht="15" hidden="false" customHeight="false" outlineLevel="0" collapsed="false">
      <c r="A671" s="5"/>
      <c r="B671" s="4"/>
      <c r="C671" s="4"/>
      <c r="D671" s="4"/>
      <c r="E671" s="24"/>
      <c r="F671" s="24"/>
      <c r="G671" s="24"/>
      <c r="H671" s="4"/>
      <c r="I671" s="25"/>
    </row>
    <row r="672" customFormat="false" ht="15" hidden="false" customHeight="false" outlineLevel="0" collapsed="false">
      <c r="A672" s="5"/>
      <c r="B672" s="4"/>
      <c r="C672" s="4"/>
      <c r="D672" s="4"/>
      <c r="E672" s="24"/>
      <c r="F672" s="24"/>
      <c r="G672" s="24"/>
      <c r="H672" s="4"/>
      <c r="I672" s="25"/>
    </row>
    <row r="673" customFormat="false" ht="15" hidden="false" customHeight="false" outlineLevel="0" collapsed="false">
      <c r="A673" s="5"/>
      <c r="B673" s="4"/>
      <c r="C673" s="4"/>
      <c r="D673" s="4"/>
      <c r="E673" s="24"/>
      <c r="F673" s="24"/>
      <c r="G673" s="24"/>
      <c r="H673" s="4"/>
      <c r="I673" s="25"/>
    </row>
    <row r="674" customFormat="false" ht="15" hidden="false" customHeight="false" outlineLevel="0" collapsed="false">
      <c r="A674" s="5"/>
      <c r="B674" s="4"/>
      <c r="C674" s="4"/>
      <c r="D674" s="4"/>
      <c r="E674" s="24"/>
      <c r="F674" s="24"/>
      <c r="G674" s="24"/>
      <c r="H674" s="4"/>
      <c r="I674" s="25"/>
    </row>
    <row r="675" customFormat="false" ht="15" hidden="false" customHeight="false" outlineLevel="0" collapsed="false">
      <c r="A675" s="5"/>
      <c r="B675" s="4"/>
      <c r="C675" s="4"/>
      <c r="D675" s="4"/>
      <c r="E675" s="24"/>
      <c r="F675" s="24"/>
      <c r="G675" s="24"/>
      <c r="H675" s="4"/>
      <c r="I675" s="25"/>
    </row>
    <row r="676" customFormat="false" ht="15" hidden="false" customHeight="false" outlineLevel="0" collapsed="false">
      <c r="A676" s="5"/>
      <c r="B676" s="4"/>
      <c r="C676" s="4"/>
      <c r="D676" s="4"/>
      <c r="E676" s="24"/>
      <c r="F676" s="24"/>
      <c r="G676" s="24"/>
      <c r="H676" s="4"/>
      <c r="I676" s="25"/>
    </row>
    <row r="677" customFormat="false" ht="15" hidden="false" customHeight="false" outlineLevel="0" collapsed="false">
      <c r="A677" s="5"/>
      <c r="B677" s="4"/>
      <c r="C677" s="4"/>
      <c r="D677" s="4"/>
      <c r="E677" s="24"/>
      <c r="F677" s="24"/>
      <c r="G677" s="24"/>
      <c r="H677" s="4"/>
      <c r="I677" s="25"/>
    </row>
    <row r="678" customFormat="false" ht="15" hidden="false" customHeight="false" outlineLevel="0" collapsed="false">
      <c r="A678" s="5"/>
      <c r="B678" s="4"/>
      <c r="C678" s="4"/>
      <c r="D678" s="4"/>
      <c r="E678" s="24"/>
      <c r="F678" s="24"/>
      <c r="G678" s="24"/>
      <c r="H678" s="4"/>
      <c r="I678" s="25"/>
    </row>
    <row r="679" customFormat="false" ht="15" hidden="false" customHeight="false" outlineLevel="0" collapsed="false">
      <c r="A679" s="5"/>
      <c r="B679" s="4"/>
      <c r="C679" s="4"/>
      <c r="D679" s="4"/>
      <c r="E679" s="24"/>
      <c r="F679" s="24"/>
      <c r="G679" s="24"/>
      <c r="H679" s="4"/>
      <c r="I679" s="25"/>
    </row>
    <row r="680" customFormat="false" ht="15" hidden="false" customHeight="false" outlineLevel="0" collapsed="false">
      <c r="A680" s="5"/>
      <c r="B680" s="4"/>
      <c r="C680" s="4"/>
      <c r="D680" s="4"/>
      <c r="E680" s="24"/>
      <c r="F680" s="24"/>
      <c r="G680" s="24"/>
      <c r="H680" s="4"/>
      <c r="I680" s="25"/>
    </row>
    <row r="681" customFormat="false" ht="15" hidden="false" customHeight="false" outlineLevel="0" collapsed="false">
      <c r="A681" s="5"/>
      <c r="B681" s="4"/>
      <c r="C681" s="4"/>
      <c r="D681" s="4"/>
      <c r="E681" s="24"/>
      <c r="F681" s="24"/>
      <c r="G681" s="24"/>
      <c r="H681" s="4"/>
      <c r="I681" s="25"/>
    </row>
    <row r="682" customFormat="false" ht="15" hidden="false" customHeight="false" outlineLevel="0" collapsed="false">
      <c r="A682" s="5"/>
      <c r="B682" s="4"/>
      <c r="C682" s="4"/>
      <c r="D682" s="4"/>
      <c r="E682" s="24"/>
      <c r="F682" s="24"/>
      <c r="G682" s="24"/>
      <c r="H682" s="4"/>
      <c r="I682" s="25"/>
    </row>
    <row r="683" customFormat="false" ht="15" hidden="false" customHeight="false" outlineLevel="0" collapsed="false">
      <c r="A683" s="5"/>
      <c r="B683" s="4"/>
      <c r="C683" s="4"/>
      <c r="D683" s="4"/>
      <c r="E683" s="24"/>
      <c r="F683" s="24"/>
      <c r="G683" s="24"/>
      <c r="H683" s="4"/>
      <c r="I683" s="25"/>
    </row>
    <row r="684" customFormat="false" ht="15" hidden="false" customHeight="false" outlineLevel="0" collapsed="false">
      <c r="A684" s="5"/>
      <c r="B684" s="4"/>
      <c r="C684" s="4"/>
      <c r="D684" s="4"/>
      <c r="E684" s="24"/>
      <c r="F684" s="24"/>
      <c r="G684" s="24"/>
      <c r="H684" s="4"/>
      <c r="I684" s="25"/>
    </row>
    <row r="685" customFormat="false" ht="15" hidden="false" customHeight="false" outlineLevel="0" collapsed="false">
      <c r="A685" s="5"/>
      <c r="B685" s="4"/>
      <c r="C685" s="4"/>
      <c r="D685" s="4"/>
      <c r="E685" s="24"/>
      <c r="F685" s="24"/>
      <c r="G685" s="24"/>
      <c r="H685" s="4"/>
      <c r="I685" s="25"/>
    </row>
    <row r="686" customFormat="false" ht="15" hidden="false" customHeight="false" outlineLevel="0" collapsed="false">
      <c r="A686" s="5"/>
      <c r="B686" s="4"/>
      <c r="C686" s="4"/>
      <c r="D686" s="4"/>
      <c r="E686" s="24"/>
      <c r="F686" s="24"/>
      <c r="G686" s="24"/>
      <c r="H686" s="4"/>
      <c r="I686" s="25"/>
    </row>
    <row r="687" customFormat="false" ht="15" hidden="false" customHeight="false" outlineLevel="0" collapsed="false">
      <c r="A687" s="5"/>
      <c r="B687" s="4"/>
      <c r="C687" s="4"/>
      <c r="D687" s="4"/>
      <c r="E687" s="24"/>
      <c r="F687" s="24"/>
      <c r="G687" s="24"/>
      <c r="H687" s="4"/>
      <c r="I687" s="25"/>
    </row>
    <row r="688" customFormat="false" ht="15" hidden="false" customHeight="false" outlineLevel="0" collapsed="false">
      <c r="A688" s="5"/>
      <c r="B688" s="4"/>
      <c r="C688" s="4"/>
      <c r="D688" s="4"/>
      <c r="E688" s="24"/>
      <c r="F688" s="24"/>
      <c r="G688" s="24"/>
      <c r="H688" s="4"/>
      <c r="I688" s="25"/>
    </row>
    <row r="689" customFormat="false" ht="15" hidden="false" customHeight="false" outlineLevel="0" collapsed="false">
      <c r="A689" s="5"/>
      <c r="B689" s="4"/>
      <c r="C689" s="4"/>
      <c r="D689" s="4"/>
      <c r="E689" s="24"/>
      <c r="F689" s="24"/>
      <c r="G689" s="24"/>
      <c r="H689" s="4"/>
      <c r="I689" s="25"/>
    </row>
    <row r="690" customFormat="false" ht="15" hidden="false" customHeight="false" outlineLevel="0" collapsed="false">
      <c r="A690" s="5"/>
      <c r="B690" s="4"/>
      <c r="C690" s="4"/>
      <c r="D690" s="4"/>
      <c r="E690" s="24"/>
      <c r="F690" s="24"/>
      <c r="G690" s="24"/>
      <c r="H690" s="4"/>
      <c r="I690" s="25"/>
    </row>
    <row r="691" customFormat="false" ht="15" hidden="false" customHeight="false" outlineLevel="0" collapsed="false">
      <c r="A691" s="5"/>
      <c r="B691" s="4"/>
      <c r="C691" s="4"/>
      <c r="D691" s="4"/>
      <c r="E691" s="24"/>
      <c r="F691" s="24"/>
      <c r="G691" s="24"/>
      <c r="H691" s="4"/>
      <c r="I691" s="25"/>
    </row>
    <row r="692" customFormat="false" ht="15" hidden="false" customHeight="false" outlineLevel="0" collapsed="false">
      <c r="A692" s="5"/>
      <c r="B692" s="4"/>
      <c r="C692" s="4"/>
      <c r="D692" s="4"/>
      <c r="E692" s="24"/>
      <c r="F692" s="24"/>
      <c r="G692" s="24"/>
      <c r="H692" s="4"/>
      <c r="I692" s="25"/>
    </row>
    <row r="693" customFormat="false" ht="15" hidden="false" customHeight="false" outlineLevel="0" collapsed="false">
      <c r="A693" s="5"/>
      <c r="B693" s="4"/>
      <c r="C693" s="4"/>
      <c r="D693" s="4"/>
      <c r="E693" s="24"/>
      <c r="F693" s="24"/>
      <c r="G693" s="24"/>
      <c r="H693" s="4"/>
      <c r="I693" s="25"/>
    </row>
    <row r="694" customFormat="false" ht="15" hidden="false" customHeight="false" outlineLevel="0" collapsed="false">
      <c r="A694" s="5"/>
      <c r="B694" s="4"/>
      <c r="C694" s="4"/>
      <c r="D694" s="4"/>
      <c r="E694" s="24"/>
      <c r="F694" s="24"/>
      <c r="G694" s="24"/>
      <c r="H694" s="4"/>
      <c r="I694" s="25"/>
    </row>
    <row r="695" customFormat="false" ht="15" hidden="false" customHeight="false" outlineLevel="0" collapsed="false">
      <c r="A695" s="5"/>
      <c r="B695" s="4"/>
      <c r="C695" s="4"/>
      <c r="D695" s="4"/>
      <c r="E695" s="24"/>
      <c r="F695" s="24"/>
      <c r="G695" s="24"/>
      <c r="H695" s="4"/>
      <c r="I695" s="25"/>
    </row>
    <row r="696" customFormat="false" ht="15" hidden="false" customHeight="false" outlineLevel="0" collapsed="false">
      <c r="A696" s="5"/>
      <c r="B696" s="4"/>
      <c r="C696" s="4"/>
      <c r="D696" s="4"/>
      <c r="E696" s="24"/>
      <c r="F696" s="24"/>
      <c r="G696" s="24"/>
      <c r="H696" s="4"/>
      <c r="I696" s="25"/>
    </row>
    <row r="697" customFormat="false" ht="15" hidden="false" customHeight="false" outlineLevel="0" collapsed="false">
      <c r="A697" s="5"/>
      <c r="B697" s="4"/>
      <c r="C697" s="4"/>
      <c r="D697" s="4"/>
      <c r="E697" s="24"/>
      <c r="F697" s="24"/>
      <c r="G697" s="24"/>
      <c r="H697" s="4"/>
      <c r="I697" s="25"/>
    </row>
    <row r="698" customFormat="false" ht="15" hidden="false" customHeight="false" outlineLevel="0" collapsed="false">
      <c r="A698" s="5"/>
      <c r="B698" s="4"/>
      <c r="C698" s="4"/>
      <c r="D698" s="4"/>
      <c r="E698" s="24"/>
      <c r="F698" s="24"/>
      <c r="G698" s="24"/>
      <c r="H698" s="4"/>
      <c r="I698" s="25"/>
    </row>
    <row r="699" customFormat="false" ht="15" hidden="false" customHeight="false" outlineLevel="0" collapsed="false">
      <c r="A699" s="5"/>
      <c r="B699" s="4"/>
      <c r="C699" s="4"/>
      <c r="D699" s="4"/>
      <c r="E699" s="24"/>
      <c r="F699" s="24"/>
      <c r="G699" s="24"/>
      <c r="H699" s="4"/>
      <c r="I699" s="25"/>
    </row>
    <row r="700" customFormat="false" ht="15" hidden="false" customHeight="false" outlineLevel="0" collapsed="false">
      <c r="A700" s="5"/>
      <c r="B700" s="4"/>
      <c r="C700" s="4"/>
      <c r="D700" s="4"/>
      <c r="E700" s="24"/>
      <c r="F700" s="24"/>
      <c r="G700" s="24"/>
      <c r="H700" s="4"/>
      <c r="I700" s="25"/>
    </row>
    <row r="701" customFormat="false" ht="15" hidden="false" customHeight="false" outlineLevel="0" collapsed="false">
      <c r="A701" s="5"/>
      <c r="B701" s="4"/>
      <c r="C701" s="4"/>
      <c r="D701" s="4"/>
      <c r="E701" s="24"/>
      <c r="F701" s="24"/>
      <c r="G701" s="24"/>
      <c r="H701" s="4"/>
      <c r="I701" s="25"/>
    </row>
    <row r="702" customFormat="false" ht="15" hidden="false" customHeight="false" outlineLevel="0" collapsed="false">
      <c r="A702" s="5"/>
      <c r="B702" s="4"/>
      <c r="C702" s="4"/>
      <c r="D702" s="4"/>
      <c r="E702" s="24"/>
      <c r="F702" s="24"/>
      <c r="G702" s="24"/>
      <c r="H702" s="4"/>
      <c r="I702" s="25"/>
    </row>
    <row r="703" customFormat="false" ht="15" hidden="false" customHeight="false" outlineLevel="0" collapsed="false">
      <c r="A703" s="5"/>
      <c r="B703" s="4"/>
      <c r="C703" s="4"/>
      <c r="D703" s="4"/>
      <c r="E703" s="24"/>
      <c r="F703" s="24"/>
      <c r="G703" s="24"/>
      <c r="H703" s="4"/>
      <c r="I703" s="25"/>
    </row>
    <row r="704" customFormat="false" ht="15" hidden="false" customHeight="false" outlineLevel="0" collapsed="false">
      <c r="A704" s="5"/>
      <c r="B704" s="4"/>
      <c r="C704" s="4"/>
      <c r="D704" s="4"/>
      <c r="E704" s="24"/>
      <c r="F704" s="24"/>
      <c r="G704" s="24"/>
      <c r="H704" s="4"/>
      <c r="I704" s="25"/>
    </row>
    <row r="705" customFormat="false" ht="15" hidden="false" customHeight="false" outlineLevel="0" collapsed="false">
      <c r="A705" s="5"/>
      <c r="B705" s="4"/>
      <c r="C705" s="4"/>
      <c r="D705" s="4"/>
      <c r="E705" s="24"/>
      <c r="F705" s="24"/>
      <c r="G705" s="24"/>
      <c r="H705" s="4"/>
      <c r="I705" s="25"/>
    </row>
    <row r="706" customFormat="false" ht="15" hidden="false" customHeight="false" outlineLevel="0" collapsed="false">
      <c r="A706" s="5"/>
      <c r="B706" s="4"/>
      <c r="C706" s="4"/>
      <c r="D706" s="4"/>
      <c r="E706" s="24"/>
      <c r="F706" s="24"/>
      <c r="G706" s="24"/>
      <c r="H706" s="4"/>
      <c r="I706" s="25"/>
    </row>
    <row r="707" customFormat="false" ht="15" hidden="false" customHeight="false" outlineLevel="0" collapsed="false">
      <c r="A707" s="5"/>
      <c r="B707" s="4"/>
      <c r="C707" s="4"/>
      <c r="D707" s="4"/>
      <c r="E707" s="24"/>
      <c r="F707" s="24"/>
      <c r="G707" s="24"/>
      <c r="H707" s="4"/>
      <c r="I707" s="25"/>
    </row>
    <row r="708" customFormat="false" ht="15" hidden="false" customHeight="false" outlineLevel="0" collapsed="false">
      <c r="A708" s="5"/>
      <c r="B708" s="4"/>
      <c r="C708" s="4"/>
      <c r="D708" s="4"/>
      <c r="E708" s="24"/>
      <c r="F708" s="24"/>
      <c r="G708" s="24"/>
      <c r="H708" s="4"/>
      <c r="I708" s="25"/>
    </row>
    <row r="709" customFormat="false" ht="15" hidden="false" customHeight="false" outlineLevel="0" collapsed="false">
      <c r="A709" s="5"/>
      <c r="B709" s="4"/>
      <c r="C709" s="4"/>
      <c r="D709" s="4"/>
      <c r="E709" s="24"/>
      <c r="F709" s="24"/>
      <c r="G709" s="24"/>
      <c r="H709" s="4"/>
      <c r="I709" s="25"/>
    </row>
    <row r="710" customFormat="false" ht="15" hidden="false" customHeight="false" outlineLevel="0" collapsed="false">
      <c r="A710" s="5"/>
      <c r="B710" s="4"/>
      <c r="C710" s="4"/>
      <c r="D710" s="4"/>
      <c r="E710" s="24"/>
      <c r="F710" s="24"/>
      <c r="G710" s="24"/>
      <c r="H710" s="4"/>
      <c r="I710" s="25"/>
    </row>
    <row r="711" customFormat="false" ht="15" hidden="false" customHeight="false" outlineLevel="0" collapsed="false">
      <c r="A711" s="5"/>
      <c r="B711" s="4"/>
      <c r="C711" s="4"/>
      <c r="D711" s="4"/>
      <c r="E711" s="24"/>
      <c r="F711" s="24"/>
      <c r="G711" s="24"/>
      <c r="H711" s="4"/>
      <c r="I711" s="25"/>
    </row>
    <row r="712" customFormat="false" ht="15" hidden="false" customHeight="false" outlineLevel="0" collapsed="false">
      <c r="A712" s="5"/>
      <c r="B712" s="4"/>
      <c r="C712" s="4"/>
      <c r="D712" s="4"/>
      <c r="E712" s="24"/>
      <c r="F712" s="24"/>
      <c r="G712" s="24"/>
      <c r="H712" s="4"/>
      <c r="I712" s="25"/>
    </row>
    <row r="713" customFormat="false" ht="15" hidden="false" customHeight="false" outlineLevel="0" collapsed="false">
      <c r="A713" s="5"/>
      <c r="B713" s="4"/>
      <c r="C713" s="4"/>
      <c r="D713" s="4"/>
      <c r="E713" s="24"/>
      <c r="F713" s="24"/>
      <c r="G713" s="24"/>
      <c r="H713" s="4"/>
      <c r="I713" s="25"/>
    </row>
    <row r="714" customFormat="false" ht="15" hidden="false" customHeight="false" outlineLevel="0" collapsed="false">
      <c r="A714" s="5"/>
      <c r="B714" s="4"/>
      <c r="C714" s="4"/>
      <c r="D714" s="4"/>
      <c r="E714" s="24"/>
      <c r="F714" s="24"/>
      <c r="G714" s="24"/>
      <c r="H714" s="4"/>
      <c r="I714" s="25"/>
    </row>
    <row r="715" customFormat="false" ht="15" hidden="false" customHeight="false" outlineLevel="0" collapsed="false">
      <c r="A715" s="5"/>
      <c r="B715" s="4"/>
      <c r="C715" s="4"/>
      <c r="D715" s="4"/>
      <c r="E715" s="24"/>
      <c r="F715" s="24"/>
      <c r="G715" s="24"/>
      <c r="H715" s="4"/>
      <c r="I715" s="25"/>
    </row>
    <row r="716" customFormat="false" ht="15" hidden="false" customHeight="false" outlineLevel="0" collapsed="false">
      <c r="A716" s="5"/>
      <c r="B716" s="4"/>
      <c r="C716" s="4"/>
      <c r="D716" s="4"/>
      <c r="E716" s="24"/>
      <c r="F716" s="24"/>
      <c r="G716" s="24"/>
      <c r="H716" s="4"/>
      <c r="I716" s="25"/>
    </row>
    <row r="717" customFormat="false" ht="15" hidden="false" customHeight="false" outlineLevel="0" collapsed="false">
      <c r="A717" s="5"/>
      <c r="B717" s="4"/>
      <c r="C717" s="4"/>
      <c r="D717" s="4"/>
      <c r="E717" s="24"/>
      <c r="F717" s="24"/>
      <c r="G717" s="24"/>
      <c r="H717" s="4"/>
      <c r="I717" s="25"/>
    </row>
    <row r="718" customFormat="false" ht="15" hidden="false" customHeight="false" outlineLevel="0" collapsed="false">
      <c r="A718" s="5"/>
      <c r="B718" s="4"/>
      <c r="C718" s="4"/>
      <c r="D718" s="4"/>
      <c r="E718" s="24"/>
      <c r="F718" s="24"/>
      <c r="G718" s="24"/>
      <c r="H718" s="4"/>
      <c r="I718" s="25"/>
    </row>
    <row r="719" customFormat="false" ht="15" hidden="false" customHeight="false" outlineLevel="0" collapsed="false">
      <c r="A719" s="5"/>
      <c r="B719" s="4"/>
      <c r="C719" s="4"/>
      <c r="D719" s="4"/>
      <c r="E719" s="24"/>
      <c r="F719" s="24"/>
      <c r="G719" s="24"/>
      <c r="H719" s="4"/>
      <c r="I719" s="25"/>
    </row>
    <row r="720" customFormat="false" ht="15" hidden="false" customHeight="false" outlineLevel="0" collapsed="false">
      <c r="A720" s="5"/>
      <c r="B720" s="4"/>
      <c r="C720" s="4"/>
      <c r="D720" s="4"/>
      <c r="E720" s="24"/>
      <c r="F720" s="24"/>
      <c r="G720" s="24"/>
      <c r="H720" s="4"/>
      <c r="I720" s="25"/>
    </row>
    <row r="721" customFormat="false" ht="15" hidden="false" customHeight="false" outlineLevel="0" collapsed="false">
      <c r="A721" s="5"/>
      <c r="B721" s="4"/>
      <c r="C721" s="4"/>
      <c r="D721" s="4"/>
      <c r="E721" s="24"/>
      <c r="F721" s="24"/>
      <c r="G721" s="24"/>
      <c r="H721" s="4"/>
      <c r="I721" s="25"/>
    </row>
    <row r="722" customFormat="false" ht="15" hidden="false" customHeight="false" outlineLevel="0" collapsed="false">
      <c r="A722" s="5"/>
      <c r="B722" s="4"/>
      <c r="C722" s="4"/>
      <c r="D722" s="4"/>
      <c r="E722" s="24"/>
      <c r="F722" s="24"/>
      <c r="G722" s="24"/>
      <c r="H722" s="4"/>
      <c r="I722" s="25"/>
    </row>
    <row r="723" customFormat="false" ht="15" hidden="false" customHeight="false" outlineLevel="0" collapsed="false">
      <c r="A723" s="5"/>
      <c r="B723" s="4"/>
      <c r="C723" s="4"/>
      <c r="D723" s="4"/>
      <c r="E723" s="24"/>
      <c r="F723" s="24"/>
      <c r="G723" s="24"/>
      <c r="H723" s="4"/>
      <c r="I723" s="25"/>
    </row>
    <row r="724" customFormat="false" ht="15" hidden="false" customHeight="false" outlineLevel="0" collapsed="false">
      <c r="A724" s="5"/>
      <c r="B724" s="4"/>
      <c r="C724" s="4"/>
      <c r="D724" s="4"/>
      <c r="E724" s="24"/>
      <c r="F724" s="24"/>
      <c r="G724" s="24"/>
      <c r="H724" s="4"/>
      <c r="I724" s="25"/>
    </row>
    <row r="725" customFormat="false" ht="15" hidden="false" customHeight="false" outlineLevel="0" collapsed="false">
      <c r="A725" s="5"/>
      <c r="B725" s="4"/>
      <c r="C725" s="4"/>
      <c r="D725" s="4"/>
      <c r="E725" s="24"/>
      <c r="F725" s="24"/>
      <c r="G725" s="24"/>
      <c r="H725" s="4"/>
      <c r="I725" s="25"/>
    </row>
    <row r="726" customFormat="false" ht="15" hidden="false" customHeight="false" outlineLevel="0" collapsed="false">
      <c r="A726" s="5"/>
      <c r="B726" s="4"/>
      <c r="C726" s="4"/>
      <c r="D726" s="4"/>
      <c r="E726" s="24"/>
      <c r="F726" s="24"/>
      <c r="G726" s="24"/>
      <c r="H726" s="4"/>
      <c r="I726" s="25"/>
    </row>
    <row r="727" customFormat="false" ht="15" hidden="false" customHeight="false" outlineLevel="0" collapsed="false">
      <c r="A727" s="5"/>
      <c r="B727" s="4"/>
      <c r="C727" s="4"/>
      <c r="D727" s="4"/>
      <c r="E727" s="24"/>
      <c r="F727" s="24"/>
      <c r="G727" s="24"/>
      <c r="H727" s="4"/>
      <c r="I727" s="25"/>
    </row>
    <row r="728" customFormat="false" ht="15" hidden="false" customHeight="false" outlineLevel="0" collapsed="false">
      <c r="A728" s="5"/>
      <c r="B728" s="4"/>
      <c r="C728" s="4"/>
      <c r="D728" s="4"/>
      <c r="E728" s="24"/>
      <c r="F728" s="24"/>
      <c r="G728" s="24"/>
      <c r="H728" s="4"/>
      <c r="I728" s="25"/>
    </row>
    <row r="729" customFormat="false" ht="15" hidden="false" customHeight="false" outlineLevel="0" collapsed="false">
      <c r="A729" s="5"/>
      <c r="B729" s="4"/>
      <c r="C729" s="4"/>
      <c r="D729" s="4"/>
      <c r="E729" s="24"/>
      <c r="F729" s="24"/>
      <c r="G729" s="24"/>
      <c r="H729" s="4"/>
      <c r="I729" s="25"/>
    </row>
    <row r="730" customFormat="false" ht="15" hidden="false" customHeight="false" outlineLevel="0" collapsed="false">
      <c r="A730" s="5"/>
      <c r="B730" s="4"/>
      <c r="C730" s="4"/>
      <c r="D730" s="4"/>
      <c r="E730" s="24"/>
      <c r="F730" s="24"/>
      <c r="G730" s="24"/>
      <c r="H730" s="4"/>
      <c r="I730" s="25"/>
    </row>
    <row r="731" customFormat="false" ht="15" hidden="false" customHeight="false" outlineLevel="0" collapsed="false">
      <c r="A731" s="5"/>
      <c r="B731" s="4"/>
      <c r="C731" s="4"/>
      <c r="D731" s="4"/>
      <c r="E731" s="24"/>
      <c r="F731" s="24"/>
      <c r="G731" s="24"/>
      <c r="H731" s="4"/>
      <c r="I731" s="25"/>
    </row>
    <row r="732" customFormat="false" ht="15" hidden="false" customHeight="false" outlineLevel="0" collapsed="false">
      <c r="A732" s="5"/>
      <c r="B732" s="4"/>
      <c r="C732" s="4"/>
      <c r="D732" s="4"/>
      <c r="E732" s="24"/>
      <c r="F732" s="24"/>
      <c r="G732" s="24"/>
      <c r="H732" s="4"/>
      <c r="I732" s="25"/>
    </row>
    <row r="733" customFormat="false" ht="15" hidden="false" customHeight="false" outlineLevel="0" collapsed="false">
      <c r="A733" s="5"/>
      <c r="B733" s="4"/>
      <c r="C733" s="4"/>
      <c r="D733" s="4"/>
      <c r="E733" s="24"/>
      <c r="F733" s="24"/>
      <c r="G733" s="24"/>
      <c r="H733" s="4"/>
      <c r="I733" s="25"/>
    </row>
    <row r="734" customFormat="false" ht="15" hidden="false" customHeight="false" outlineLevel="0" collapsed="false">
      <c r="A734" s="5"/>
      <c r="B734" s="4"/>
      <c r="C734" s="4"/>
      <c r="D734" s="4"/>
      <c r="E734" s="24"/>
      <c r="F734" s="24"/>
      <c r="G734" s="24"/>
      <c r="H734" s="4"/>
      <c r="I73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false" outlineLevel="0" collapsed="false">
      <c r="A4" s="6" t="s">
        <v>90</v>
      </c>
      <c r="B4" s="6" t="s">
        <v>20</v>
      </c>
      <c r="C4" s="6" t="s">
        <v>102</v>
      </c>
      <c r="D4" s="6" t="s">
        <v>103</v>
      </c>
      <c r="E4" s="6" t="s">
        <v>104</v>
      </c>
    </row>
    <row r="5" customFormat="false" ht="15" hidden="false" customHeight="false" outlineLevel="0" collapsed="false">
      <c r="A5" s="26"/>
      <c r="B5" s="27"/>
      <c r="C5" s="27"/>
      <c r="D5" s="27"/>
      <c r="E5" s="27"/>
    </row>
    <row r="6" customFormat="false" ht="15" hidden="false" customHeight="false" outlineLevel="0" collapsed="false">
      <c r="A6" s="26"/>
      <c r="B6" s="27"/>
      <c r="C6" s="27"/>
      <c r="D6" s="27"/>
      <c r="E6" s="27"/>
    </row>
    <row r="7" customFormat="false" ht="15" hidden="false" customHeight="false" outlineLevel="0" collapsed="false">
      <c r="A7" s="26"/>
      <c r="B7" s="27"/>
      <c r="C7" s="27"/>
      <c r="D7" s="27"/>
      <c r="E7" s="27"/>
    </row>
    <row r="8" customFormat="false" ht="15" hidden="false" customHeight="false" outlineLevel="0" collapsed="false">
      <c r="A8" s="26"/>
      <c r="B8" s="27"/>
      <c r="C8" s="27"/>
      <c r="D8" s="27"/>
      <c r="E8" s="27"/>
    </row>
    <row r="9" customFormat="false" ht="15" hidden="false" customHeight="false" outlineLevel="0" collapsed="false">
      <c r="A9" s="26"/>
      <c r="B9" s="27"/>
      <c r="C9" s="27"/>
      <c r="D9" s="27"/>
      <c r="E9" s="27"/>
    </row>
    <row r="10" customFormat="false" ht="15" hidden="false" customHeight="false" outlineLevel="0" collapsed="false">
      <c r="A10" s="26"/>
      <c r="B10" s="27"/>
      <c r="C10" s="27"/>
      <c r="D10" s="27"/>
      <c r="E10" s="27"/>
    </row>
    <row r="11" customFormat="false" ht="15" hidden="false" customHeight="false" outlineLevel="0" collapsed="false">
      <c r="A11" s="26"/>
      <c r="B11" s="27"/>
      <c r="C11" s="27"/>
      <c r="D11" s="27"/>
      <c r="E11" s="27"/>
    </row>
    <row r="12" customFormat="false" ht="15" hidden="false" customHeight="false" outlineLevel="0" collapsed="false">
      <c r="A12" s="26"/>
      <c r="B12" s="27"/>
      <c r="C12" s="27"/>
      <c r="D12" s="27"/>
      <c r="E12" s="27"/>
    </row>
    <row r="13" customFormat="false" ht="15" hidden="false" customHeight="false" outlineLevel="0" collapsed="false">
      <c r="A13" s="26"/>
      <c r="B13" s="27"/>
      <c r="C13" s="27"/>
      <c r="D13" s="27"/>
      <c r="E13" s="27"/>
    </row>
    <row r="14" customFormat="false" ht="15" hidden="false" customHeight="false" outlineLevel="0" collapsed="false">
      <c r="A14" s="26"/>
      <c r="B14" s="27"/>
      <c r="C14" s="27"/>
      <c r="D14" s="27"/>
      <c r="E14" s="27"/>
    </row>
    <row r="15" customFormat="false" ht="15" hidden="false" customHeight="false" outlineLevel="0" collapsed="false">
      <c r="A15" s="26"/>
      <c r="B15" s="27"/>
      <c r="C15" s="27"/>
      <c r="D15" s="27"/>
      <c r="E15" s="27"/>
    </row>
    <row r="16" customFormat="false" ht="15" hidden="false" customHeight="false" outlineLevel="0" collapsed="false">
      <c r="A16" s="26"/>
      <c r="B16" s="27"/>
      <c r="C16" s="27"/>
      <c r="D16" s="27"/>
      <c r="E16" s="27"/>
    </row>
    <row r="17" customFormat="false" ht="15" hidden="false" customHeight="false" outlineLevel="0" collapsed="false">
      <c r="A17" s="26"/>
      <c r="B17" s="27"/>
      <c r="C17" s="27"/>
      <c r="D17" s="27"/>
      <c r="E17" s="27"/>
    </row>
    <row r="18" customFormat="false" ht="15" hidden="false" customHeight="false" outlineLevel="0" collapsed="false">
      <c r="A18" s="26"/>
      <c r="B18" s="27"/>
      <c r="C18" s="27"/>
      <c r="D18" s="27"/>
      <c r="E18" s="27"/>
    </row>
    <row r="19" customFormat="false" ht="15" hidden="false" customHeight="false" outlineLevel="0" collapsed="false">
      <c r="A19" s="26"/>
      <c r="B19" s="27"/>
      <c r="C19" s="27"/>
      <c r="D19" s="27"/>
      <c r="E19" s="27"/>
    </row>
    <row r="20" customFormat="false" ht="15" hidden="false" customHeight="false" outlineLevel="0" collapsed="false">
      <c r="A20" s="26"/>
      <c r="B20" s="27"/>
      <c r="C20" s="27"/>
      <c r="D20" s="27"/>
      <c r="E20" s="27"/>
    </row>
    <row r="21" customFormat="false" ht="15" hidden="false" customHeight="false" outlineLevel="0" collapsed="false">
      <c r="A21" s="26"/>
      <c r="B21" s="27"/>
      <c r="C21" s="27"/>
      <c r="D21" s="27"/>
      <c r="E21" s="27"/>
    </row>
    <row r="22" customFormat="false" ht="15" hidden="false" customHeight="false" outlineLevel="0" collapsed="false">
      <c r="A22" s="26"/>
      <c r="B22" s="27"/>
      <c r="C22" s="27"/>
      <c r="D22" s="27"/>
      <c r="E22" s="27"/>
    </row>
    <row r="23" customFormat="false" ht="15" hidden="false" customHeight="false" outlineLevel="0" collapsed="false">
      <c r="A23" s="26"/>
      <c r="B23" s="27"/>
      <c r="C23" s="27"/>
      <c r="D23" s="27"/>
      <c r="E23" s="27"/>
    </row>
    <row r="24" customFormat="false" ht="15" hidden="false" customHeight="false" outlineLevel="0" collapsed="false">
      <c r="A24" s="26"/>
      <c r="B24" s="27"/>
      <c r="C24" s="27"/>
      <c r="D24" s="27"/>
      <c r="E24" s="27"/>
    </row>
    <row r="25" customFormat="false" ht="15" hidden="false" customHeight="false" outlineLevel="0" collapsed="false">
      <c r="A25" s="26"/>
      <c r="B25" s="27"/>
      <c r="C25" s="27"/>
      <c r="D25" s="27"/>
      <c r="E25" s="27"/>
    </row>
    <row r="26" customFormat="false" ht="15" hidden="false" customHeight="false" outlineLevel="0" collapsed="false">
      <c r="A26" s="26"/>
      <c r="B26" s="27"/>
      <c r="C26" s="27"/>
      <c r="D26" s="27"/>
      <c r="E26" s="27"/>
    </row>
    <row r="27" customFormat="false" ht="15" hidden="false" customHeight="false" outlineLevel="0" collapsed="false">
      <c r="A27" s="26"/>
      <c r="B27" s="27"/>
      <c r="C27" s="27"/>
      <c r="D27" s="27"/>
      <c r="E27" s="27"/>
    </row>
    <row r="28" customFormat="false" ht="15" hidden="false" customHeight="false" outlineLevel="0" collapsed="false">
      <c r="A28" s="26"/>
      <c r="B28" s="27"/>
      <c r="C28" s="27"/>
      <c r="D28" s="27"/>
      <c r="E28" s="27"/>
    </row>
    <row r="29" customFormat="false" ht="15" hidden="false" customHeight="false" outlineLevel="0" collapsed="false">
      <c r="A29" s="26"/>
      <c r="B29" s="27"/>
      <c r="C29" s="27"/>
      <c r="D29" s="27"/>
      <c r="E29" s="27"/>
    </row>
    <row r="30" customFormat="false" ht="15" hidden="false" customHeight="false" outlineLevel="0" collapsed="false">
      <c r="A30" s="26"/>
      <c r="B30" s="27"/>
      <c r="C30" s="27"/>
      <c r="D30" s="27"/>
      <c r="E30" s="27"/>
    </row>
    <row r="31" customFormat="false" ht="15" hidden="false" customHeight="false" outlineLevel="0" collapsed="false">
      <c r="A31" s="26"/>
      <c r="B31" s="27"/>
      <c r="C31" s="27"/>
      <c r="D31" s="27"/>
      <c r="E31" s="27"/>
    </row>
    <row r="32" customFormat="false" ht="15" hidden="false" customHeight="false" outlineLevel="0" collapsed="false">
      <c r="A32" s="26"/>
      <c r="B32" s="27"/>
      <c r="C32" s="27"/>
      <c r="D32" s="27"/>
      <c r="E32" s="27"/>
    </row>
    <row r="33" customFormat="false" ht="15" hidden="false" customHeight="false" outlineLevel="0" collapsed="false">
      <c r="A33" s="26"/>
      <c r="B33" s="27"/>
      <c r="C33" s="27"/>
      <c r="D33" s="27"/>
      <c r="E33" s="27"/>
    </row>
    <row r="34" customFormat="false" ht="15" hidden="false" customHeight="false" outlineLevel="0" collapsed="false">
      <c r="A34" s="26"/>
      <c r="B34" s="27"/>
      <c r="C34" s="27"/>
      <c r="D34" s="27"/>
      <c r="E34" s="27"/>
    </row>
    <row r="35" customFormat="false" ht="15" hidden="false" customHeight="false" outlineLevel="0" collapsed="false">
      <c r="A35" s="26"/>
      <c r="B35" s="27"/>
      <c r="C35" s="27"/>
      <c r="D35" s="27"/>
      <c r="E35" s="27"/>
    </row>
    <row r="36" customFormat="false" ht="15" hidden="false" customHeight="false" outlineLevel="0" collapsed="false">
      <c r="A36" s="26"/>
      <c r="B36" s="27"/>
      <c r="C36" s="27"/>
      <c r="D36" s="27"/>
      <c r="E36" s="27"/>
    </row>
    <row r="37" customFormat="false" ht="15" hidden="false" customHeight="false" outlineLevel="0" collapsed="false">
      <c r="A37" s="26"/>
      <c r="B37" s="27"/>
      <c r="C37" s="27"/>
      <c r="D37" s="27"/>
      <c r="E37" s="27"/>
    </row>
    <row r="38" customFormat="false" ht="15" hidden="false" customHeight="false" outlineLevel="0" collapsed="false">
      <c r="A38" s="26"/>
      <c r="B38" s="27"/>
      <c r="C38" s="27"/>
      <c r="D38" s="27"/>
      <c r="E38" s="27"/>
    </row>
    <row r="39" customFormat="false" ht="15" hidden="false" customHeight="false" outlineLevel="0" collapsed="false">
      <c r="A39" s="26"/>
      <c r="B39" s="27"/>
      <c r="C39" s="27"/>
      <c r="D39" s="27"/>
      <c r="E39" s="27"/>
    </row>
    <row r="40" customFormat="false" ht="15" hidden="false" customHeight="false" outlineLevel="0" collapsed="false">
      <c r="A40" s="26"/>
      <c r="B40" s="27"/>
      <c r="C40" s="27"/>
      <c r="D40" s="27"/>
      <c r="E40" s="27"/>
    </row>
    <row r="41" customFormat="false" ht="15" hidden="false" customHeight="false" outlineLevel="0" collapsed="false">
      <c r="A41" s="26"/>
      <c r="B41" s="27"/>
      <c r="C41" s="27"/>
      <c r="D41" s="27"/>
      <c r="E41" s="27"/>
    </row>
    <row r="42" customFormat="false" ht="15" hidden="false" customHeight="false" outlineLevel="0" collapsed="false">
      <c r="A42" s="26"/>
      <c r="B42" s="27"/>
      <c r="C42" s="27"/>
      <c r="D42" s="27"/>
      <c r="E42" s="27"/>
    </row>
    <row r="43" customFormat="false" ht="15" hidden="false" customHeight="false" outlineLevel="0" collapsed="false">
      <c r="A43" s="26"/>
      <c r="B43" s="27"/>
      <c r="C43" s="27"/>
      <c r="D43" s="27"/>
      <c r="E43" s="27"/>
    </row>
    <row r="44" customFormat="false" ht="15" hidden="false" customHeight="false" outlineLevel="0" collapsed="false">
      <c r="A44" s="26"/>
      <c r="B44" s="27"/>
      <c r="C44" s="27"/>
      <c r="D44" s="27"/>
      <c r="E44" s="27"/>
    </row>
    <row r="45" customFormat="false" ht="15" hidden="false" customHeight="false" outlineLevel="0" collapsed="false">
      <c r="A45" s="26"/>
      <c r="B45" s="27"/>
      <c r="C45" s="27"/>
      <c r="D45" s="27"/>
      <c r="E45" s="27"/>
    </row>
    <row r="46" customFormat="false" ht="15" hidden="false" customHeight="false" outlineLevel="0" collapsed="false">
      <c r="A46" s="26"/>
      <c r="B46" s="27"/>
      <c r="C46" s="27"/>
      <c r="D46" s="27"/>
      <c r="E46" s="27"/>
    </row>
    <row r="47" customFormat="false" ht="15" hidden="false" customHeight="false" outlineLevel="0" collapsed="false">
      <c r="A47" s="26"/>
      <c r="B47" s="27"/>
      <c r="C47" s="27"/>
      <c r="D47" s="27"/>
      <c r="E47" s="27"/>
    </row>
    <row r="48" customFormat="false" ht="15" hidden="false" customHeight="false" outlineLevel="0" collapsed="false">
      <c r="A48" s="26"/>
      <c r="B48" s="27"/>
      <c r="C48" s="27"/>
      <c r="D48" s="27"/>
      <c r="E48" s="27"/>
    </row>
    <row r="49" customFormat="false" ht="15" hidden="false" customHeight="false" outlineLevel="0" collapsed="false">
      <c r="A49" s="26"/>
      <c r="B49" s="27"/>
      <c r="C49" s="27"/>
      <c r="D49" s="27"/>
      <c r="E49" s="27"/>
    </row>
    <row r="50" customFormat="false" ht="15" hidden="false" customHeight="false" outlineLevel="0" collapsed="false">
      <c r="A50" s="26"/>
      <c r="B50" s="27"/>
      <c r="C50" s="27"/>
      <c r="D50" s="27"/>
      <c r="E50" s="27"/>
    </row>
    <row r="51" customFormat="false" ht="15" hidden="false" customHeight="false" outlineLevel="0" collapsed="false">
      <c r="A51" s="26"/>
      <c r="B51" s="27"/>
      <c r="C51" s="27"/>
      <c r="D51" s="27"/>
      <c r="E51" s="27"/>
    </row>
    <row r="52" customFormat="false" ht="15" hidden="false" customHeight="false" outlineLevel="0" collapsed="false">
      <c r="A52" s="26"/>
      <c r="B52" s="27"/>
      <c r="C52" s="27"/>
      <c r="D52" s="27"/>
      <c r="E52" s="27"/>
    </row>
    <row r="53" customFormat="false" ht="15" hidden="false" customHeight="false" outlineLevel="0" collapsed="false">
      <c r="A53" s="26"/>
      <c r="B53" s="27"/>
      <c r="C53" s="27"/>
      <c r="D53" s="27"/>
      <c r="E53" s="27"/>
    </row>
    <row r="54" customFormat="false" ht="15" hidden="false" customHeight="false" outlineLevel="0" collapsed="false">
      <c r="A54" s="26"/>
      <c r="B54" s="27"/>
      <c r="C54" s="27"/>
      <c r="D54" s="27"/>
      <c r="E54" s="27"/>
    </row>
    <row r="55" customFormat="false" ht="15" hidden="false" customHeight="false" outlineLevel="0" collapsed="false">
      <c r="A55" s="26"/>
      <c r="B55" s="27"/>
      <c r="C55" s="27"/>
      <c r="D55" s="27"/>
      <c r="E55" s="27"/>
    </row>
    <row r="56" customFormat="false" ht="15" hidden="false" customHeight="false" outlineLevel="0" collapsed="false">
      <c r="A56" s="26"/>
      <c r="B56" s="27"/>
      <c r="C56" s="27"/>
      <c r="D56" s="27"/>
      <c r="E56" s="27"/>
    </row>
    <row r="57" customFormat="false" ht="15" hidden="false" customHeight="false" outlineLevel="0" collapsed="false">
      <c r="A57" s="26"/>
      <c r="B57" s="27"/>
      <c r="C57" s="27"/>
      <c r="D57" s="27"/>
      <c r="E57" s="27"/>
    </row>
    <row r="58" customFormat="false" ht="15" hidden="false" customHeight="false" outlineLevel="0" collapsed="false">
      <c r="A58" s="26"/>
      <c r="B58" s="27"/>
      <c r="C58" s="27"/>
      <c r="D58" s="27"/>
      <c r="E58" s="27"/>
    </row>
    <row r="59" customFormat="false" ht="15" hidden="false" customHeight="false" outlineLevel="0" collapsed="false">
      <c r="A59" s="26"/>
      <c r="B59" s="27"/>
      <c r="C59" s="27"/>
      <c r="D59" s="27"/>
      <c r="E59" s="27"/>
    </row>
    <row r="60" customFormat="false" ht="15" hidden="false" customHeight="false" outlineLevel="0" collapsed="false">
      <c r="A60" s="26"/>
      <c r="B60" s="27"/>
      <c r="C60" s="27"/>
      <c r="D60" s="27"/>
      <c r="E60" s="27"/>
    </row>
    <row r="61" customFormat="false" ht="15" hidden="false" customHeight="false" outlineLevel="0" collapsed="false">
      <c r="A61" s="28"/>
      <c r="B61" s="29"/>
      <c r="C61" s="29"/>
      <c r="D61" s="29"/>
      <c r="E61" s="29"/>
    </row>
    <row r="62" customFormat="false" ht="15" hidden="false" customHeight="false" outlineLevel="0" collapsed="false">
      <c r="A62" s="28"/>
      <c r="B62" s="29"/>
      <c r="C62" s="29"/>
      <c r="D62" s="29"/>
      <c r="E62" s="29"/>
    </row>
    <row r="63" customFormat="false" ht="15" hidden="false" customHeight="false" outlineLevel="0" collapsed="false">
      <c r="A63" s="28"/>
      <c r="B63" s="29"/>
      <c r="C63" s="29"/>
      <c r="D63" s="29"/>
      <c r="E63" s="29"/>
    </row>
    <row r="64" customFormat="false" ht="15" hidden="false" customHeight="false" outlineLevel="0" collapsed="false">
      <c r="A64" s="28"/>
      <c r="B64" s="29"/>
      <c r="C64" s="29"/>
      <c r="D64" s="29"/>
      <c r="E64" s="29"/>
    </row>
    <row r="65" customFormat="false" ht="15" hidden="false" customHeight="false" outlineLevel="0" collapsed="false">
      <c r="A65" s="28"/>
      <c r="B65" s="29"/>
      <c r="C65" s="29"/>
      <c r="D65" s="29"/>
      <c r="E65" s="29"/>
    </row>
    <row r="66" customFormat="false" ht="15" hidden="false" customHeight="false" outlineLevel="0" collapsed="false">
      <c r="A66" s="28"/>
      <c r="B66" s="29"/>
      <c r="C66" s="29"/>
      <c r="D66" s="29"/>
      <c r="E66" s="29"/>
    </row>
    <row r="67" customFormat="false" ht="15" hidden="false" customHeight="false" outlineLevel="0" collapsed="false">
      <c r="A67" s="28"/>
      <c r="B67" s="29"/>
      <c r="C67" s="29"/>
      <c r="D67" s="29"/>
      <c r="E67" s="29"/>
    </row>
    <row r="68" customFormat="false" ht="15" hidden="false" customHeight="false" outlineLevel="0" collapsed="false">
      <c r="A68" s="28"/>
      <c r="B68" s="29"/>
      <c r="C68" s="29"/>
      <c r="D68" s="29"/>
      <c r="E68" s="29"/>
    </row>
    <row r="69" customFormat="false" ht="15" hidden="false" customHeight="false" outlineLevel="0" collapsed="false">
      <c r="A69" s="28"/>
      <c r="B69" s="29"/>
      <c r="C69" s="29"/>
      <c r="D69" s="29"/>
      <c r="E69" s="29"/>
    </row>
    <row r="70" customFormat="false" ht="15" hidden="false" customHeight="false" outlineLevel="0" collapsed="false">
      <c r="A70" s="28"/>
      <c r="B70" s="29"/>
      <c r="C70" s="29"/>
      <c r="D70" s="29"/>
      <c r="E70" s="29"/>
    </row>
    <row r="71" customFormat="false" ht="15" hidden="false" customHeight="false" outlineLevel="0" collapsed="false">
      <c r="A71" s="28"/>
      <c r="B71" s="29"/>
      <c r="C71" s="29"/>
      <c r="D71" s="29"/>
      <c r="E71" s="29"/>
    </row>
    <row r="72" customFormat="false" ht="15" hidden="false" customHeight="false" outlineLevel="0" collapsed="false">
      <c r="A72" s="28"/>
      <c r="B72" s="29"/>
      <c r="C72" s="29"/>
      <c r="D72" s="29"/>
      <c r="E72" s="29"/>
    </row>
    <row r="73" customFormat="false" ht="15" hidden="false" customHeight="false" outlineLevel="0" collapsed="false">
      <c r="A73" s="28"/>
      <c r="B73" s="29"/>
      <c r="C73" s="29"/>
      <c r="D73" s="29"/>
      <c r="E73" s="29"/>
    </row>
    <row r="74" customFormat="false" ht="15" hidden="false" customHeight="false" outlineLevel="0" collapsed="false">
      <c r="A74" s="28"/>
      <c r="B74" s="29"/>
      <c r="C74" s="29"/>
      <c r="D74" s="29"/>
      <c r="E74" s="29"/>
    </row>
    <row r="75" customFormat="false" ht="15" hidden="false" customHeight="false" outlineLevel="0" collapsed="false">
      <c r="A75" s="28"/>
      <c r="B75" s="29"/>
      <c r="C75" s="29"/>
      <c r="D75" s="29"/>
      <c r="E75" s="29"/>
    </row>
    <row r="76" customFormat="false" ht="15" hidden="false" customHeight="false" outlineLevel="0" collapsed="false">
      <c r="A76" s="28"/>
      <c r="B76" s="29"/>
      <c r="C76" s="29"/>
      <c r="D76" s="29"/>
      <c r="E76" s="29"/>
    </row>
    <row r="77" customFormat="false" ht="15" hidden="false" customHeight="false" outlineLevel="0" collapsed="false">
      <c r="A77" s="28"/>
      <c r="B77" s="29"/>
      <c r="C77" s="29"/>
      <c r="D77" s="29"/>
      <c r="E77" s="29"/>
    </row>
    <row r="78" customFormat="false" ht="15" hidden="false" customHeight="false" outlineLevel="0" collapsed="false">
      <c r="A78" s="28"/>
      <c r="B78" s="29"/>
      <c r="C78" s="29"/>
      <c r="D78" s="29"/>
      <c r="E78" s="29"/>
    </row>
    <row r="79" customFormat="false" ht="15" hidden="false" customHeight="false" outlineLevel="0" collapsed="false">
      <c r="A79" s="28"/>
      <c r="B79" s="29"/>
      <c r="C79" s="29"/>
      <c r="D79" s="29"/>
      <c r="E79" s="29"/>
    </row>
    <row r="80" customFormat="false" ht="15" hidden="false" customHeight="false" outlineLevel="0" collapsed="false">
      <c r="A80" s="28"/>
      <c r="B80" s="29"/>
      <c r="C80" s="29"/>
      <c r="D80" s="29"/>
      <c r="E80" s="29"/>
    </row>
    <row r="81" customFormat="false" ht="15" hidden="false" customHeight="false" outlineLevel="0" collapsed="false">
      <c r="A81" s="28"/>
      <c r="B81" s="29"/>
      <c r="C81" s="29"/>
      <c r="D81" s="29"/>
      <c r="E81" s="29"/>
    </row>
    <row r="82" customFormat="false" ht="15" hidden="false" customHeight="false" outlineLevel="0" collapsed="false">
      <c r="A82" s="28"/>
      <c r="B82" s="29"/>
      <c r="C82" s="29"/>
      <c r="D82" s="29"/>
      <c r="E82" s="29"/>
    </row>
    <row r="83" customFormat="false" ht="15" hidden="false" customHeight="false" outlineLevel="0" collapsed="false">
      <c r="A83" s="28"/>
      <c r="B83" s="29"/>
      <c r="C83" s="29"/>
      <c r="D83" s="29"/>
      <c r="E83" s="29"/>
    </row>
    <row r="84" customFormat="false" ht="15" hidden="false" customHeight="false" outlineLevel="0" collapsed="false">
      <c r="A84" s="28"/>
      <c r="B84" s="29"/>
      <c r="C84" s="29"/>
      <c r="D84" s="29"/>
      <c r="E84" s="29"/>
    </row>
    <row r="85" customFormat="false" ht="15" hidden="false" customHeight="false" outlineLevel="0" collapsed="false">
      <c r="A85" s="28"/>
      <c r="B85" s="29"/>
      <c r="C85" s="29"/>
      <c r="D85" s="29"/>
      <c r="E85" s="29"/>
    </row>
    <row r="86" customFormat="false" ht="15" hidden="false" customHeight="false" outlineLevel="0" collapsed="false">
      <c r="A86" s="28"/>
      <c r="B86" s="29"/>
      <c r="C86" s="29"/>
      <c r="D86" s="29"/>
      <c r="E86" s="29"/>
    </row>
    <row r="87" customFormat="false" ht="15" hidden="false" customHeight="false" outlineLevel="0" collapsed="false">
      <c r="A87" s="28"/>
      <c r="B87" s="29"/>
      <c r="C87" s="29"/>
      <c r="D87" s="29"/>
      <c r="E87" s="29"/>
    </row>
    <row r="88" customFormat="false" ht="15" hidden="false" customHeight="false" outlineLevel="0" collapsed="false">
      <c r="A88" s="28"/>
      <c r="B88" s="29"/>
      <c r="C88" s="29"/>
      <c r="D88" s="29"/>
      <c r="E88" s="29"/>
    </row>
    <row r="89" customFormat="false" ht="15" hidden="false" customHeight="false" outlineLevel="0" collapsed="false">
      <c r="A89" s="28"/>
      <c r="B89" s="29"/>
      <c r="C89" s="29"/>
      <c r="D89" s="29"/>
      <c r="E89" s="29"/>
    </row>
    <row r="90" customFormat="false" ht="15" hidden="false" customHeight="false" outlineLevel="0" collapsed="false">
      <c r="A90" s="28"/>
      <c r="B90" s="29"/>
      <c r="C90" s="29"/>
      <c r="D90" s="29"/>
      <c r="E90" s="29"/>
    </row>
    <row r="91" customFormat="false" ht="15" hidden="false" customHeight="false" outlineLevel="0" collapsed="false">
      <c r="A91" s="28"/>
      <c r="B91" s="29"/>
      <c r="C91" s="29"/>
      <c r="D91" s="29"/>
      <c r="E91" s="29"/>
    </row>
    <row r="92" customFormat="false" ht="15" hidden="false" customHeight="false" outlineLevel="0" collapsed="false">
      <c r="A92" s="28"/>
      <c r="B92" s="29"/>
      <c r="C92" s="29"/>
      <c r="D92" s="29"/>
      <c r="E92" s="29"/>
    </row>
    <row r="93" customFormat="false" ht="15" hidden="false" customHeight="false" outlineLevel="0" collapsed="false">
      <c r="A93" s="28"/>
      <c r="B93" s="29"/>
      <c r="C93" s="29"/>
      <c r="D93" s="29"/>
      <c r="E93" s="29"/>
    </row>
    <row r="94" customFormat="false" ht="15" hidden="false" customHeight="false" outlineLevel="0" collapsed="false">
      <c r="A94" s="28"/>
      <c r="B94" s="29"/>
      <c r="C94" s="29"/>
      <c r="D94" s="29"/>
      <c r="E94" s="29"/>
    </row>
    <row r="95" customFormat="false" ht="15" hidden="false" customHeight="false" outlineLevel="0" collapsed="false">
      <c r="A95" s="28"/>
      <c r="B95" s="29"/>
      <c r="C95" s="29"/>
      <c r="D95" s="29"/>
      <c r="E95" s="29"/>
    </row>
    <row r="96" customFormat="false" ht="15" hidden="false" customHeight="false" outlineLevel="0" collapsed="false">
      <c r="A96" s="28"/>
      <c r="B96" s="29"/>
      <c r="C96" s="29"/>
      <c r="D96" s="29"/>
      <c r="E96" s="29"/>
    </row>
    <row r="97" customFormat="false" ht="15" hidden="false" customHeight="false" outlineLevel="0" collapsed="false">
      <c r="A97" s="28"/>
      <c r="B97" s="29"/>
      <c r="C97" s="29"/>
      <c r="D97" s="29"/>
      <c r="E97" s="29"/>
    </row>
    <row r="98" customFormat="false" ht="15" hidden="false" customHeight="false" outlineLevel="0" collapsed="false">
      <c r="A98" s="28"/>
      <c r="B98" s="29"/>
      <c r="C98" s="29"/>
      <c r="D98" s="29"/>
      <c r="E98" s="29"/>
    </row>
    <row r="99" customFormat="false" ht="15" hidden="false" customHeight="false" outlineLevel="0" collapsed="false">
      <c r="A99" s="28"/>
      <c r="B99" s="29"/>
      <c r="C99" s="29"/>
      <c r="D99" s="29"/>
      <c r="E99" s="29"/>
    </row>
    <row r="100" customFormat="false" ht="15" hidden="false" customHeight="false" outlineLevel="0" collapsed="false">
      <c r="A100" s="28"/>
      <c r="B100" s="29"/>
      <c r="C100" s="29"/>
      <c r="D100" s="29"/>
      <c r="E100" s="29"/>
    </row>
    <row r="101" customFormat="false" ht="15" hidden="false" customHeight="false" outlineLevel="0" collapsed="false">
      <c r="A101" s="28"/>
      <c r="B101" s="29"/>
      <c r="C101" s="29"/>
      <c r="D101" s="29"/>
      <c r="E101" s="29"/>
    </row>
    <row r="102" customFormat="false" ht="15" hidden="false" customHeight="false" outlineLevel="0" collapsed="false">
      <c r="A102" s="28"/>
      <c r="B102" s="29"/>
      <c r="C102" s="29"/>
      <c r="D102" s="29"/>
      <c r="E102" s="29"/>
    </row>
    <row r="103" customFormat="false" ht="15" hidden="false" customHeight="false" outlineLevel="0" collapsed="false">
      <c r="A103" s="28"/>
      <c r="B103" s="29"/>
      <c r="C103" s="29"/>
      <c r="D103" s="29"/>
      <c r="E103" s="29"/>
    </row>
    <row r="104" customFormat="false" ht="15" hidden="false" customHeight="false" outlineLevel="0" collapsed="false">
      <c r="A104" s="28"/>
      <c r="B104" s="29"/>
      <c r="C104" s="29"/>
      <c r="D104" s="29"/>
      <c r="E104" s="29"/>
    </row>
    <row r="105" customFormat="false" ht="15" hidden="false" customHeight="false" outlineLevel="0" collapsed="false">
      <c r="A105" s="28"/>
      <c r="B105" s="29"/>
      <c r="C105" s="29"/>
      <c r="D105" s="29"/>
      <c r="E105" s="29"/>
    </row>
    <row r="106" customFormat="false" ht="15" hidden="false" customHeight="false" outlineLevel="0" collapsed="false">
      <c r="A106" s="28"/>
      <c r="B106" s="29"/>
      <c r="C106" s="29"/>
      <c r="D106" s="29"/>
      <c r="E106" s="29"/>
    </row>
    <row r="107" customFormat="false" ht="15" hidden="false" customHeight="false" outlineLevel="0" collapsed="false">
      <c r="A107" s="28"/>
      <c r="B107" s="29"/>
      <c r="C107" s="29"/>
      <c r="D107" s="29"/>
      <c r="E107" s="29"/>
    </row>
    <row r="108" customFormat="false" ht="15" hidden="false" customHeight="false" outlineLevel="0" collapsed="false">
      <c r="A108" s="28"/>
      <c r="B108" s="29"/>
      <c r="C108" s="29"/>
      <c r="D108" s="29"/>
      <c r="E108" s="29"/>
    </row>
    <row r="109" customFormat="false" ht="15" hidden="false" customHeight="false" outlineLevel="0" collapsed="false">
      <c r="A109" s="28"/>
      <c r="B109" s="29"/>
      <c r="C109" s="29"/>
      <c r="D109" s="29"/>
      <c r="E109" s="29"/>
    </row>
    <row r="110" customFormat="false" ht="15" hidden="false" customHeight="false" outlineLevel="0" collapsed="false">
      <c r="A110" s="28"/>
      <c r="B110" s="29"/>
      <c r="C110" s="29"/>
      <c r="D110" s="29"/>
      <c r="E110" s="29"/>
    </row>
    <row r="111" customFormat="false" ht="15" hidden="false" customHeight="false" outlineLevel="0" collapsed="false">
      <c r="A111" s="28"/>
      <c r="B111" s="29"/>
      <c r="C111" s="29"/>
      <c r="D111" s="29"/>
      <c r="E111" s="29"/>
    </row>
    <row r="112" customFormat="false" ht="15" hidden="false" customHeight="false" outlineLevel="0" collapsed="false">
      <c r="A112" s="28"/>
      <c r="B112" s="29"/>
      <c r="C112" s="29"/>
      <c r="D112" s="29"/>
      <c r="E112" s="29"/>
    </row>
    <row r="113" customFormat="false" ht="15" hidden="false" customHeight="false" outlineLevel="0" collapsed="false">
      <c r="A113" s="28"/>
      <c r="B113" s="29"/>
      <c r="C113" s="29"/>
      <c r="D113" s="29"/>
      <c r="E113" s="29"/>
    </row>
    <row r="114" customFormat="false" ht="15" hidden="false" customHeight="false" outlineLevel="0" collapsed="false">
      <c r="A114" s="28"/>
      <c r="B114" s="29"/>
      <c r="C114" s="29"/>
      <c r="D114" s="29"/>
      <c r="E114" s="29"/>
    </row>
    <row r="115" customFormat="false" ht="15" hidden="false" customHeight="false" outlineLevel="0" collapsed="false">
      <c r="A115" s="28"/>
      <c r="B115" s="29"/>
      <c r="C115" s="29"/>
      <c r="D115" s="29"/>
      <c r="E115" s="29"/>
    </row>
    <row r="116" customFormat="false" ht="15" hidden="false" customHeight="false" outlineLevel="0" collapsed="false">
      <c r="A116" s="28"/>
      <c r="B116" s="29"/>
      <c r="C116" s="29"/>
      <c r="D116" s="29"/>
      <c r="E116" s="29"/>
    </row>
    <row r="117" customFormat="false" ht="15" hidden="false" customHeight="false" outlineLevel="0" collapsed="false">
      <c r="A117" s="28"/>
      <c r="B117" s="29"/>
      <c r="C117" s="29"/>
      <c r="D117" s="29"/>
      <c r="E117" s="29"/>
    </row>
    <row r="118" customFormat="false" ht="15" hidden="false" customHeight="false" outlineLevel="0" collapsed="false">
      <c r="A118" s="28"/>
      <c r="B118" s="29"/>
      <c r="C118" s="29"/>
      <c r="D118" s="29"/>
      <c r="E118" s="29"/>
    </row>
    <row r="119" customFormat="false" ht="15" hidden="false" customHeight="false" outlineLevel="0" collapsed="false">
      <c r="A119" s="28"/>
      <c r="B119" s="29"/>
      <c r="C119" s="29"/>
      <c r="D119" s="29"/>
      <c r="E119" s="29"/>
    </row>
    <row r="120" customFormat="false" ht="15" hidden="false" customHeight="false" outlineLevel="0" collapsed="false">
      <c r="A120" s="28"/>
      <c r="B120" s="29"/>
      <c r="C120" s="29"/>
      <c r="D120" s="29"/>
      <c r="E120" s="29"/>
    </row>
    <row r="121" customFormat="false" ht="15" hidden="false" customHeight="false" outlineLevel="0" collapsed="false">
      <c r="A121" s="28"/>
      <c r="B121" s="29"/>
      <c r="C121" s="29"/>
      <c r="D121" s="29"/>
      <c r="E121" s="29"/>
    </row>
    <row r="122" customFormat="false" ht="15" hidden="false" customHeight="false" outlineLevel="0" collapsed="false">
      <c r="A122" s="28"/>
      <c r="B122" s="29"/>
      <c r="C122" s="29"/>
      <c r="D122" s="29"/>
      <c r="E122" s="29"/>
    </row>
    <row r="123" customFormat="false" ht="15" hidden="false" customHeight="false" outlineLevel="0" collapsed="false">
      <c r="A123" s="28"/>
      <c r="B123" s="29"/>
      <c r="C123" s="29"/>
      <c r="D123" s="29"/>
      <c r="E123" s="29"/>
    </row>
    <row r="124" customFormat="false" ht="15" hidden="false" customHeight="false" outlineLevel="0" collapsed="false">
      <c r="A124" s="28"/>
      <c r="B124" s="29"/>
      <c r="C124" s="29"/>
      <c r="D124" s="29"/>
      <c r="E124" s="29"/>
    </row>
    <row r="125" customFormat="false" ht="15" hidden="false" customHeight="false" outlineLevel="0" collapsed="false">
      <c r="A125" s="28"/>
      <c r="B125" s="29"/>
      <c r="C125" s="29"/>
      <c r="D125" s="29"/>
      <c r="E125" s="29"/>
    </row>
    <row r="126" customFormat="false" ht="15" hidden="false" customHeight="false" outlineLevel="0" collapsed="false">
      <c r="A126" s="28"/>
      <c r="B126" s="29"/>
      <c r="C126" s="29"/>
      <c r="D126" s="29"/>
      <c r="E126" s="29"/>
    </row>
    <row r="127" customFormat="false" ht="15" hidden="false" customHeight="false" outlineLevel="0" collapsed="false">
      <c r="A127" s="28"/>
      <c r="B127" s="29"/>
      <c r="C127" s="29"/>
      <c r="D127" s="29"/>
      <c r="E127" s="29"/>
    </row>
    <row r="128" customFormat="false" ht="15" hidden="false" customHeight="false" outlineLevel="0" collapsed="false">
      <c r="A128" s="28"/>
      <c r="B128" s="29"/>
      <c r="C128" s="29"/>
      <c r="D128" s="29"/>
      <c r="E128" s="29"/>
    </row>
    <row r="129" customFormat="false" ht="15" hidden="false" customHeight="false" outlineLevel="0" collapsed="false">
      <c r="A129" s="28"/>
      <c r="B129" s="29"/>
      <c r="C129" s="29"/>
      <c r="D129" s="29"/>
      <c r="E129" s="29"/>
    </row>
    <row r="130" customFormat="false" ht="15" hidden="false" customHeight="false" outlineLevel="0" collapsed="false">
      <c r="A130" s="28"/>
      <c r="B130" s="29"/>
      <c r="C130" s="29"/>
      <c r="D130" s="29"/>
      <c r="E130" s="29"/>
    </row>
    <row r="131" customFormat="false" ht="15" hidden="false" customHeight="false" outlineLevel="0" collapsed="false">
      <c r="A131" s="28"/>
      <c r="B131" s="29"/>
      <c r="C131" s="29"/>
      <c r="D131" s="29"/>
      <c r="E131" s="29"/>
    </row>
    <row r="132" customFormat="false" ht="15" hidden="false" customHeight="false" outlineLevel="0" collapsed="false">
      <c r="A132" s="28"/>
      <c r="B132" s="29"/>
      <c r="C132" s="29"/>
      <c r="D132" s="29"/>
      <c r="E132" s="29"/>
    </row>
    <row r="133" customFormat="false" ht="15" hidden="false" customHeight="false" outlineLevel="0" collapsed="false">
      <c r="A133" s="28"/>
      <c r="B133" s="29"/>
      <c r="C133" s="29"/>
      <c r="D133" s="29"/>
      <c r="E133" s="29"/>
    </row>
    <row r="134" customFormat="false" ht="15" hidden="false" customHeight="false" outlineLevel="0" collapsed="false">
      <c r="A134" s="28"/>
      <c r="B134" s="29"/>
      <c r="C134" s="29"/>
      <c r="D134" s="29"/>
      <c r="E134" s="29"/>
    </row>
    <row r="135" customFormat="false" ht="15" hidden="false" customHeight="false" outlineLevel="0" collapsed="false">
      <c r="A135" s="28"/>
      <c r="B135" s="29"/>
      <c r="C135" s="29"/>
      <c r="D135" s="29"/>
      <c r="E135" s="29"/>
    </row>
    <row r="136" customFormat="false" ht="15" hidden="false" customHeight="false" outlineLevel="0" collapsed="false">
      <c r="A136" s="28"/>
      <c r="B136" s="29"/>
      <c r="C136" s="29"/>
      <c r="D136" s="29"/>
      <c r="E136" s="29"/>
    </row>
    <row r="137" customFormat="false" ht="15" hidden="false" customHeight="false" outlineLevel="0" collapsed="false">
      <c r="A137" s="28"/>
      <c r="B137" s="29"/>
      <c r="C137" s="29"/>
      <c r="D137" s="29"/>
      <c r="E137" s="29"/>
    </row>
    <row r="138" customFormat="false" ht="15" hidden="false" customHeight="false" outlineLevel="0" collapsed="false">
      <c r="A138" s="28"/>
      <c r="B138" s="29"/>
      <c r="C138" s="29"/>
      <c r="D138" s="29"/>
      <c r="E138" s="29"/>
    </row>
    <row r="139" customFormat="false" ht="15" hidden="false" customHeight="false" outlineLevel="0" collapsed="false">
      <c r="A139" s="28"/>
      <c r="B139" s="29"/>
      <c r="C139" s="29"/>
      <c r="D139" s="29"/>
      <c r="E139" s="29"/>
    </row>
    <row r="140" customFormat="false" ht="15" hidden="false" customHeight="false" outlineLevel="0" collapsed="false">
      <c r="A140" s="28"/>
      <c r="B140" s="29"/>
      <c r="C140" s="29"/>
      <c r="D140" s="29"/>
      <c r="E140" s="29"/>
    </row>
    <row r="141" customFormat="false" ht="15" hidden="false" customHeight="false" outlineLevel="0" collapsed="false">
      <c r="A141" s="28"/>
      <c r="B141" s="29"/>
      <c r="C141" s="29"/>
      <c r="D141" s="29"/>
      <c r="E141" s="29"/>
    </row>
    <row r="142" customFormat="false" ht="15" hidden="false" customHeight="false" outlineLevel="0" collapsed="false">
      <c r="A142" s="28"/>
      <c r="B142" s="29"/>
      <c r="C142" s="29"/>
      <c r="D142" s="29"/>
      <c r="E142" s="29"/>
    </row>
    <row r="143" customFormat="false" ht="15" hidden="false" customHeight="false" outlineLevel="0" collapsed="false">
      <c r="A143" s="28"/>
      <c r="B143" s="29"/>
      <c r="C143" s="29"/>
      <c r="D143" s="29"/>
      <c r="E143" s="29"/>
    </row>
    <row r="144" customFormat="false" ht="15" hidden="false" customHeight="false" outlineLevel="0" collapsed="false">
      <c r="A144" s="28"/>
      <c r="B144" s="29"/>
      <c r="C144" s="29"/>
      <c r="D144" s="29"/>
      <c r="E144" s="29"/>
    </row>
    <row r="145" customFormat="false" ht="15" hidden="false" customHeight="false" outlineLevel="0" collapsed="false">
      <c r="A145" s="28"/>
      <c r="B145" s="29"/>
      <c r="C145" s="29"/>
      <c r="D145" s="29"/>
      <c r="E145" s="29"/>
    </row>
    <row r="146" customFormat="false" ht="15" hidden="false" customHeight="false" outlineLevel="0" collapsed="false">
      <c r="A146" s="28"/>
      <c r="B146" s="29"/>
      <c r="C146" s="29"/>
      <c r="D146" s="29"/>
      <c r="E146" s="29"/>
    </row>
    <row r="147" customFormat="false" ht="15" hidden="false" customHeight="false" outlineLevel="0" collapsed="false">
      <c r="A147" s="28"/>
      <c r="B147" s="29"/>
      <c r="C147" s="29"/>
      <c r="D147" s="29"/>
      <c r="E147" s="29"/>
    </row>
    <row r="148" customFormat="false" ht="15" hidden="false" customHeight="false" outlineLevel="0" collapsed="false">
      <c r="A148" s="28"/>
      <c r="B148" s="29"/>
      <c r="C148" s="29"/>
      <c r="D148" s="29"/>
      <c r="E148" s="29"/>
    </row>
    <row r="149" customFormat="false" ht="15" hidden="false" customHeight="false" outlineLevel="0" collapsed="false">
      <c r="A149" s="28"/>
      <c r="B149" s="29"/>
      <c r="C149" s="29"/>
      <c r="D149" s="29"/>
      <c r="E149" s="29"/>
    </row>
    <row r="150" customFormat="false" ht="15" hidden="false" customHeight="false" outlineLevel="0" collapsed="false">
      <c r="A150" s="28"/>
      <c r="B150" s="29"/>
      <c r="C150" s="29"/>
      <c r="D150" s="29"/>
      <c r="E150" s="29"/>
    </row>
    <row r="151" customFormat="false" ht="15" hidden="false" customHeight="false" outlineLevel="0" collapsed="false">
      <c r="A151" s="28"/>
      <c r="B151" s="29"/>
      <c r="C151" s="29"/>
      <c r="D151" s="29"/>
      <c r="E151" s="29"/>
    </row>
    <row r="152" customFormat="false" ht="15" hidden="false" customHeight="false" outlineLevel="0" collapsed="false">
      <c r="A152" s="28"/>
      <c r="B152" s="29"/>
      <c r="C152" s="29"/>
      <c r="D152" s="29"/>
      <c r="E152" s="29"/>
    </row>
    <row r="153" customFormat="false" ht="15" hidden="false" customHeight="false" outlineLevel="0" collapsed="false">
      <c r="A153" s="28"/>
      <c r="B153" s="29"/>
      <c r="C153" s="29"/>
      <c r="D153" s="29"/>
      <c r="E153" s="29"/>
    </row>
    <row r="154" customFormat="false" ht="15" hidden="false" customHeight="false" outlineLevel="0" collapsed="false">
      <c r="A154" s="28"/>
      <c r="B154" s="29"/>
      <c r="C154" s="29"/>
      <c r="D154" s="29"/>
      <c r="E154" s="29"/>
    </row>
    <row r="155" customFormat="false" ht="15" hidden="false" customHeight="false" outlineLevel="0" collapsed="false">
      <c r="A155" s="28"/>
      <c r="B155" s="29"/>
      <c r="C155" s="29"/>
      <c r="D155" s="29"/>
      <c r="E155" s="29"/>
    </row>
    <row r="156" customFormat="false" ht="15" hidden="false" customHeight="false" outlineLevel="0" collapsed="false">
      <c r="A156" s="28"/>
      <c r="B156" s="29"/>
      <c r="C156" s="29"/>
      <c r="D156" s="29"/>
      <c r="E156" s="29"/>
    </row>
    <row r="157" customFormat="false" ht="15" hidden="false" customHeight="false" outlineLevel="0" collapsed="false">
      <c r="A157" s="28"/>
      <c r="B157" s="29"/>
      <c r="C157" s="29"/>
      <c r="D157" s="29"/>
      <c r="E157" s="29"/>
    </row>
    <row r="158" customFormat="false" ht="15" hidden="false" customHeight="false" outlineLevel="0" collapsed="false">
      <c r="A158" s="28"/>
      <c r="B158" s="29"/>
      <c r="C158" s="29"/>
      <c r="D158" s="29"/>
      <c r="E158" s="29"/>
    </row>
    <row r="159" customFormat="false" ht="15" hidden="false" customHeight="false" outlineLevel="0" collapsed="false">
      <c r="A159" s="28"/>
      <c r="B159" s="29"/>
      <c r="C159" s="29"/>
      <c r="D159" s="29"/>
      <c r="E159" s="29"/>
    </row>
    <row r="160" customFormat="false" ht="15" hidden="false" customHeight="false" outlineLevel="0" collapsed="false">
      <c r="A160" s="28"/>
      <c r="B160" s="29"/>
      <c r="C160" s="29"/>
      <c r="D160" s="29"/>
      <c r="E160" s="29"/>
    </row>
    <row r="161" customFormat="false" ht="15" hidden="false" customHeight="false" outlineLevel="0" collapsed="false">
      <c r="A161" s="28"/>
      <c r="B161" s="29"/>
      <c r="C161" s="29"/>
      <c r="D161" s="29"/>
      <c r="E161" s="29"/>
    </row>
    <row r="162" customFormat="false" ht="15" hidden="false" customHeight="false" outlineLevel="0" collapsed="false">
      <c r="A162" s="28"/>
      <c r="B162" s="29"/>
      <c r="C162" s="29"/>
      <c r="D162" s="29"/>
      <c r="E162" s="29"/>
    </row>
    <row r="163" customFormat="false" ht="15" hidden="false" customHeight="false" outlineLevel="0" collapsed="false">
      <c r="A163" s="28"/>
      <c r="B163" s="29"/>
      <c r="C163" s="29"/>
      <c r="D163" s="29"/>
      <c r="E163" s="29"/>
    </row>
    <row r="164" customFormat="false" ht="15" hidden="false" customHeight="false" outlineLevel="0" collapsed="false">
      <c r="A164" s="28"/>
      <c r="B164" s="29"/>
      <c r="C164" s="29"/>
      <c r="D164" s="29"/>
      <c r="E164" s="29"/>
    </row>
    <row r="165" customFormat="false" ht="15" hidden="false" customHeight="false" outlineLevel="0" collapsed="false">
      <c r="A165" s="28"/>
      <c r="B165" s="29"/>
      <c r="C165" s="29"/>
      <c r="D165" s="29"/>
      <c r="E165" s="29"/>
    </row>
    <row r="166" customFormat="false" ht="15" hidden="false" customHeight="false" outlineLevel="0" collapsed="false">
      <c r="A166" s="28"/>
      <c r="B166" s="29"/>
      <c r="C166" s="29"/>
      <c r="D166" s="29"/>
      <c r="E166" s="29"/>
    </row>
    <row r="167" customFormat="false" ht="15" hidden="false" customHeight="false" outlineLevel="0" collapsed="false">
      <c r="A167" s="28"/>
      <c r="B167" s="29"/>
      <c r="C167" s="29"/>
      <c r="D167" s="29"/>
      <c r="E167" s="29"/>
    </row>
    <row r="168" customFormat="false" ht="15" hidden="false" customHeight="false" outlineLevel="0" collapsed="false">
      <c r="A168" s="28"/>
      <c r="B168" s="29"/>
      <c r="C168" s="29"/>
      <c r="D168" s="29"/>
      <c r="E168" s="29"/>
    </row>
    <row r="169" customFormat="false" ht="15" hidden="false" customHeight="false" outlineLevel="0" collapsed="false">
      <c r="A169" s="28"/>
      <c r="B169" s="29"/>
      <c r="C169" s="29"/>
      <c r="D169" s="29"/>
      <c r="E169" s="29"/>
    </row>
    <row r="170" customFormat="false" ht="15" hidden="false" customHeight="false" outlineLevel="0" collapsed="false">
      <c r="A170" s="28"/>
      <c r="B170" s="29"/>
      <c r="C170" s="29"/>
      <c r="D170" s="29"/>
      <c r="E170" s="29"/>
    </row>
    <row r="171" customFormat="false" ht="15" hidden="false" customHeight="false" outlineLevel="0" collapsed="false">
      <c r="A171" s="28"/>
      <c r="B171" s="29"/>
      <c r="C171" s="29"/>
      <c r="D171" s="29"/>
      <c r="E171" s="29"/>
    </row>
    <row r="172" customFormat="false" ht="15" hidden="false" customHeight="false" outlineLevel="0" collapsed="false">
      <c r="A172" s="28"/>
      <c r="B172" s="29"/>
      <c r="C172" s="29"/>
      <c r="D172" s="29"/>
      <c r="E172" s="29"/>
    </row>
    <row r="173" customFormat="false" ht="15" hidden="false" customHeight="false" outlineLevel="0" collapsed="false">
      <c r="A173" s="28"/>
      <c r="B173" s="29"/>
      <c r="C173" s="29"/>
      <c r="D173" s="29"/>
      <c r="E173" s="29"/>
    </row>
    <row r="174" customFormat="false" ht="15" hidden="false" customHeight="false" outlineLevel="0" collapsed="false">
      <c r="A174" s="28"/>
      <c r="B174" s="29"/>
      <c r="C174" s="29"/>
      <c r="D174" s="29"/>
      <c r="E174" s="29"/>
    </row>
    <row r="175" customFormat="false" ht="15" hidden="false" customHeight="false" outlineLevel="0" collapsed="false">
      <c r="A175" s="28"/>
      <c r="B175" s="29"/>
      <c r="C175" s="29"/>
      <c r="D175" s="29"/>
      <c r="E175" s="29"/>
    </row>
    <row r="176" customFormat="false" ht="15" hidden="false" customHeight="false" outlineLevel="0" collapsed="false">
      <c r="A176" s="28"/>
      <c r="B176" s="29"/>
      <c r="C176" s="29"/>
      <c r="D176" s="29"/>
      <c r="E176" s="29"/>
    </row>
    <row r="177" customFormat="false" ht="15" hidden="false" customHeight="false" outlineLevel="0" collapsed="false">
      <c r="A177" s="28"/>
      <c r="B177" s="29"/>
      <c r="C177" s="29"/>
      <c r="D177" s="29"/>
      <c r="E177" s="29"/>
    </row>
    <row r="178" customFormat="false" ht="15" hidden="false" customHeight="false" outlineLevel="0" collapsed="false">
      <c r="A178" s="28"/>
      <c r="B178" s="29"/>
      <c r="C178" s="29"/>
      <c r="D178" s="29"/>
      <c r="E178" s="29"/>
    </row>
    <row r="179" customFormat="false" ht="15" hidden="false" customHeight="false" outlineLevel="0" collapsed="false">
      <c r="A179" s="28"/>
      <c r="B179" s="29"/>
      <c r="C179" s="29"/>
      <c r="D179" s="29"/>
      <c r="E179" s="29"/>
    </row>
    <row r="180" customFormat="false" ht="15" hidden="false" customHeight="false" outlineLevel="0" collapsed="false">
      <c r="A180" s="28"/>
      <c r="B180" s="29"/>
      <c r="C180" s="29"/>
      <c r="D180" s="29"/>
      <c r="E180" s="29"/>
    </row>
    <row r="181" customFormat="false" ht="15" hidden="false" customHeight="false" outlineLevel="0" collapsed="false">
      <c r="A181" s="28"/>
      <c r="B181" s="29"/>
      <c r="C181" s="29"/>
      <c r="D181" s="29"/>
      <c r="E181" s="29"/>
    </row>
    <row r="182" customFormat="false" ht="15" hidden="false" customHeight="false" outlineLevel="0" collapsed="false">
      <c r="A182" s="28"/>
      <c r="B182" s="29"/>
      <c r="C182" s="29"/>
      <c r="D182" s="29"/>
      <c r="E182" s="29"/>
    </row>
    <row r="183" customFormat="false" ht="15" hidden="false" customHeight="false" outlineLevel="0" collapsed="false">
      <c r="A183" s="28"/>
      <c r="B183" s="29"/>
      <c r="C183" s="29"/>
      <c r="D183" s="29"/>
      <c r="E183" s="29"/>
    </row>
    <row r="184" customFormat="false" ht="15" hidden="false" customHeight="false" outlineLevel="0" collapsed="false">
      <c r="A184" s="28"/>
      <c r="B184" s="29"/>
      <c r="C184" s="29"/>
      <c r="D184" s="29"/>
      <c r="E184" s="29"/>
    </row>
    <row r="185" customFormat="false" ht="15" hidden="false" customHeight="false" outlineLevel="0" collapsed="false">
      <c r="A185" s="28"/>
      <c r="B185" s="29"/>
      <c r="C185" s="29"/>
      <c r="D185" s="29"/>
      <c r="E185" s="29"/>
    </row>
    <row r="186" customFormat="false" ht="15" hidden="false" customHeight="false" outlineLevel="0" collapsed="false">
      <c r="A186" s="28"/>
      <c r="B186" s="29"/>
      <c r="C186" s="29"/>
      <c r="D186" s="29"/>
      <c r="E186" s="29"/>
    </row>
    <row r="187" customFormat="false" ht="15" hidden="false" customHeight="false" outlineLevel="0" collapsed="false">
      <c r="A187" s="28"/>
      <c r="B187" s="29"/>
      <c r="C187" s="29"/>
      <c r="D187" s="29"/>
      <c r="E187" s="29"/>
    </row>
    <row r="188" customFormat="false" ht="15" hidden="false" customHeight="false" outlineLevel="0" collapsed="false">
      <c r="A188" s="28"/>
      <c r="B188" s="29"/>
      <c r="C188" s="29"/>
      <c r="D188" s="29"/>
      <c r="E188" s="29"/>
    </row>
    <row r="189" customFormat="false" ht="15" hidden="false" customHeight="false" outlineLevel="0" collapsed="false">
      <c r="A189" s="28"/>
      <c r="B189" s="29"/>
      <c r="C189" s="29"/>
      <c r="D189" s="29"/>
      <c r="E189" s="29"/>
    </row>
    <row r="190" customFormat="false" ht="15" hidden="false" customHeight="false" outlineLevel="0" collapsed="false">
      <c r="A190" s="28"/>
      <c r="B190" s="29"/>
      <c r="C190" s="29"/>
      <c r="D190" s="29"/>
      <c r="E190" s="29"/>
    </row>
    <row r="191" customFormat="false" ht="15" hidden="false" customHeight="false" outlineLevel="0" collapsed="false">
      <c r="A191" s="28"/>
      <c r="B191" s="29"/>
      <c r="C191" s="29"/>
      <c r="D191" s="29"/>
      <c r="E191" s="29"/>
    </row>
    <row r="192" customFormat="false" ht="15" hidden="false" customHeight="false" outlineLevel="0" collapsed="false">
      <c r="A192" s="28"/>
      <c r="B192" s="29"/>
      <c r="C192" s="29"/>
      <c r="D192" s="29"/>
      <c r="E192" s="29"/>
    </row>
    <row r="193" customFormat="false" ht="15" hidden="false" customHeight="false" outlineLevel="0" collapsed="false">
      <c r="A193" s="28"/>
      <c r="B193" s="29"/>
      <c r="C193" s="29"/>
      <c r="D193" s="29"/>
      <c r="E193" s="29"/>
    </row>
    <row r="194" customFormat="false" ht="15" hidden="false" customHeight="false" outlineLevel="0" collapsed="false">
      <c r="A194" s="28"/>
      <c r="B194" s="29"/>
      <c r="C194" s="29"/>
      <c r="D194" s="29"/>
      <c r="E194" s="29"/>
    </row>
    <row r="195" customFormat="false" ht="15" hidden="false" customHeight="false" outlineLevel="0" collapsed="false">
      <c r="A195" s="28"/>
      <c r="B195" s="29"/>
      <c r="C195" s="29"/>
      <c r="D195" s="29"/>
      <c r="E195" s="29"/>
    </row>
    <row r="196" customFormat="false" ht="15" hidden="false" customHeight="false" outlineLevel="0" collapsed="false">
      <c r="A196" s="28"/>
      <c r="B196" s="29"/>
      <c r="C196" s="29"/>
      <c r="D196" s="29"/>
      <c r="E196" s="29"/>
    </row>
    <row r="197" customFormat="false" ht="15" hidden="false" customHeight="false" outlineLevel="0" collapsed="false">
      <c r="A197" s="28"/>
      <c r="B197" s="29"/>
      <c r="C197" s="29"/>
      <c r="D197" s="29"/>
      <c r="E197" s="29"/>
    </row>
    <row r="198" customFormat="false" ht="15" hidden="false" customHeight="false" outlineLevel="0" collapsed="false">
      <c r="A198" s="28"/>
      <c r="B198" s="29"/>
      <c r="C198" s="29"/>
      <c r="D198" s="29"/>
      <c r="E198" s="29"/>
    </row>
    <row r="199" customFormat="false" ht="15" hidden="false" customHeight="false" outlineLevel="0" collapsed="false">
      <c r="A199" s="28"/>
      <c r="B199" s="29"/>
      <c r="C199" s="29"/>
      <c r="D199" s="29"/>
      <c r="E199" s="29"/>
    </row>
    <row r="200" customFormat="false" ht="15" hidden="false" customHeight="false" outlineLevel="0" collapsed="false">
      <c r="A200" s="28"/>
      <c r="B200" s="29"/>
      <c r="C200" s="29"/>
      <c r="D200" s="29"/>
      <c r="E200" s="29"/>
    </row>
    <row r="201" customFormat="false" ht="15" hidden="false" customHeight="false" outlineLevel="0" collapsed="false">
      <c r="A201" s="28"/>
      <c r="B201" s="29"/>
      <c r="C201" s="29"/>
      <c r="D201" s="29"/>
      <c r="E201" s="29"/>
    </row>
    <row r="202" customFormat="false" ht="15" hidden="false" customHeight="false" outlineLevel="0" collapsed="false">
      <c r="A202" s="28"/>
      <c r="B202" s="29"/>
      <c r="C202" s="29"/>
      <c r="D202" s="29"/>
      <c r="E202" s="29"/>
    </row>
    <row r="203" customFormat="false" ht="15" hidden="false" customHeight="false" outlineLevel="0" collapsed="false">
      <c r="A203" s="28"/>
      <c r="B203" s="29"/>
      <c r="C203" s="29"/>
      <c r="D203" s="29"/>
      <c r="E203" s="29"/>
    </row>
    <row r="204" customFormat="false" ht="15" hidden="false" customHeight="false" outlineLevel="0" collapsed="false">
      <c r="A204" s="28"/>
      <c r="B204" s="29"/>
      <c r="C204" s="29"/>
      <c r="D204" s="29"/>
      <c r="E204" s="29"/>
    </row>
    <row r="205" customFormat="false" ht="15" hidden="false" customHeight="false" outlineLevel="0" collapsed="false">
      <c r="A205" s="28"/>
      <c r="B205" s="29"/>
      <c r="C205" s="29"/>
      <c r="D205" s="29"/>
      <c r="E205" s="29"/>
    </row>
    <row r="206" customFormat="false" ht="15" hidden="false" customHeight="false" outlineLevel="0" collapsed="false">
      <c r="A206" s="28"/>
      <c r="B206" s="29"/>
      <c r="C206" s="29"/>
      <c r="D206" s="29"/>
      <c r="E206" s="29"/>
    </row>
    <row r="207" customFormat="false" ht="15" hidden="false" customHeight="false" outlineLevel="0" collapsed="false">
      <c r="A207" s="28"/>
      <c r="B207" s="29"/>
      <c r="C207" s="29"/>
      <c r="D207" s="29"/>
      <c r="E207" s="29"/>
    </row>
    <row r="208" customFormat="false" ht="15" hidden="false" customHeight="false" outlineLevel="0" collapsed="false">
      <c r="A208" s="28"/>
      <c r="B208" s="29"/>
      <c r="C208" s="29"/>
      <c r="D208" s="29"/>
      <c r="E208" s="29"/>
    </row>
    <row r="209" customFormat="false" ht="15" hidden="false" customHeight="false" outlineLevel="0" collapsed="false">
      <c r="A209" s="28"/>
      <c r="B209" s="29"/>
      <c r="C209" s="29"/>
      <c r="D209" s="29"/>
      <c r="E209" s="29"/>
    </row>
    <row r="210" customFormat="false" ht="15" hidden="false" customHeight="false" outlineLevel="0" collapsed="false">
      <c r="A210" s="28"/>
      <c r="B210" s="29"/>
      <c r="C210" s="29"/>
      <c r="D210" s="29"/>
      <c r="E210" s="29"/>
    </row>
    <row r="211" customFormat="false" ht="15" hidden="false" customHeight="false" outlineLevel="0" collapsed="false">
      <c r="A211" s="28"/>
      <c r="B211" s="29"/>
      <c r="C211" s="29"/>
      <c r="D211" s="29"/>
      <c r="E211" s="29"/>
    </row>
    <row r="212" customFormat="false" ht="15" hidden="false" customHeight="false" outlineLevel="0" collapsed="false">
      <c r="A212" s="28"/>
      <c r="B212" s="29"/>
      <c r="C212" s="29"/>
      <c r="D212" s="29"/>
      <c r="E212" s="29"/>
    </row>
    <row r="213" customFormat="false" ht="15" hidden="false" customHeight="false" outlineLevel="0" collapsed="false">
      <c r="A213" s="28"/>
      <c r="B213" s="29"/>
      <c r="C213" s="29"/>
      <c r="D213" s="29"/>
      <c r="E213" s="29"/>
    </row>
    <row r="214" customFormat="false" ht="15" hidden="false" customHeight="false" outlineLevel="0" collapsed="false">
      <c r="A214" s="28"/>
      <c r="B214" s="29"/>
      <c r="C214" s="29"/>
      <c r="D214" s="29"/>
      <c r="E214" s="29"/>
    </row>
    <row r="215" customFormat="false" ht="15" hidden="false" customHeight="false" outlineLevel="0" collapsed="false">
      <c r="A215" s="28"/>
      <c r="B215" s="29"/>
      <c r="C215" s="29"/>
      <c r="D215" s="29"/>
      <c r="E215" s="29"/>
    </row>
    <row r="216" customFormat="false" ht="15" hidden="false" customHeight="false" outlineLevel="0" collapsed="false">
      <c r="A216" s="28"/>
      <c r="B216" s="29"/>
      <c r="C216" s="29"/>
      <c r="D216" s="29"/>
      <c r="E216" s="29"/>
    </row>
    <row r="217" customFormat="false" ht="15" hidden="false" customHeight="false" outlineLevel="0" collapsed="false">
      <c r="A217" s="28"/>
      <c r="B217" s="29"/>
      <c r="C217" s="29"/>
      <c r="D217" s="29"/>
      <c r="E217" s="29"/>
    </row>
    <row r="218" customFormat="false" ht="15" hidden="false" customHeight="false" outlineLevel="0" collapsed="false">
      <c r="A218" s="28"/>
      <c r="B218" s="29"/>
      <c r="C218" s="29"/>
      <c r="D218" s="29"/>
      <c r="E218" s="29"/>
    </row>
    <row r="219" customFormat="false" ht="15" hidden="false" customHeight="false" outlineLevel="0" collapsed="false">
      <c r="A219" s="28"/>
      <c r="B219" s="29"/>
      <c r="C219" s="29"/>
      <c r="D219" s="29"/>
      <c r="E219" s="29"/>
    </row>
    <row r="220" customFormat="false" ht="15" hidden="false" customHeight="false" outlineLevel="0" collapsed="false">
      <c r="A220" s="28"/>
      <c r="B220" s="29"/>
      <c r="C220" s="29"/>
      <c r="D220" s="29"/>
      <c r="E220" s="29"/>
    </row>
    <row r="221" customFormat="false" ht="15" hidden="false" customHeight="false" outlineLevel="0" collapsed="false">
      <c r="A221" s="28"/>
      <c r="B221" s="29"/>
      <c r="C221" s="29"/>
      <c r="D221" s="29"/>
      <c r="E221" s="29"/>
    </row>
    <row r="222" customFormat="false" ht="15" hidden="false" customHeight="false" outlineLevel="0" collapsed="false">
      <c r="A222" s="28"/>
      <c r="B222" s="29"/>
      <c r="C222" s="29"/>
      <c r="D222" s="29"/>
      <c r="E222" s="29"/>
    </row>
    <row r="223" customFormat="false" ht="15" hidden="false" customHeight="false" outlineLevel="0" collapsed="false">
      <c r="A223" s="28"/>
      <c r="B223" s="29"/>
      <c r="C223" s="29"/>
      <c r="D223" s="29"/>
      <c r="E223" s="29"/>
    </row>
    <row r="224" customFormat="false" ht="15" hidden="false" customHeight="false" outlineLevel="0" collapsed="false">
      <c r="A224" s="28"/>
      <c r="B224" s="29"/>
      <c r="C224" s="29"/>
      <c r="D224" s="29"/>
      <c r="E224" s="29"/>
    </row>
    <row r="225" customFormat="false" ht="15" hidden="false" customHeight="false" outlineLevel="0" collapsed="false">
      <c r="A225" s="28"/>
      <c r="B225" s="29"/>
      <c r="C225" s="29"/>
      <c r="D225" s="29"/>
      <c r="E225" s="29"/>
    </row>
    <row r="226" customFormat="false" ht="15" hidden="false" customHeight="false" outlineLevel="0" collapsed="false">
      <c r="A226" s="28"/>
      <c r="B226" s="29"/>
      <c r="C226" s="29"/>
      <c r="D226" s="29"/>
      <c r="E226" s="29"/>
    </row>
    <row r="227" customFormat="false" ht="15" hidden="false" customHeight="false" outlineLevel="0" collapsed="false">
      <c r="A227" s="28"/>
      <c r="B227" s="29"/>
      <c r="C227" s="29"/>
      <c r="D227" s="29"/>
      <c r="E227" s="29"/>
    </row>
    <row r="228" customFormat="false" ht="15" hidden="false" customHeight="false" outlineLevel="0" collapsed="false">
      <c r="A228" s="28"/>
      <c r="B228" s="29"/>
      <c r="C228" s="29"/>
      <c r="D228" s="29"/>
      <c r="E228" s="29"/>
    </row>
    <row r="229" customFormat="false" ht="15" hidden="false" customHeight="false" outlineLevel="0" collapsed="false">
      <c r="A229" s="28"/>
      <c r="B229" s="29"/>
      <c r="C229" s="29"/>
      <c r="D229" s="29"/>
      <c r="E229" s="29"/>
    </row>
    <row r="230" customFormat="false" ht="15" hidden="false" customHeight="false" outlineLevel="0" collapsed="false">
      <c r="A230" s="28"/>
      <c r="B230" s="29"/>
      <c r="C230" s="29"/>
      <c r="D230" s="29"/>
      <c r="E230" s="29"/>
    </row>
    <row r="231" customFormat="false" ht="15" hidden="false" customHeight="false" outlineLevel="0" collapsed="false">
      <c r="A231" s="28"/>
      <c r="B231" s="29"/>
      <c r="C231" s="29"/>
      <c r="D231" s="29"/>
      <c r="E231" s="29"/>
    </row>
    <row r="232" customFormat="false" ht="15" hidden="false" customHeight="false" outlineLevel="0" collapsed="false">
      <c r="A232" s="28"/>
      <c r="B232" s="29"/>
      <c r="C232" s="29"/>
      <c r="D232" s="29"/>
      <c r="E232" s="29"/>
    </row>
    <row r="233" customFormat="false" ht="15" hidden="false" customHeight="false" outlineLevel="0" collapsed="false">
      <c r="A233" s="28"/>
      <c r="B233" s="29"/>
      <c r="C233" s="29"/>
      <c r="D233" s="29"/>
      <c r="E233" s="29"/>
    </row>
    <row r="234" customFormat="false" ht="15" hidden="false" customHeight="false" outlineLevel="0" collapsed="false">
      <c r="A234" s="28"/>
      <c r="B234" s="29"/>
      <c r="C234" s="29"/>
      <c r="D234" s="29"/>
      <c r="E234" s="29"/>
    </row>
    <row r="235" customFormat="false" ht="15" hidden="false" customHeight="false" outlineLevel="0" collapsed="false">
      <c r="A235" s="28"/>
      <c r="B235" s="29"/>
      <c r="C235" s="29"/>
      <c r="D235" s="29"/>
      <c r="E235" s="29"/>
    </row>
    <row r="236" customFormat="false" ht="15" hidden="false" customHeight="false" outlineLevel="0" collapsed="false">
      <c r="A236" s="28"/>
      <c r="B236" s="29"/>
      <c r="C236" s="29"/>
      <c r="D236" s="29"/>
      <c r="E236" s="29"/>
    </row>
    <row r="237" customFormat="false" ht="15" hidden="false" customHeight="false" outlineLevel="0" collapsed="false">
      <c r="A237" s="28"/>
      <c r="B237" s="29"/>
      <c r="C237" s="29"/>
      <c r="D237" s="29"/>
      <c r="E237" s="29"/>
    </row>
    <row r="238" customFormat="false" ht="15" hidden="false" customHeight="false" outlineLevel="0" collapsed="false">
      <c r="A238" s="28"/>
      <c r="B238" s="29"/>
      <c r="C238" s="29"/>
      <c r="D238" s="29"/>
      <c r="E238" s="29"/>
    </row>
    <row r="239" customFormat="false" ht="15" hidden="false" customHeight="false" outlineLevel="0" collapsed="false">
      <c r="A239" s="28"/>
      <c r="B239" s="29"/>
      <c r="C239" s="29"/>
      <c r="D239" s="29"/>
      <c r="E239" s="29"/>
    </row>
    <row r="240" customFormat="false" ht="15" hidden="false" customHeight="false" outlineLevel="0" collapsed="false">
      <c r="A240" s="28"/>
      <c r="B240" s="29"/>
      <c r="C240" s="29"/>
      <c r="D240" s="29"/>
      <c r="E240" s="29"/>
    </row>
    <row r="241" customFormat="false" ht="15" hidden="false" customHeight="false" outlineLevel="0" collapsed="false">
      <c r="A241" s="28"/>
      <c r="B241" s="29"/>
      <c r="C241" s="29"/>
      <c r="D241" s="29"/>
      <c r="E241" s="29"/>
    </row>
    <row r="242" customFormat="false" ht="15" hidden="false" customHeight="false" outlineLevel="0" collapsed="false">
      <c r="A242" s="28"/>
      <c r="B242" s="29"/>
      <c r="C242" s="29"/>
      <c r="D242" s="29"/>
      <c r="E242" s="29"/>
    </row>
    <row r="243" customFormat="false" ht="15" hidden="false" customHeight="false" outlineLevel="0" collapsed="false">
      <c r="A243" s="28"/>
      <c r="B243" s="29"/>
      <c r="C243" s="29"/>
      <c r="D243" s="29"/>
      <c r="E243" s="29"/>
    </row>
    <row r="244" customFormat="false" ht="15" hidden="false" customHeight="false" outlineLevel="0" collapsed="false">
      <c r="A244" s="28"/>
      <c r="B244" s="29"/>
      <c r="C244" s="29"/>
      <c r="D244" s="29"/>
      <c r="E244" s="29"/>
    </row>
    <row r="245" customFormat="false" ht="15" hidden="false" customHeight="false" outlineLevel="0" collapsed="false">
      <c r="A245" s="28"/>
      <c r="B245" s="29"/>
      <c r="C245" s="29"/>
      <c r="D245" s="29"/>
      <c r="E245" s="29"/>
    </row>
    <row r="246" customFormat="false" ht="15" hidden="false" customHeight="false" outlineLevel="0" collapsed="false">
      <c r="A246" s="28"/>
      <c r="B246" s="29"/>
      <c r="C246" s="29"/>
      <c r="D246" s="29"/>
      <c r="E246" s="29"/>
    </row>
    <row r="247" customFormat="false" ht="15" hidden="false" customHeight="false" outlineLevel="0" collapsed="false">
      <c r="A247" s="28"/>
      <c r="B247" s="29"/>
      <c r="C247" s="29"/>
      <c r="D247" s="29"/>
      <c r="E247" s="29"/>
    </row>
    <row r="248" customFormat="false" ht="15" hidden="false" customHeight="false" outlineLevel="0" collapsed="false">
      <c r="A248" s="28"/>
      <c r="B248" s="29"/>
      <c r="C248" s="29"/>
      <c r="D248" s="29"/>
      <c r="E248" s="29"/>
    </row>
    <row r="249" customFormat="false" ht="15" hidden="false" customHeight="false" outlineLevel="0" collapsed="false">
      <c r="A249" s="28"/>
      <c r="B249" s="29"/>
      <c r="C249" s="29"/>
      <c r="D249" s="29"/>
      <c r="E249" s="29"/>
    </row>
    <row r="250" customFormat="false" ht="15" hidden="false" customHeight="false" outlineLevel="0" collapsed="false">
      <c r="A250" s="28"/>
      <c r="B250" s="29"/>
      <c r="C250" s="29"/>
      <c r="D250" s="29"/>
      <c r="E250" s="29"/>
    </row>
    <row r="251" customFormat="false" ht="15" hidden="false" customHeight="false" outlineLevel="0" collapsed="false">
      <c r="A251" s="28"/>
      <c r="B251" s="29"/>
      <c r="C251" s="29"/>
      <c r="D251" s="29"/>
      <c r="E251" s="29"/>
    </row>
    <row r="252" customFormat="false" ht="15" hidden="false" customHeight="false" outlineLevel="0" collapsed="false">
      <c r="A252" s="28"/>
      <c r="B252" s="29"/>
      <c r="C252" s="29"/>
      <c r="D252" s="29"/>
      <c r="E252" s="29"/>
    </row>
    <row r="253" customFormat="false" ht="15" hidden="false" customHeight="false" outlineLevel="0" collapsed="false">
      <c r="A253" s="28"/>
      <c r="B253" s="29"/>
      <c r="C253" s="29"/>
      <c r="D253" s="29"/>
      <c r="E253" s="29"/>
    </row>
    <row r="254" customFormat="false" ht="15" hidden="false" customHeight="false" outlineLevel="0" collapsed="false">
      <c r="A254" s="28"/>
      <c r="B254" s="29"/>
      <c r="C254" s="29"/>
      <c r="D254" s="29"/>
      <c r="E254" s="29"/>
    </row>
    <row r="255" customFormat="false" ht="15" hidden="false" customHeight="false" outlineLevel="0" collapsed="false">
      <c r="A255" s="28"/>
      <c r="B255" s="29"/>
      <c r="C255" s="29"/>
      <c r="D255" s="29"/>
      <c r="E255" s="29"/>
    </row>
    <row r="256" customFormat="false" ht="15" hidden="false" customHeight="false" outlineLevel="0" collapsed="false">
      <c r="A256" s="28"/>
      <c r="B256" s="29"/>
      <c r="C256" s="29"/>
      <c r="D256" s="29"/>
      <c r="E256" s="29"/>
    </row>
    <row r="257" customFormat="false" ht="15" hidden="false" customHeight="false" outlineLevel="0" collapsed="false">
      <c r="A257" s="28"/>
      <c r="B257" s="29"/>
      <c r="C257" s="29"/>
      <c r="D257" s="29"/>
      <c r="E257" s="29"/>
    </row>
    <row r="258" customFormat="false" ht="15" hidden="false" customHeight="false" outlineLevel="0" collapsed="false">
      <c r="A258" s="28"/>
      <c r="B258" s="29"/>
      <c r="C258" s="29"/>
      <c r="D258" s="29"/>
      <c r="E258" s="29"/>
    </row>
    <row r="259" customFormat="false" ht="15" hidden="false" customHeight="false" outlineLevel="0" collapsed="false">
      <c r="A259" s="28"/>
      <c r="B259" s="29"/>
      <c r="C259" s="29"/>
      <c r="D259" s="29"/>
      <c r="E259" s="29"/>
    </row>
    <row r="260" customFormat="false" ht="15" hidden="false" customHeight="false" outlineLevel="0" collapsed="false">
      <c r="A260" s="28"/>
      <c r="B260" s="29"/>
      <c r="C260" s="29"/>
      <c r="D260" s="29"/>
      <c r="E260" s="29"/>
    </row>
    <row r="261" customFormat="false" ht="15" hidden="false" customHeight="false" outlineLevel="0" collapsed="false">
      <c r="A261" s="28"/>
      <c r="B261" s="29"/>
      <c r="C261" s="29"/>
      <c r="D261" s="29"/>
      <c r="E261" s="29"/>
    </row>
    <row r="262" customFormat="false" ht="15" hidden="false" customHeight="false" outlineLevel="0" collapsed="false">
      <c r="A262" s="28"/>
      <c r="B262" s="29"/>
      <c r="C262" s="29"/>
      <c r="D262" s="29"/>
      <c r="E262" s="29"/>
    </row>
    <row r="263" customFormat="false" ht="15" hidden="false" customHeight="false" outlineLevel="0" collapsed="false">
      <c r="A263" s="28"/>
      <c r="B263" s="29"/>
      <c r="C263" s="29"/>
      <c r="D263" s="29"/>
      <c r="E263" s="29"/>
    </row>
    <row r="264" customFormat="false" ht="15" hidden="false" customHeight="false" outlineLevel="0" collapsed="false">
      <c r="A264" s="28"/>
      <c r="B264" s="29"/>
      <c r="C264" s="29"/>
      <c r="D264" s="29"/>
      <c r="E264" s="29"/>
    </row>
    <row r="265" customFormat="false" ht="15" hidden="false" customHeight="false" outlineLevel="0" collapsed="false">
      <c r="A265" s="28"/>
      <c r="B265" s="29"/>
      <c r="C265" s="29"/>
      <c r="D265" s="29"/>
      <c r="E265" s="29"/>
    </row>
    <row r="266" customFormat="false" ht="15" hidden="false" customHeight="false" outlineLevel="0" collapsed="false">
      <c r="A266" s="28"/>
      <c r="B266" s="29"/>
      <c r="C266" s="29"/>
      <c r="D266" s="29"/>
      <c r="E266" s="29"/>
    </row>
    <row r="267" customFormat="false" ht="15" hidden="false" customHeight="false" outlineLevel="0" collapsed="false">
      <c r="A267" s="28"/>
      <c r="B267" s="29"/>
      <c r="C267" s="29"/>
      <c r="D267" s="29"/>
      <c r="E267" s="29"/>
    </row>
    <row r="268" customFormat="false" ht="15" hidden="false" customHeight="false" outlineLevel="0" collapsed="false">
      <c r="A268" s="28"/>
      <c r="B268" s="29"/>
      <c r="C268" s="29"/>
      <c r="D268" s="29"/>
      <c r="E268" s="29"/>
    </row>
    <row r="269" customFormat="false" ht="15" hidden="false" customHeight="false" outlineLevel="0" collapsed="false">
      <c r="A269" s="28"/>
      <c r="B269" s="29"/>
      <c r="C269" s="29"/>
      <c r="D269" s="29"/>
      <c r="E269" s="29"/>
    </row>
    <row r="270" customFormat="false" ht="15" hidden="false" customHeight="false" outlineLevel="0" collapsed="false">
      <c r="A270" s="28"/>
      <c r="B270" s="29"/>
      <c r="C270" s="29"/>
      <c r="D270" s="29"/>
      <c r="E270" s="29"/>
    </row>
    <row r="271" customFormat="false" ht="15" hidden="false" customHeight="false" outlineLevel="0" collapsed="false">
      <c r="A271" s="28"/>
      <c r="B271" s="29"/>
      <c r="C271" s="29"/>
      <c r="D271" s="29"/>
      <c r="E271" s="29"/>
    </row>
    <row r="272" customFormat="false" ht="15" hidden="false" customHeight="false" outlineLevel="0" collapsed="false">
      <c r="A272" s="28"/>
      <c r="B272" s="29"/>
      <c r="C272" s="29"/>
      <c r="D272" s="29"/>
      <c r="E272" s="29"/>
    </row>
    <row r="273" customFormat="false" ht="15" hidden="false" customHeight="false" outlineLevel="0" collapsed="false">
      <c r="A273" s="28"/>
      <c r="B273" s="29"/>
      <c r="C273" s="29"/>
      <c r="D273" s="29"/>
      <c r="E273" s="29"/>
    </row>
    <row r="274" customFormat="false" ht="15" hidden="false" customHeight="false" outlineLevel="0" collapsed="false">
      <c r="A274" s="28"/>
      <c r="B274" s="29"/>
      <c r="C274" s="29"/>
      <c r="D274" s="29"/>
      <c r="E274" s="29"/>
    </row>
    <row r="275" customFormat="false" ht="15" hidden="false" customHeight="false" outlineLevel="0" collapsed="false">
      <c r="A275" s="28"/>
      <c r="B275" s="29"/>
      <c r="C275" s="29"/>
      <c r="D275" s="29"/>
      <c r="E275" s="29"/>
    </row>
    <row r="276" customFormat="false" ht="15" hidden="false" customHeight="false" outlineLevel="0" collapsed="false">
      <c r="A276" s="28"/>
      <c r="B276" s="29"/>
      <c r="C276" s="29"/>
      <c r="D276" s="29"/>
      <c r="E276" s="29"/>
    </row>
    <row r="277" customFormat="false" ht="15" hidden="false" customHeight="false" outlineLevel="0" collapsed="false">
      <c r="A277" s="28"/>
      <c r="B277" s="29"/>
      <c r="C277" s="29"/>
      <c r="D277" s="29"/>
      <c r="E277" s="29"/>
    </row>
    <row r="278" customFormat="false" ht="15" hidden="false" customHeight="false" outlineLevel="0" collapsed="false">
      <c r="A278" s="28"/>
      <c r="B278" s="29"/>
      <c r="C278" s="29"/>
      <c r="D278" s="29"/>
      <c r="E278" s="29"/>
    </row>
    <row r="279" customFormat="false" ht="15" hidden="false" customHeight="false" outlineLevel="0" collapsed="false">
      <c r="A279" s="28"/>
      <c r="B279" s="29"/>
      <c r="C279" s="29"/>
      <c r="D279" s="29"/>
      <c r="E279" s="29"/>
    </row>
    <row r="280" customFormat="false" ht="15" hidden="false" customHeight="false" outlineLevel="0" collapsed="false">
      <c r="A280" s="28"/>
      <c r="B280" s="29"/>
      <c r="C280" s="29"/>
      <c r="D280" s="29"/>
      <c r="E280" s="29"/>
    </row>
    <row r="281" customFormat="false" ht="15" hidden="false" customHeight="false" outlineLevel="0" collapsed="false">
      <c r="A281" s="28"/>
      <c r="B281" s="29"/>
      <c r="C281" s="29"/>
      <c r="D281" s="29"/>
      <c r="E281" s="29"/>
    </row>
    <row r="282" customFormat="false" ht="15" hidden="false" customHeight="false" outlineLevel="0" collapsed="false">
      <c r="A282" s="28"/>
      <c r="B282" s="29"/>
      <c r="C282" s="29"/>
      <c r="D282" s="29"/>
      <c r="E282" s="29"/>
    </row>
    <row r="283" customFormat="false" ht="15" hidden="false" customHeight="false" outlineLevel="0" collapsed="false">
      <c r="A283" s="28"/>
      <c r="B283" s="29"/>
      <c r="C283" s="29"/>
      <c r="D283" s="29"/>
      <c r="E283" s="29"/>
    </row>
    <row r="284" customFormat="false" ht="15" hidden="false" customHeight="false" outlineLevel="0" collapsed="false">
      <c r="A284" s="28"/>
      <c r="B284" s="29"/>
      <c r="C284" s="29"/>
      <c r="D284" s="29"/>
      <c r="E284" s="29"/>
    </row>
    <row r="285" customFormat="false" ht="15" hidden="false" customHeight="false" outlineLevel="0" collapsed="false">
      <c r="A285" s="28"/>
      <c r="B285" s="29"/>
      <c r="C285" s="29"/>
      <c r="D285" s="29"/>
      <c r="E285" s="29"/>
    </row>
    <row r="286" customFormat="false" ht="15" hidden="false" customHeight="false" outlineLevel="0" collapsed="false">
      <c r="A286" s="28"/>
      <c r="B286" s="29"/>
      <c r="C286" s="29"/>
      <c r="D286" s="29"/>
      <c r="E286" s="29"/>
    </row>
    <row r="287" customFormat="false" ht="15" hidden="false" customHeight="false" outlineLevel="0" collapsed="false">
      <c r="A287" s="28"/>
      <c r="B287" s="29"/>
      <c r="C287" s="29"/>
      <c r="D287" s="29"/>
      <c r="E287" s="29"/>
    </row>
    <row r="288" customFormat="false" ht="15" hidden="false" customHeight="false" outlineLevel="0" collapsed="false">
      <c r="A288" s="28"/>
      <c r="B288" s="29"/>
      <c r="C288" s="29"/>
      <c r="D288" s="29"/>
      <c r="E288" s="29"/>
    </row>
    <row r="289" customFormat="false" ht="15" hidden="false" customHeight="false" outlineLevel="0" collapsed="false">
      <c r="A289" s="28"/>
      <c r="B289" s="29"/>
      <c r="C289" s="29"/>
      <c r="D289" s="29"/>
      <c r="E289" s="29"/>
    </row>
    <row r="290" customFormat="false" ht="15" hidden="false" customHeight="false" outlineLevel="0" collapsed="false">
      <c r="A290" s="28"/>
      <c r="B290" s="29"/>
      <c r="C290" s="29"/>
      <c r="D290" s="29"/>
      <c r="E290" s="29"/>
    </row>
    <row r="291" customFormat="false" ht="15" hidden="false" customHeight="false" outlineLevel="0" collapsed="false">
      <c r="A291" s="28"/>
      <c r="B291" s="29"/>
      <c r="C291" s="29"/>
      <c r="D291" s="29"/>
      <c r="E291" s="29"/>
    </row>
    <row r="292" customFormat="false" ht="15" hidden="false" customHeight="false" outlineLevel="0" collapsed="false">
      <c r="A292" s="28"/>
      <c r="B292" s="29"/>
      <c r="C292" s="29"/>
      <c r="D292" s="29"/>
      <c r="E292" s="29"/>
    </row>
    <row r="293" customFormat="false" ht="15" hidden="false" customHeight="false" outlineLevel="0" collapsed="false">
      <c r="A293" s="28"/>
      <c r="B293" s="29"/>
      <c r="C293" s="29"/>
      <c r="D293" s="29"/>
      <c r="E293" s="29"/>
    </row>
    <row r="294" customFormat="false" ht="15" hidden="false" customHeight="false" outlineLevel="0" collapsed="false">
      <c r="A294" s="28"/>
      <c r="B294" s="29"/>
      <c r="C294" s="29"/>
      <c r="D294" s="29"/>
      <c r="E294" s="29"/>
    </row>
    <row r="295" customFormat="false" ht="15" hidden="false" customHeight="false" outlineLevel="0" collapsed="false">
      <c r="A295" s="28"/>
      <c r="B295" s="29"/>
      <c r="C295" s="29"/>
      <c r="D295" s="29"/>
      <c r="E295" s="29"/>
    </row>
    <row r="296" customFormat="false" ht="15" hidden="false" customHeight="false" outlineLevel="0" collapsed="false">
      <c r="A296" s="28"/>
      <c r="B296" s="29"/>
      <c r="C296" s="29"/>
      <c r="D296" s="29"/>
      <c r="E296" s="29"/>
    </row>
    <row r="297" customFormat="false" ht="15" hidden="false" customHeight="false" outlineLevel="0" collapsed="false">
      <c r="A297" s="28"/>
      <c r="B297" s="29"/>
      <c r="C297" s="29"/>
      <c r="D297" s="29"/>
      <c r="E297" s="29"/>
    </row>
    <row r="298" customFormat="false" ht="15" hidden="false" customHeight="false" outlineLevel="0" collapsed="false">
      <c r="A298" s="28"/>
      <c r="B298" s="29"/>
      <c r="C298" s="29"/>
      <c r="D298" s="29"/>
      <c r="E298" s="29"/>
    </row>
    <row r="299" customFormat="false" ht="15" hidden="false" customHeight="false" outlineLevel="0" collapsed="false">
      <c r="A299" s="28"/>
      <c r="B299" s="29"/>
      <c r="C299" s="29"/>
      <c r="D299" s="29"/>
      <c r="E299" s="29"/>
    </row>
    <row r="300" customFormat="false" ht="15" hidden="false" customHeight="false" outlineLevel="0" collapsed="false">
      <c r="A300" s="28"/>
      <c r="B300" s="29"/>
      <c r="C300" s="29"/>
      <c r="D300" s="29"/>
      <c r="E300" s="29"/>
    </row>
    <row r="301" customFormat="false" ht="15" hidden="false" customHeight="false" outlineLevel="0" collapsed="false">
      <c r="A301" s="28"/>
      <c r="B301" s="29"/>
      <c r="C301" s="29"/>
      <c r="D301" s="29"/>
      <c r="E301" s="29"/>
    </row>
    <row r="302" customFormat="false" ht="15" hidden="false" customHeight="false" outlineLevel="0" collapsed="false">
      <c r="A302" s="28"/>
      <c r="B302" s="29"/>
      <c r="C302" s="29"/>
      <c r="D302" s="29"/>
      <c r="E302" s="29"/>
    </row>
    <row r="303" customFormat="false" ht="15" hidden="false" customHeight="false" outlineLevel="0" collapsed="false">
      <c r="A303" s="28"/>
      <c r="B303" s="29"/>
      <c r="C303" s="29"/>
      <c r="D303" s="29"/>
      <c r="E303" s="29"/>
    </row>
    <row r="304" customFormat="false" ht="15" hidden="false" customHeight="false" outlineLevel="0" collapsed="false">
      <c r="A304" s="28"/>
      <c r="B304" s="29"/>
      <c r="C304" s="29"/>
      <c r="D304" s="29"/>
      <c r="E304" s="29"/>
    </row>
    <row r="305" customFormat="false" ht="15" hidden="false" customHeight="false" outlineLevel="0" collapsed="false">
      <c r="A305" s="28"/>
      <c r="B305" s="29"/>
      <c r="C305" s="29"/>
      <c r="D305" s="29"/>
      <c r="E305" s="29"/>
    </row>
    <row r="306" customFormat="false" ht="15" hidden="false" customHeight="false" outlineLevel="0" collapsed="false">
      <c r="A306" s="28"/>
      <c r="B306" s="29"/>
      <c r="C306" s="29"/>
      <c r="D306" s="29"/>
      <c r="E306" s="29"/>
    </row>
    <row r="307" customFormat="false" ht="15" hidden="false" customHeight="false" outlineLevel="0" collapsed="false">
      <c r="A307" s="28"/>
      <c r="B307" s="29"/>
      <c r="C307" s="29"/>
      <c r="D307" s="29"/>
      <c r="E307" s="29"/>
    </row>
    <row r="308" customFormat="false" ht="15" hidden="false" customHeight="false" outlineLevel="0" collapsed="false">
      <c r="A308" s="28"/>
      <c r="B308" s="29"/>
      <c r="C308" s="29"/>
      <c r="D308" s="29"/>
      <c r="E308" s="29"/>
    </row>
    <row r="309" customFormat="false" ht="15" hidden="false" customHeight="false" outlineLevel="0" collapsed="false">
      <c r="A309" s="28"/>
      <c r="B309" s="29"/>
      <c r="C309" s="29"/>
      <c r="D309" s="29"/>
      <c r="E309" s="29"/>
    </row>
    <row r="310" customFormat="false" ht="15" hidden="false" customHeight="false" outlineLevel="0" collapsed="false">
      <c r="A310" s="28"/>
      <c r="B310" s="29"/>
      <c r="C310" s="29"/>
      <c r="D310" s="29"/>
      <c r="E310" s="29"/>
    </row>
    <row r="311" customFormat="false" ht="15" hidden="false" customHeight="false" outlineLevel="0" collapsed="false">
      <c r="A311" s="28"/>
      <c r="B311" s="29"/>
      <c r="C311" s="29"/>
      <c r="D311" s="29"/>
      <c r="E311" s="29"/>
    </row>
    <row r="312" customFormat="false" ht="15" hidden="false" customHeight="false" outlineLevel="0" collapsed="false">
      <c r="A312" s="28"/>
      <c r="B312" s="29"/>
      <c r="C312" s="29"/>
      <c r="D312" s="29"/>
      <c r="E312" s="29"/>
    </row>
    <row r="313" customFormat="false" ht="15" hidden="false" customHeight="false" outlineLevel="0" collapsed="false">
      <c r="A313" s="28"/>
      <c r="B313" s="29"/>
      <c r="C313" s="29"/>
      <c r="D313" s="29"/>
      <c r="E313" s="29"/>
    </row>
    <row r="314" customFormat="false" ht="15" hidden="false" customHeight="false" outlineLevel="0" collapsed="false">
      <c r="A314" s="28"/>
      <c r="B314" s="29"/>
      <c r="C314" s="29"/>
      <c r="D314" s="29"/>
      <c r="E314" s="29"/>
    </row>
    <row r="315" customFormat="false" ht="15" hidden="false" customHeight="false" outlineLevel="0" collapsed="false">
      <c r="A315" s="28"/>
      <c r="B315" s="29"/>
      <c r="C315" s="29"/>
      <c r="D315" s="29"/>
      <c r="E315" s="29"/>
    </row>
    <row r="316" customFormat="false" ht="15" hidden="false" customHeight="false" outlineLevel="0" collapsed="false">
      <c r="A316" s="28"/>
      <c r="B316" s="29"/>
      <c r="C316" s="29"/>
      <c r="D316" s="29"/>
      <c r="E316" s="29"/>
    </row>
    <row r="317" customFormat="false" ht="15" hidden="false" customHeight="false" outlineLevel="0" collapsed="false">
      <c r="A317" s="28"/>
      <c r="B317" s="29"/>
      <c r="C317" s="29"/>
      <c r="D317" s="29"/>
      <c r="E317" s="29"/>
    </row>
    <row r="318" customFormat="false" ht="15" hidden="false" customHeight="false" outlineLevel="0" collapsed="false">
      <c r="A318" s="28"/>
      <c r="B318" s="29"/>
      <c r="C318" s="29"/>
      <c r="D318" s="29"/>
      <c r="E318" s="29"/>
    </row>
    <row r="319" customFormat="false" ht="15" hidden="false" customHeight="false" outlineLevel="0" collapsed="false">
      <c r="A319" s="28"/>
      <c r="B319" s="29"/>
      <c r="C319" s="29"/>
      <c r="D319" s="29"/>
      <c r="E319" s="29"/>
    </row>
    <row r="320" customFormat="false" ht="15" hidden="false" customHeight="false" outlineLevel="0" collapsed="false">
      <c r="A320" s="28"/>
      <c r="B320" s="29"/>
      <c r="C320" s="29"/>
      <c r="D320" s="29"/>
      <c r="E320" s="29"/>
    </row>
    <row r="321" customFormat="false" ht="15" hidden="false" customHeight="false" outlineLevel="0" collapsed="false">
      <c r="A321" s="28"/>
      <c r="B321" s="29"/>
      <c r="C321" s="29"/>
      <c r="D321" s="29"/>
      <c r="E321" s="29"/>
    </row>
    <row r="322" customFormat="false" ht="15" hidden="false" customHeight="false" outlineLevel="0" collapsed="false">
      <c r="A322" s="28"/>
      <c r="B322" s="29"/>
      <c r="C322" s="29"/>
      <c r="D322" s="29"/>
      <c r="E322" s="29"/>
    </row>
    <row r="323" customFormat="false" ht="15" hidden="false" customHeight="false" outlineLevel="0" collapsed="false">
      <c r="A323" s="28"/>
      <c r="B323" s="29"/>
      <c r="C323" s="29"/>
      <c r="D323" s="29"/>
      <c r="E323" s="29"/>
    </row>
    <row r="324" customFormat="false" ht="15" hidden="false" customHeight="false" outlineLevel="0" collapsed="false">
      <c r="A324" s="28"/>
      <c r="B324" s="29"/>
      <c r="C324" s="29"/>
      <c r="D324" s="29"/>
      <c r="E324" s="29"/>
    </row>
    <row r="325" customFormat="false" ht="15" hidden="false" customHeight="false" outlineLevel="0" collapsed="false">
      <c r="A325" s="28"/>
      <c r="B325" s="29"/>
      <c r="C325" s="29"/>
      <c r="D325" s="29"/>
      <c r="E325" s="29"/>
    </row>
    <row r="326" customFormat="false" ht="15" hidden="false" customHeight="false" outlineLevel="0" collapsed="false">
      <c r="A326" s="28"/>
      <c r="B326" s="29"/>
      <c r="C326" s="29"/>
      <c r="D326" s="29"/>
      <c r="E326" s="29"/>
    </row>
    <row r="327" customFormat="false" ht="15" hidden="false" customHeight="false" outlineLevel="0" collapsed="false">
      <c r="A327" s="28"/>
      <c r="B327" s="29"/>
      <c r="C327" s="29"/>
      <c r="D327" s="29"/>
      <c r="E327" s="29"/>
    </row>
    <row r="328" customFormat="false" ht="15" hidden="false" customHeight="false" outlineLevel="0" collapsed="false">
      <c r="A328" s="28"/>
      <c r="B328" s="29"/>
      <c r="C328" s="29"/>
      <c r="D328" s="29"/>
      <c r="E328" s="29"/>
    </row>
    <row r="329" customFormat="false" ht="15" hidden="false" customHeight="false" outlineLevel="0" collapsed="false">
      <c r="A329" s="28"/>
      <c r="B329" s="29"/>
      <c r="C329" s="29"/>
      <c r="D329" s="29"/>
      <c r="E329" s="29"/>
    </row>
    <row r="330" customFormat="false" ht="15" hidden="false" customHeight="false" outlineLevel="0" collapsed="false">
      <c r="A330" s="28"/>
      <c r="B330" s="29"/>
      <c r="C330" s="29"/>
      <c r="D330" s="29"/>
      <c r="E330" s="29"/>
    </row>
    <row r="331" customFormat="false" ht="15" hidden="false" customHeight="false" outlineLevel="0" collapsed="false">
      <c r="A331" s="28"/>
      <c r="B331" s="29"/>
      <c r="C331" s="29"/>
      <c r="D331" s="29"/>
      <c r="E331" s="29"/>
    </row>
    <row r="332" customFormat="false" ht="15" hidden="false" customHeight="false" outlineLevel="0" collapsed="false">
      <c r="A332" s="28"/>
      <c r="B332" s="29"/>
      <c r="C332" s="29"/>
      <c r="D332" s="29"/>
      <c r="E332" s="29"/>
    </row>
    <row r="333" customFormat="false" ht="15" hidden="false" customHeight="false" outlineLevel="0" collapsed="false">
      <c r="A333" s="28"/>
      <c r="B333" s="29"/>
      <c r="C333" s="29"/>
      <c r="D333" s="29"/>
      <c r="E333" s="29"/>
    </row>
    <row r="334" customFormat="false" ht="15" hidden="false" customHeight="false" outlineLevel="0" collapsed="false">
      <c r="A334" s="28"/>
      <c r="B334" s="29"/>
      <c r="C334" s="29"/>
      <c r="D334" s="29"/>
      <c r="E334" s="29"/>
    </row>
    <row r="335" customFormat="false" ht="15" hidden="false" customHeight="false" outlineLevel="0" collapsed="false">
      <c r="A335" s="28"/>
      <c r="B335" s="29"/>
      <c r="C335" s="29"/>
      <c r="D335" s="29"/>
      <c r="E335" s="29"/>
    </row>
    <row r="336" customFormat="false" ht="15" hidden="false" customHeight="false" outlineLevel="0" collapsed="false">
      <c r="A336" s="28"/>
      <c r="B336" s="29"/>
      <c r="C336" s="29"/>
      <c r="D336" s="29"/>
      <c r="E336" s="29"/>
    </row>
    <row r="337" customFormat="false" ht="15" hidden="false" customHeight="false" outlineLevel="0" collapsed="false">
      <c r="A337" s="28"/>
      <c r="B337" s="29"/>
      <c r="C337" s="29"/>
      <c r="D337" s="29"/>
      <c r="E337" s="29"/>
    </row>
    <row r="338" customFormat="false" ht="15" hidden="false" customHeight="false" outlineLevel="0" collapsed="false">
      <c r="A338" s="28"/>
      <c r="B338" s="29"/>
      <c r="C338" s="29"/>
      <c r="D338" s="29"/>
      <c r="E338" s="29"/>
    </row>
    <row r="339" customFormat="false" ht="15" hidden="false" customHeight="false" outlineLevel="0" collapsed="false">
      <c r="A339" s="28"/>
      <c r="B339" s="29"/>
      <c r="C339" s="29"/>
      <c r="D339" s="29"/>
      <c r="E339" s="29"/>
    </row>
    <row r="340" customFormat="false" ht="15" hidden="false" customHeight="false" outlineLevel="0" collapsed="false">
      <c r="A340" s="28"/>
      <c r="B340" s="29"/>
      <c r="C340" s="29"/>
      <c r="D340" s="29"/>
      <c r="E340" s="29"/>
    </row>
    <row r="341" customFormat="false" ht="15" hidden="false" customHeight="false" outlineLevel="0" collapsed="false">
      <c r="A341" s="28"/>
      <c r="B341" s="29"/>
      <c r="C341" s="29"/>
      <c r="D341" s="29"/>
      <c r="E341" s="29"/>
    </row>
    <row r="342" customFormat="false" ht="15" hidden="false" customHeight="false" outlineLevel="0" collapsed="false">
      <c r="A342" s="28"/>
      <c r="B342" s="29"/>
      <c r="C342" s="29"/>
      <c r="D342" s="29"/>
      <c r="E342" s="29"/>
    </row>
    <row r="343" customFormat="false" ht="15" hidden="false" customHeight="false" outlineLevel="0" collapsed="false">
      <c r="A343" s="28"/>
      <c r="B343" s="29"/>
      <c r="C343" s="29"/>
      <c r="D343" s="29"/>
      <c r="E343" s="29"/>
    </row>
    <row r="344" customFormat="false" ht="15" hidden="false" customHeight="false" outlineLevel="0" collapsed="false">
      <c r="A344" s="28"/>
      <c r="B344" s="29"/>
      <c r="C344" s="29"/>
      <c r="D344" s="29"/>
      <c r="E344" s="29"/>
    </row>
    <row r="345" customFormat="false" ht="15" hidden="false" customHeight="false" outlineLevel="0" collapsed="false">
      <c r="A345" s="28"/>
      <c r="B345" s="29"/>
      <c r="C345" s="29"/>
      <c r="D345" s="29"/>
      <c r="E345" s="29"/>
    </row>
    <row r="346" customFormat="false" ht="15" hidden="false" customHeight="false" outlineLevel="0" collapsed="false">
      <c r="A346" s="28"/>
      <c r="B346" s="29"/>
      <c r="C346" s="29"/>
      <c r="D346" s="29"/>
      <c r="E346" s="29"/>
    </row>
    <row r="347" customFormat="false" ht="15" hidden="false" customHeight="false" outlineLevel="0" collapsed="false">
      <c r="A347" s="28"/>
      <c r="B347" s="29"/>
      <c r="C347" s="29"/>
      <c r="D347" s="29"/>
      <c r="E347" s="29"/>
    </row>
    <row r="348" customFormat="false" ht="15" hidden="false" customHeight="false" outlineLevel="0" collapsed="false">
      <c r="A348" s="28"/>
      <c r="B348" s="29"/>
      <c r="C348" s="29"/>
      <c r="D348" s="29"/>
      <c r="E348" s="29"/>
    </row>
    <row r="349" customFormat="false" ht="15" hidden="false" customHeight="false" outlineLevel="0" collapsed="false">
      <c r="A349" s="28"/>
      <c r="B349" s="29"/>
      <c r="C349" s="29"/>
      <c r="D349" s="29"/>
      <c r="E349" s="29"/>
    </row>
    <row r="350" customFormat="false" ht="15" hidden="false" customHeight="false" outlineLevel="0" collapsed="false">
      <c r="A350" s="28"/>
      <c r="B350" s="29"/>
      <c r="C350" s="29"/>
      <c r="D350" s="29"/>
      <c r="E350" s="29"/>
    </row>
    <row r="351" customFormat="false" ht="15" hidden="false" customHeight="false" outlineLevel="0" collapsed="false">
      <c r="A351" s="28"/>
      <c r="B351" s="29"/>
      <c r="C351" s="29"/>
      <c r="D351" s="29"/>
      <c r="E351" s="29"/>
    </row>
    <row r="352" customFormat="false" ht="15" hidden="false" customHeight="false" outlineLevel="0" collapsed="false">
      <c r="A352" s="28"/>
      <c r="B352" s="29"/>
      <c r="C352" s="29"/>
      <c r="D352" s="29"/>
      <c r="E352" s="29"/>
    </row>
    <row r="353" customFormat="false" ht="15" hidden="false" customHeight="false" outlineLevel="0" collapsed="false">
      <c r="A353" s="28"/>
      <c r="B353" s="29"/>
      <c r="C353" s="29"/>
      <c r="D353" s="29"/>
      <c r="E353" s="29"/>
    </row>
    <row r="354" customFormat="false" ht="15" hidden="false" customHeight="false" outlineLevel="0" collapsed="false">
      <c r="A354" s="28"/>
      <c r="B354" s="29"/>
      <c r="C354" s="29"/>
      <c r="D354" s="29"/>
      <c r="E354" s="29"/>
    </row>
    <row r="355" customFormat="false" ht="15" hidden="false" customHeight="false" outlineLevel="0" collapsed="false">
      <c r="A355" s="28"/>
      <c r="B355" s="29"/>
      <c r="C355" s="29"/>
      <c r="D355" s="29"/>
      <c r="E355" s="29"/>
    </row>
    <row r="356" customFormat="false" ht="15" hidden="false" customHeight="false" outlineLevel="0" collapsed="false">
      <c r="A356" s="28"/>
      <c r="B356" s="29"/>
      <c r="C356" s="29"/>
      <c r="D356" s="29"/>
      <c r="E356" s="29"/>
    </row>
    <row r="357" customFormat="false" ht="15" hidden="false" customHeight="false" outlineLevel="0" collapsed="false">
      <c r="A357" s="28"/>
      <c r="B357" s="29"/>
      <c r="C357" s="29"/>
      <c r="D357" s="29"/>
      <c r="E357" s="29"/>
    </row>
    <row r="358" customFormat="false" ht="15" hidden="false" customHeight="false" outlineLevel="0" collapsed="false">
      <c r="A358" s="28"/>
      <c r="B358" s="29"/>
      <c r="C358" s="29"/>
      <c r="D358" s="29"/>
      <c r="E358" s="29"/>
    </row>
    <row r="359" customFormat="false" ht="15" hidden="false" customHeight="false" outlineLevel="0" collapsed="false">
      <c r="A359" s="28"/>
      <c r="B359" s="29"/>
      <c r="C359" s="29"/>
      <c r="D359" s="29"/>
      <c r="E359" s="29"/>
    </row>
    <row r="360" customFormat="false" ht="15" hidden="false" customHeight="false" outlineLevel="0" collapsed="false">
      <c r="A360" s="28"/>
      <c r="B360" s="29"/>
      <c r="C360" s="29"/>
      <c r="D360" s="29"/>
      <c r="E360" s="29"/>
    </row>
    <row r="361" customFormat="false" ht="15" hidden="false" customHeight="false" outlineLevel="0" collapsed="false">
      <c r="A361" s="28"/>
      <c r="B361" s="29"/>
      <c r="C361" s="29"/>
      <c r="D361" s="29"/>
      <c r="E361" s="29"/>
    </row>
    <row r="362" customFormat="false" ht="15" hidden="false" customHeight="false" outlineLevel="0" collapsed="false">
      <c r="A362" s="28"/>
      <c r="B362" s="29"/>
      <c r="C362" s="29"/>
      <c r="D362" s="29"/>
      <c r="E362" s="29"/>
    </row>
    <row r="363" customFormat="false" ht="15" hidden="false" customHeight="false" outlineLevel="0" collapsed="false">
      <c r="A363" s="28"/>
      <c r="B363" s="29"/>
      <c r="C363" s="29"/>
      <c r="D363" s="29"/>
      <c r="E363" s="29"/>
    </row>
    <row r="364" customFormat="false" ht="15" hidden="false" customHeight="false" outlineLevel="0" collapsed="false">
      <c r="A364" s="28"/>
      <c r="B364" s="29"/>
      <c r="C364" s="29"/>
      <c r="D364" s="29"/>
      <c r="E364" s="29"/>
    </row>
    <row r="365" customFormat="false" ht="15" hidden="false" customHeight="false" outlineLevel="0" collapsed="false">
      <c r="A365" s="28"/>
      <c r="B365" s="29"/>
      <c r="C365" s="29"/>
      <c r="D365" s="29"/>
      <c r="E365" s="29"/>
    </row>
    <row r="366" customFormat="false" ht="15" hidden="false" customHeight="false" outlineLevel="0" collapsed="false">
      <c r="A366" s="28"/>
      <c r="B366" s="29"/>
      <c r="C366" s="29"/>
      <c r="D366" s="29"/>
      <c r="E366" s="29"/>
    </row>
    <row r="367" customFormat="false" ht="15" hidden="false" customHeight="false" outlineLevel="0" collapsed="false">
      <c r="A367" s="28"/>
      <c r="B367" s="29"/>
      <c r="C367" s="29"/>
      <c r="D367" s="29"/>
      <c r="E367" s="29"/>
    </row>
    <row r="368" customFormat="false" ht="15" hidden="false" customHeight="false" outlineLevel="0" collapsed="false">
      <c r="A368" s="28"/>
      <c r="B368" s="29"/>
      <c r="C368" s="29"/>
      <c r="D368" s="29"/>
      <c r="E368" s="29"/>
    </row>
    <row r="369" customFormat="false" ht="15" hidden="false" customHeight="false" outlineLevel="0" collapsed="false">
      <c r="A369" s="28"/>
      <c r="B369" s="29"/>
      <c r="C369" s="29"/>
      <c r="D369" s="29"/>
      <c r="E369" s="29"/>
    </row>
    <row r="370" customFormat="false" ht="15" hidden="false" customHeight="false" outlineLevel="0" collapsed="false">
      <c r="A370" s="28"/>
      <c r="B370" s="29"/>
      <c r="C370" s="29"/>
      <c r="D370" s="29"/>
      <c r="E370" s="29"/>
    </row>
    <row r="371" customFormat="false" ht="15" hidden="false" customHeight="false" outlineLevel="0" collapsed="false">
      <c r="A371" s="28"/>
      <c r="B371" s="29"/>
      <c r="C371" s="29"/>
      <c r="D371" s="29"/>
      <c r="E371" s="29"/>
    </row>
    <row r="372" customFormat="false" ht="15" hidden="false" customHeight="false" outlineLevel="0" collapsed="false">
      <c r="A372" s="28"/>
      <c r="B372" s="29"/>
      <c r="C372" s="29"/>
      <c r="D372" s="29"/>
      <c r="E372" s="29"/>
    </row>
    <row r="373" customFormat="false" ht="15" hidden="false" customHeight="false" outlineLevel="0" collapsed="false">
      <c r="A373" s="28"/>
      <c r="B373" s="29"/>
      <c r="C373" s="29"/>
      <c r="D373" s="29"/>
      <c r="E373" s="29"/>
    </row>
    <row r="374" customFormat="false" ht="15" hidden="false" customHeight="false" outlineLevel="0" collapsed="false">
      <c r="A374" s="28"/>
      <c r="B374" s="29"/>
      <c r="C374" s="29"/>
      <c r="D374" s="29"/>
      <c r="E374" s="29"/>
    </row>
    <row r="375" customFormat="false" ht="15" hidden="false" customHeight="false" outlineLevel="0" collapsed="false">
      <c r="A375" s="28"/>
      <c r="B375" s="29"/>
      <c r="C375" s="29"/>
      <c r="D375" s="29"/>
      <c r="E375" s="29"/>
    </row>
    <row r="376" customFormat="false" ht="15" hidden="false" customHeight="false" outlineLevel="0" collapsed="false">
      <c r="A376" s="28"/>
      <c r="B376" s="29"/>
      <c r="C376" s="29"/>
      <c r="D376" s="29"/>
      <c r="E376" s="29"/>
    </row>
    <row r="377" customFormat="false" ht="15" hidden="false" customHeight="false" outlineLevel="0" collapsed="false">
      <c r="A377" s="28"/>
      <c r="B377" s="29"/>
      <c r="C377" s="29"/>
      <c r="D377" s="29"/>
      <c r="E377" s="29"/>
    </row>
    <row r="378" customFormat="false" ht="15" hidden="false" customHeight="false" outlineLevel="0" collapsed="false">
      <c r="A378" s="28"/>
      <c r="B378" s="29"/>
      <c r="C378" s="29"/>
      <c r="D378" s="29"/>
      <c r="E378" s="29"/>
    </row>
    <row r="379" customFormat="false" ht="15" hidden="false" customHeight="false" outlineLevel="0" collapsed="false">
      <c r="A379" s="28"/>
      <c r="B379" s="29"/>
      <c r="C379" s="29"/>
      <c r="D379" s="29"/>
      <c r="E379" s="29"/>
    </row>
    <row r="380" customFormat="false" ht="15" hidden="false" customHeight="false" outlineLevel="0" collapsed="false">
      <c r="A380" s="28"/>
      <c r="B380" s="29"/>
      <c r="C380" s="29"/>
      <c r="D380" s="29"/>
      <c r="E380" s="29"/>
    </row>
    <row r="381" customFormat="false" ht="15" hidden="false" customHeight="false" outlineLevel="0" collapsed="false">
      <c r="A381" s="28"/>
      <c r="B381" s="29"/>
      <c r="C381" s="29"/>
      <c r="D381" s="29"/>
      <c r="E381" s="29"/>
    </row>
    <row r="382" customFormat="false" ht="15" hidden="false" customHeight="false" outlineLevel="0" collapsed="false">
      <c r="A382" s="28"/>
      <c r="B382" s="29"/>
      <c r="C382" s="29"/>
      <c r="D382" s="29"/>
      <c r="E382" s="29"/>
    </row>
    <row r="383" customFormat="false" ht="15" hidden="false" customHeight="false" outlineLevel="0" collapsed="false">
      <c r="A383" s="28"/>
      <c r="B383" s="29"/>
      <c r="C383" s="29"/>
      <c r="D383" s="29"/>
      <c r="E383" s="29"/>
    </row>
    <row r="384" customFormat="false" ht="15" hidden="false" customHeight="false" outlineLevel="0" collapsed="false">
      <c r="A384" s="28"/>
      <c r="B384" s="29"/>
      <c r="C384" s="29"/>
      <c r="D384" s="29"/>
      <c r="E384" s="29"/>
    </row>
    <row r="385" customFormat="false" ht="15" hidden="false" customHeight="false" outlineLevel="0" collapsed="false">
      <c r="A385" s="28"/>
      <c r="B385" s="29"/>
      <c r="C385" s="29"/>
      <c r="D385" s="29"/>
      <c r="E385" s="29"/>
    </row>
    <row r="386" customFormat="false" ht="15" hidden="false" customHeight="false" outlineLevel="0" collapsed="false">
      <c r="A386" s="28"/>
      <c r="B386" s="29"/>
      <c r="C386" s="29"/>
      <c r="D386" s="29"/>
      <c r="E386" s="29"/>
    </row>
    <row r="387" customFormat="false" ht="15" hidden="false" customHeight="false" outlineLevel="0" collapsed="false">
      <c r="A387" s="28"/>
      <c r="B387" s="29"/>
      <c r="C387" s="29"/>
      <c r="D387" s="29"/>
      <c r="E387" s="29"/>
    </row>
    <row r="388" customFormat="false" ht="15" hidden="false" customHeight="false" outlineLevel="0" collapsed="false">
      <c r="A388" s="28"/>
      <c r="B388" s="29"/>
      <c r="C388" s="29"/>
      <c r="D388" s="29"/>
      <c r="E388" s="29"/>
    </row>
    <row r="389" customFormat="false" ht="15" hidden="false" customHeight="false" outlineLevel="0" collapsed="false">
      <c r="A389" s="28"/>
      <c r="B389" s="29"/>
      <c r="C389" s="29"/>
      <c r="D389" s="29"/>
      <c r="E389" s="29"/>
    </row>
    <row r="390" customFormat="false" ht="15" hidden="false" customHeight="false" outlineLevel="0" collapsed="false">
      <c r="A390" s="28"/>
      <c r="B390" s="29"/>
      <c r="C390" s="29"/>
      <c r="D390" s="29"/>
      <c r="E390" s="29"/>
    </row>
    <row r="391" customFormat="false" ht="15" hidden="false" customHeight="false" outlineLevel="0" collapsed="false">
      <c r="A391" s="28"/>
      <c r="B391" s="29"/>
      <c r="C391" s="29"/>
      <c r="D391" s="29"/>
      <c r="E391" s="29"/>
    </row>
    <row r="392" customFormat="false" ht="15" hidden="false" customHeight="false" outlineLevel="0" collapsed="false">
      <c r="A392" s="28"/>
      <c r="B392" s="29"/>
      <c r="C392" s="29"/>
      <c r="D392" s="29"/>
      <c r="E392" s="29"/>
    </row>
    <row r="393" customFormat="false" ht="15" hidden="false" customHeight="false" outlineLevel="0" collapsed="false">
      <c r="A393" s="28"/>
      <c r="B393" s="29"/>
      <c r="C393" s="29"/>
      <c r="D393" s="29"/>
      <c r="E393" s="29"/>
    </row>
    <row r="394" customFormat="false" ht="15" hidden="false" customHeight="false" outlineLevel="0" collapsed="false">
      <c r="A394" s="28"/>
      <c r="B394" s="29"/>
      <c r="C394" s="29"/>
      <c r="D394" s="29"/>
      <c r="E394" s="29"/>
    </row>
    <row r="395" customFormat="false" ht="15" hidden="false" customHeight="false" outlineLevel="0" collapsed="false">
      <c r="A395" s="28"/>
      <c r="B395" s="29"/>
      <c r="C395" s="29"/>
      <c r="D395" s="29"/>
      <c r="E395" s="29"/>
    </row>
    <row r="396" customFormat="false" ht="15" hidden="false" customHeight="false" outlineLevel="0" collapsed="false">
      <c r="A396" s="28"/>
      <c r="B396" s="29"/>
      <c r="C396" s="29"/>
      <c r="D396" s="29"/>
      <c r="E396" s="29"/>
    </row>
    <row r="397" customFormat="false" ht="15" hidden="false" customHeight="false" outlineLevel="0" collapsed="false">
      <c r="A397" s="28"/>
      <c r="B397" s="29"/>
      <c r="C397" s="29"/>
      <c r="D397" s="29"/>
      <c r="E397" s="29"/>
    </row>
    <row r="398" customFormat="false" ht="15" hidden="false" customHeight="false" outlineLevel="0" collapsed="false">
      <c r="A398" s="28"/>
      <c r="B398" s="29"/>
      <c r="C398" s="29"/>
      <c r="D398" s="29"/>
      <c r="E398" s="29"/>
    </row>
    <row r="399" customFormat="false" ht="15" hidden="false" customHeight="false" outlineLevel="0" collapsed="false">
      <c r="A399" s="28"/>
      <c r="B399" s="29"/>
      <c r="C399" s="29"/>
      <c r="D399" s="29"/>
      <c r="E399" s="29"/>
    </row>
    <row r="400" customFormat="false" ht="15" hidden="false" customHeight="false" outlineLevel="0" collapsed="false">
      <c r="A400" s="28"/>
      <c r="B400" s="29"/>
      <c r="C400" s="29"/>
      <c r="D400" s="29"/>
      <c r="E400" s="29"/>
    </row>
    <row r="401" customFormat="false" ht="15" hidden="false" customHeight="false" outlineLevel="0" collapsed="false">
      <c r="A401" s="28"/>
      <c r="B401" s="29"/>
      <c r="C401" s="29"/>
      <c r="D401" s="29"/>
      <c r="E401" s="29"/>
    </row>
    <row r="402" customFormat="false" ht="15" hidden="false" customHeight="false" outlineLevel="0" collapsed="false">
      <c r="A402" s="28"/>
      <c r="B402" s="29"/>
      <c r="C402" s="29"/>
      <c r="D402" s="29"/>
      <c r="E402" s="29"/>
    </row>
    <row r="403" customFormat="false" ht="15" hidden="false" customHeight="false" outlineLevel="0" collapsed="false">
      <c r="A403" s="28"/>
      <c r="B403" s="29"/>
      <c r="C403" s="29"/>
      <c r="D403" s="29"/>
      <c r="E403" s="29"/>
    </row>
    <row r="404" customFormat="false" ht="15" hidden="false" customHeight="false" outlineLevel="0" collapsed="false">
      <c r="A404" s="28"/>
      <c r="B404" s="29"/>
      <c r="C404" s="29"/>
      <c r="D404" s="29"/>
      <c r="E404" s="29"/>
    </row>
    <row r="405" customFormat="false" ht="15" hidden="false" customHeight="false" outlineLevel="0" collapsed="false">
      <c r="A405" s="28"/>
      <c r="B405" s="29"/>
      <c r="C405" s="29"/>
      <c r="D405" s="29"/>
      <c r="E405" s="29"/>
    </row>
    <row r="406" customFormat="false" ht="15" hidden="false" customHeight="false" outlineLevel="0" collapsed="false">
      <c r="A406" s="28"/>
      <c r="B406" s="29"/>
      <c r="C406" s="29"/>
      <c r="D406" s="29"/>
      <c r="E406" s="29"/>
    </row>
    <row r="407" customFormat="false" ht="15" hidden="false" customHeight="false" outlineLevel="0" collapsed="false">
      <c r="A407" s="28"/>
      <c r="B407" s="29"/>
      <c r="C407" s="29"/>
      <c r="D407" s="29"/>
      <c r="E407" s="29"/>
    </row>
    <row r="408" customFormat="false" ht="15" hidden="false" customHeight="false" outlineLevel="0" collapsed="false">
      <c r="A408" s="28"/>
      <c r="B408" s="29"/>
      <c r="C408" s="29"/>
      <c r="D408" s="29"/>
      <c r="E408" s="29"/>
    </row>
    <row r="409" customFormat="false" ht="15" hidden="false" customHeight="false" outlineLevel="0" collapsed="false">
      <c r="A409" s="28"/>
      <c r="B409" s="29"/>
      <c r="C409" s="29"/>
      <c r="D409" s="29"/>
      <c r="E409" s="29"/>
    </row>
    <row r="410" customFormat="false" ht="15" hidden="false" customHeight="false" outlineLevel="0" collapsed="false">
      <c r="A410" s="28"/>
      <c r="B410" s="29"/>
      <c r="C410" s="29"/>
      <c r="D410" s="29"/>
      <c r="E410" s="29"/>
    </row>
    <row r="411" customFormat="false" ht="15" hidden="false" customHeight="false" outlineLevel="0" collapsed="false">
      <c r="A411" s="28"/>
      <c r="B411" s="29"/>
      <c r="C411" s="29"/>
      <c r="D411" s="29"/>
      <c r="E411" s="29"/>
    </row>
    <row r="412" customFormat="false" ht="15" hidden="false" customHeight="false" outlineLevel="0" collapsed="false">
      <c r="A412" s="28"/>
      <c r="B412" s="29"/>
      <c r="C412" s="29"/>
      <c r="D412" s="29"/>
      <c r="E412" s="29"/>
    </row>
    <row r="413" customFormat="false" ht="15" hidden="false" customHeight="false" outlineLevel="0" collapsed="false">
      <c r="A413" s="28"/>
      <c r="B413" s="29"/>
      <c r="C413" s="29"/>
      <c r="D413" s="29"/>
      <c r="E413" s="29"/>
    </row>
    <row r="414" customFormat="false" ht="15" hidden="false" customHeight="false" outlineLevel="0" collapsed="false">
      <c r="A414" s="28"/>
      <c r="B414" s="29"/>
      <c r="C414" s="29"/>
      <c r="D414" s="29"/>
      <c r="E414" s="29"/>
    </row>
    <row r="415" customFormat="false" ht="15" hidden="false" customHeight="false" outlineLevel="0" collapsed="false">
      <c r="A415" s="28"/>
      <c r="B415" s="29"/>
      <c r="C415" s="29"/>
      <c r="D415" s="29"/>
      <c r="E415" s="29"/>
    </row>
    <row r="416" customFormat="false" ht="15" hidden="false" customHeight="false" outlineLevel="0" collapsed="false">
      <c r="A416" s="28"/>
      <c r="B416" s="29"/>
      <c r="C416" s="29"/>
      <c r="D416" s="29"/>
      <c r="E416" s="29"/>
    </row>
    <row r="417" customFormat="false" ht="15" hidden="false" customHeight="false" outlineLevel="0" collapsed="false">
      <c r="A417" s="28"/>
      <c r="B417" s="29"/>
      <c r="C417" s="29"/>
      <c r="D417" s="29"/>
      <c r="E417" s="29"/>
    </row>
    <row r="418" customFormat="false" ht="15" hidden="false" customHeight="false" outlineLevel="0" collapsed="false">
      <c r="A418" s="28"/>
      <c r="B418" s="29"/>
      <c r="C418" s="29"/>
      <c r="D418" s="29"/>
      <c r="E418" s="29"/>
    </row>
    <row r="419" customFormat="false" ht="15" hidden="false" customHeight="false" outlineLevel="0" collapsed="false">
      <c r="A419" s="28"/>
      <c r="B419" s="29"/>
      <c r="C419" s="29"/>
      <c r="D419" s="29"/>
      <c r="E419" s="29"/>
    </row>
    <row r="420" customFormat="false" ht="15" hidden="false" customHeight="false" outlineLevel="0" collapsed="false">
      <c r="A420" s="28"/>
      <c r="B420" s="29"/>
      <c r="C420" s="29"/>
      <c r="D420" s="29"/>
      <c r="E420" s="29"/>
    </row>
    <row r="421" customFormat="false" ht="15" hidden="false" customHeight="false" outlineLevel="0" collapsed="false">
      <c r="A421" s="28"/>
      <c r="B421" s="29"/>
      <c r="C421" s="29"/>
      <c r="D421" s="29"/>
      <c r="E421" s="29"/>
    </row>
    <row r="422" customFormat="false" ht="15" hidden="false" customHeight="false" outlineLevel="0" collapsed="false">
      <c r="A422" s="28"/>
      <c r="B422" s="29"/>
      <c r="C422" s="29"/>
      <c r="D422" s="29"/>
      <c r="E422" s="29"/>
    </row>
    <row r="423" customFormat="false" ht="15" hidden="false" customHeight="false" outlineLevel="0" collapsed="false">
      <c r="A423" s="28"/>
      <c r="B423" s="29"/>
      <c r="C423" s="29"/>
      <c r="D423" s="29"/>
      <c r="E423" s="29"/>
    </row>
    <row r="424" customFormat="false" ht="15" hidden="false" customHeight="false" outlineLevel="0" collapsed="false">
      <c r="A424" s="28"/>
      <c r="B424" s="29"/>
      <c r="C424" s="29"/>
      <c r="D424" s="29"/>
      <c r="E424" s="29"/>
    </row>
    <row r="425" customFormat="false" ht="15" hidden="false" customHeight="false" outlineLevel="0" collapsed="false">
      <c r="A425" s="28"/>
      <c r="B425" s="29"/>
      <c r="C425" s="29"/>
      <c r="D425" s="29"/>
      <c r="E425" s="29"/>
    </row>
    <row r="426" customFormat="false" ht="15" hidden="false" customHeight="false" outlineLevel="0" collapsed="false">
      <c r="A426" s="28"/>
      <c r="B426" s="29"/>
      <c r="C426" s="29"/>
      <c r="D426" s="29"/>
      <c r="E426" s="29"/>
    </row>
    <row r="427" customFormat="false" ht="15" hidden="false" customHeight="false" outlineLevel="0" collapsed="false">
      <c r="A427" s="28"/>
      <c r="B427" s="29"/>
      <c r="C427" s="29"/>
      <c r="D427" s="29"/>
      <c r="E427" s="29"/>
    </row>
    <row r="428" customFormat="false" ht="15" hidden="false" customHeight="false" outlineLevel="0" collapsed="false">
      <c r="A428" s="28"/>
      <c r="B428" s="29"/>
      <c r="C428" s="29"/>
      <c r="D428" s="29"/>
      <c r="E428" s="29"/>
    </row>
    <row r="429" customFormat="false" ht="15" hidden="false" customHeight="false" outlineLevel="0" collapsed="false">
      <c r="A429" s="28"/>
      <c r="B429" s="29"/>
      <c r="C429" s="29"/>
      <c r="D429" s="29"/>
      <c r="E429" s="29"/>
    </row>
    <row r="430" customFormat="false" ht="15" hidden="false" customHeight="false" outlineLevel="0" collapsed="false">
      <c r="A430" s="28"/>
      <c r="B430" s="29"/>
      <c r="C430" s="29"/>
      <c r="D430" s="29"/>
      <c r="E430" s="29"/>
    </row>
    <row r="431" customFormat="false" ht="15" hidden="false" customHeight="false" outlineLevel="0" collapsed="false">
      <c r="A431" s="28"/>
      <c r="B431" s="29"/>
      <c r="C431" s="29"/>
      <c r="D431" s="29"/>
      <c r="E431" s="29"/>
    </row>
    <row r="432" customFormat="false" ht="15" hidden="false" customHeight="false" outlineLevel="0" collapsed="false">
      <c r="A432" s="28"/>
      <c r="B432" s="29"/>
      <c r="C432" s="29"/>
      <c r="D432" s="29"/>
      <c r="E432" s="29"/>
    </row>
    <row r="433" customFormat="false" ht="15" hidden="false" customHeight="false" outlineLevel="0" collapsed="false">
      <c r="A433" s="28"/>
      <c r="B433" s="29"/>
      <c r="C433" s="29"/>
      <c r="D433" s="29"/>
      <c r="E433" s="29"/>
    </row>
    <row r="434" customFormat="false" ht="15" hidden="false" customHeight="false" outlineLevel="0" collapsed="false">
      <c r="A434" s="28"/>
      <c r="B434" s="29"/>
      <c r="C434" s="29"/>
      <c r="D434" s="29"/>
      <c r="E434" s="29"/>
    </row>
    <row r="435" customFormat="false" ht="15" hidden="false" customHeight="false" outlineLevel="0" collapsed="false">
      <c r="A435" s="28"/>
      <c r="B435" s="29"/>
      <c r="C435" s="29"/>
      <c r="D435" s="29"/>
      <c r="E435" s="29"/>
    </row>
    <row r="436" customFormat="false" ht="15" hidden="false" customHeight="false" outlineLevel="0" collapsed="false">
      <c r="A436" s="28"/>
      <c r="B436" s="29"/>
      <c r="C436" s="29"/>
      <c r="D436" s="29"/>
      <c r="E436" s="29"/>
    </row>
    <row r="437" customFormat="false" ht="15" hidden="false" customHeight="false" outlineLevel="0" collapsed="false">
      <c r="A437" s="28"/>
      <c r="B437" s="29"/>
      <c r="C437" s="29"/>
      <c r="D437" s="29"/>
      <c r="E437" s="29"/>
    </row>
    <row r="438" customFormat="false" ht="15" hidden="false" customHeight="false" outlineLevel="0" collapsed="false">
      <c r="A438" s="28"/>
      <c r="B438" s="29"/>
      <c r="C438" s="29"/>
      <c r="D438" s="29"/>
      <c r="E438" s="29"/>
    </row>
    <row r="439" customFormat="false" ht="15" hidden="false" customHeight="false" outlineLevel="0" collapsed="false">
      <c r="A439" s="28"/>
      <c r="B439" s="29"/>
      <c r="C439" s="29"/>
      <c r="D439" s="29"/>
      <c r="E439" s="29"/>
    </row>
    <row r="440" customFormat="false" ht="15" hidden="false" customHeight="false" outlineLevel="0" collapsed="false">
      <c r="A440" s="28"/>
      <c r="B440" s="29"/>
      <c r="C440" s="29"/>
      <c r="D440" s="29"/>
      <c r="E440" s="29"/>
    </row>
    <row r="441" customFormat="false" ht="15" hidden="false" customHeight="false" outlineLevel="0" collapsed="false">
      <c r="A441" s="28"/>
      <c r="B441" s="29"/>
      <c r="C441" s="29"/>
      <c r="D441" s="29"/>
      <c r="E441" s="29"/>
    </row>
    <row r="442" customFormat="false" ht="15" hidden="false" customHeight="false" outlineLevel="0" collapsed="false">
      <c r="A442" s="28"/>
      <c r="B442" s="29"/>
      <c r="C442" s="29"/>
      <c r="D442" s="29"/>
      <c r="E442" s="29"/>
    </row>
    <row r="443" customFormat="false" ht="15" hidden="false" customHeight="false" outlineLevel="0" collapsed="false">
      <c r="A443" s="28"/>
      <c r="B443" s="29"/>
      <c r="C443" s="29"/>
      <c r="D443" s="29"/>
      <c r="E443" s="29"/>
    </row>
    <row r="444" customFormat="false" ht="15" hidden="false" customHeight="false" outlineLevel="0" collapsed="false">
      <c r="A444" s="28"/>
      <c r="B444" s="29"/>
      <c r="C444" s="29"/>
      <c r="D444" s="29"/>
      <c r="E444" s="29"/>
    </row>
    <row r="445" customFormat="false" ht="15" hidden="false" customHeight="false" outlineLevel="0" collapsed="false">
      <c r="A445" s="28"/>
      <c r="B445" s="29"/>
      <c r="C445" s="29"/>
      <c r="D445" s="29"/>
      <c r="E445" s="29"/>
    </row>
    <row r="446" customFormat="false" ht="15" hidden="false" customHeight="false" outlineLevel="0" collapsed="false">
      <c r="A446" s="28"/>
      <c r="B446" s="29"/>
      <c r="C446" s="29"/>
      <c r="D446" s="29"/>
      <c r="E446" s="29"/>
    </row>
    <row r="447" customFormat="false" ht="15" hidden="false" customHeight="false" outlineLevel="0" collapsed="false">
      <c r="A447" s="28"/>
      <c r="B447" s="29"/>
      <c r="C447" s="29"/>
      <c r="D447" s="29"/>
      <c r="E447" s="29"/>
    </row>
    <row r="448" customFormat="false" ht="15" hidden="false" customHeight="false" outlineLevel="0" collapsed="false">
      <c r="A448" s="28"/>
      <c r="B448" s="29"/>
      <c r="C448" s="29"/>
      <c r="D448" s="29"/>
      <c r="E448" s="29"/>
    </row>
    <row r="449" customFormat="false" ht="15" hidden="false" customHeight="false" outlineLevel="0" collapsed="false">
      <c r="A449" s="28"/>
      <c r="B449" s="29"/>
      <c r="C449" s="29"/>
      <c r="D449" s="29"/>
      <c r="E449" s="29"/>
    </row>
    <row r="450" customFormat="false" ht="15" hidden="false" customHeight="false" outlineLevel="0" collapsed="false">
      <c r="A450" s="28"/>
      <c r="B450" s="29"/>
      <c r="C450" s="29"/>
      <c r="D450" s="29"/>
      <c r="E450" s="29"/>
    </row>
    <row r="451" customFormat="false" ht="15" hidden="false" customHeight="false" outlineLevel="0" collapsed="false">
      <c r="A451" s="28"/>
      <c r="B451" s="29"/>
      <c r="C451" s="29"/>
      <c r="D451" s="29"/>
      <c r="E451" s="29"/>
    </row>
    <row r="452" customFormat="false" ht="15" hidden="false" customHeight="false" outlineLevel="0" collapsed="false">
      <c r="A452" s="28"/>
      <c r="B452" s="29"/>
      <c r="C452" s="29"/>
      <c r="D452" s="29"/>
      <c r="E452" s="29"/>
    </row>
    <row r="453" customFormat="false" ht="15" hidden="false" customHeight="false" outlineLevel="0" collapsed="false">
      <c r="A453" s="28"/>
      <c r="B453" s="29"/>
      <c r="C453" s="29"/>
      <c r="D453" s="29"/>
      <c r="E453" s="29"/>
    </row>
    <row r="454" customFormat="false" ht="15" hidden="false" customHeight="false" outlineLevel="0" collapsed="false">
      <c r="A454" s="28"/>
      <c r="B454" s="29"/>
      <c r="C454" s="29"/>
      <c r="D454" s="29"/>
      <c r="E454" s="29"/>
    </row>
    <row r="455" customFormat="false" ht="15" hidden="false" customHeight="false" outlineLevel="0" collapsed="false">
      <c r="A455" s="28"/>
      <c r="B455" s="29"/>
      <c r="C455" s="29"/>
      <c r="D455" s="29"/>
      <c r="E455" s="29"/>
    </row>
    <row r="456" customFormat="false" ht="15" hidden="false" customHeight="false" outlineLevel="0" collapsed="false">
      <c r="A456" s="28"/>
      <c r="B456" s="29"/>
      <c r="C456" s="29"/>
      <c r="D456" s="29"/>
      <c r="E456" s="29"/>
    </row>
    <row r="457" customFormat="false" ht="15" hidden="false" customHeight="false" outlineLevel="0" collapsed="false">
      <c r="A457" s="28"/>
      <c r="B457" s="29"/>
      <c r="C457" s="29"/>
      <c r="D457" s="29"/>
      <c r="E457" s="29"/>
    </row>
    <row r="458" customFormat="false" ht="15" hidden="false" customHeight="false" outlineLevel="0" collapsed="false">
      <c r="A458" s="28"/>
      <c r="B458" s="29"/>
      <c r="C458" s="29"/>
      <c r="D458" s="29"/>
      <c r="E458" s="29"/>
    </row>
    <row r="459" customFormat="false" ht="15" hidden="false" customHeight="false" outlineLevel="0" collapsed="false">
      <c r="A459" s="28"/>
      <c r="B459" s="29"/>
      <c r="C459" s="29"/>
      <c r="D459" s="29"/>
      <c r="E459" s="29"/>
    </row>
    <row r="460" customFormat="false" ht="15" hidden="false" customHeight="false" outlineLevel="0" collapsed="false">
      <c r="A460" s="28"/>
      <c r="B460" s="29"/>
      <c r="C460" s="29"/>
      <c r="D460" s="29"/>
      <c r="E460" s="29"/>
    </row>
    <row r="461" customFormat="false" ht="15" hidden="false" customHeight="false" outlineLevel="0" collapsed="false">
      <c r="A461" s="28"/>
      <c r="B461" s="29"/>
      <c r="C461" s="29"/>
      <c r="D461" s="29"/>
      <c r="E461" s="29"/>
    </row>
    <row r="462" customFormat="false" ht="15" hidden="false" customHeight="false" outlineLevel="0" collapsed="false">
      <c r="A462" s="28"/>
      <c r="B462" s="29"/>
      <c r="C462" s="29"/>
      <c r="D462" s="29"/>
      <c r="E462" s="29"/>
    </row>
    <row r="463" customFormat="false" ht="15" hidden="false" customHeight="false" outlineLevel="0" collapsed="false">
      <c r="A463" s="28"/>
      <c r="B463" s="29"/>
      <c r="C463" s="29"/>
      <c r="D463" s="29"/>
      <c r="E463" s="29"/>
    </row>
    <row r="464" customFormat="false" ht="15" hidden="false" customHeight="false" outlineLevel="0" collapsed="false">
      <c r="A464" s="28"/>
      <c r="B464" s="29"/>
      <c r="C464" s="29"/>
      <c r="D464" s="29"/>
      <c r="E464" s="29"/>
    </row>
    <row r="465" customFormat="false" ht="15" hidden="false" customHeight="false" outlineLevel="0" collapsed="false">
      <c r="A465" s="28"/>
      <c r="B465" s="29"/>
      <c r="C465" s="29"/>
      <c r="D465" s="29"/>
      <c r="E465" s="29"/>
    </row>
    <row r="466" customFormat="false" ht="15" hidden="false" customHeight="false" outlineLevel="0" collapsed="false">
      <c r="A466" s="28"/>
      <c r="B466" s="29"/>
      <c r="C466" s="29"/>
      <c r="D466" s="29"/>
      <c r="E466" s="29"/>
    </row>
    <row r="467" customFormat="false" ht="15" hidden="false" customHeight="false" outlineLevel="0" collapsed="false">
      <c r="A467" s="28"/>
      <c r="B467" s="29"/>
      <c r="C467" s="29"/>
      <c r="D467" s="29"/>
      <c r="E467" s="29"/>
    </row>
    <row r="468" customFormat="false" ht="15" hidden="false" customHeight="false" outlineLevel="0" collapsed="false">
      <c r="A468" s="28"/>
      <c r="B468" s="29"/>
      <c r="C468" s="29"/>
      <c r="D468" s="29"/>
      <c r="E468" s="29"/>
    </row>
    <row r="469" customFormat="false" ht="15" hidden="false" customHeight="false" outlineLevel="0" collapsed="false">
      <c r="A469" s="28"/>
      <c r="B469" s="29"/>
      <c r="C469" s="29"/>
      <c r="D469" s="29"/>
      <c r="E469" s="29"/>
    </row>
    <row r="470" customFormat="false" ht="15" hidden="false" customHeight="false" outlineLevel="0" collapsed="false">
      <c r="A470" s="28"/>
      <c r="B470" s="29"/>
      <c r="C470" s="29"/>
      <c r="D470" s="29"/>
      <c r="E470" s="29"/>
    </row>
    <row r="471" customFormat="false" ht="15" hidden="false" customHeight="false" outlineLevel="0" collapsed="false">
      <c r="A471" s="28"/>
      <c r="B471" s="29"/>
      <c r="C471" s="29"/>
      <c r="D471" s="29"/>
      <c r="E471" s="29"/>
    </row>
    <row r="472" customFormat="false" ht="15" hidden="false" customHeight="false" outlineLevel="0" collapsed="false">
      <c r="A472" s="28"/>
      <c r="B472" s="29"/>
      <c r="C472" s="29"/>
      <c r="D472" s="29"/>
      <c r="E472" s="29"/>
    </row>
    <row r="473" customFormat="false" ht="15" hidden="false" customHeight="false" outlineLevel="0" collapsed="false">
      <c r="A473" s="28"/>
      <c r="B473" s="29"/>
      <c r="C473" s="29"/>
      <c r="D473" s="29"/>
      <c r="E473" s="29"/>
    </row>
    <row r="474" customFormat="false" ht="15" hidden="false" customHeight="false" outlineLevel="0" collapsed="false">
      <c r="A474" s="28"/>
      <c r="B474" s="29"/>
      <c r="C474" s="29"/>
      <c r="D474" s="29"/>
      <c r="E474" s="29"/>
    </row>
    <row r="475" customFormat="false" ht="15" hidden="false" customHeight="false" outlineLevel="0" collapsed="false">
      <c r="A475" s="28"/>
      <c r="B475" s="29"/>
      <c r="C475" s="29"/>
      <c r="D475" s="29"/>
      <c r="E475" s="29"/>
    </row>
    <row r="476" customFormat="false" ht="15" hidden="false" customHeight="false" outlineLevel="0" collapsed="false">
      <c r="A476" s="28"/>
      <c r="B476" s="29"/>
      <c r="C476" s="29"/>
      <c r="D476" s="29"/>
      <c r="E476" s="29"/>
    </row>
    <row r="477" customFormat="false" ht="15" hidden="false" customHeight="false" outlineLevel="0" collapsed="false">
      <c r="A477" s="28"/>
      <c r="B477" s="29"/>
      <c r="C477" s="29"/>
      <c r="D477" s="29"/>
      <c r="E477" s="29"/>
    </row>
    <row r="478" customFormat="false" ht="15" hidden="false" customHeight="false" outlineLevel="0" collapsed="false">
      <c r="A478" s="28"/>
      <c r="B478" s="29"/>
      <c r="C478" s="29"/>
      <c r="D478" s="29"/>
      <c r="E478" s="29"/>
    </row>
    <row r="479" customFormat="false" ht="15" hidden="false" customHeight="false" outlineLevel="0" collapsed="false">
      <c r="A479" s="28"/>
      <c r="B479" s="29"/>
      <c r="C479" s="29"/>
      <c r="D479" s="29"/>
      <c r="E479" s="29"/>
    </row>
    <row r="480" customFormat="false" ht="15" hidden="false" customHeight="false" outlineLevel="0" collapsed="false">
      <c r="A480" s="28"/>
      <c r="B480" s="29"/>
      <c r="C480" s="29"/>
      <c r="D480" s="29"/>
      <c r="E480" s="29"/>
    </row>
    <row r="481" customFormat="false" ht="15" hidden="false" customHeight="false" outlineLevel="0" collapsed="false">
      <c r="A481" s="28"/>
      <c r="B481" s="29"/>
      <c r="C481" s="29"/>
      <c r="D481" s="29"/>
      <c r="E481" s="29"/>
    </row>
    <row r="482" customFormat="false" ht="15" hidden="false" customHeight="false" outlineLevel="0" collapsed="false">
      <c r="A482" s="28"/>
      <c r="B482" s="29"/>
      <c r="C482" s="29"/>
      <c r="D482" s="29"/>
      <c r="E482" s="29"/>
    </row>
    <row r="483" customFormat="false" ht="15" hidden="false" customHeight="false" outlineLevel="0" collapsed="false">
      <c r="A483" s="28"/>
      <c r="B483" s="29"/>
      <c r="C483" s="29"/>
      <c r="D483" s="29"/>
      <c r="E483" s="29"/>
    </row>
    <row r="484" customFormat="false" ht="15" hidden="false" customHeight="false" outlineLevel="0" collapsed="false">
      <c r="A484" s="28"/>
      <c r="B484" s="29"/>
      <c r="C484" s="29"/>
      <c r="D484" s="29"/>
      <c r="E484" s="29"/>
    </row>
    <row r="485" customFormat="false" ht="15" hidden="false" customHeight="false" outlineLevel="0" collapsed="false">
      <c r="A485" s="28"/>
      <c r="B485" s="29"/>
      <c r="C485" s="29"/>
      <c r="D485" s="29"/>
      <c r="E485" s="29"/>
    </row>
    <row r="486" customFormat="false" ht="15" hidden="false" customHeight="false" outlineLevel="0" collapsed="false">
      <c r="A486" s="28"/>
      <c r="B486" s="29"/>
      <c r="C486" s="29"/>
      <c r="D486" s="29"/>
      <c r="E486" s="29"/>
    </row>
    <row r="487" customFormat="false" ht="15" hidden="false" customHeight="false" outlineLevel="0" collapsed="false">
      <c r="A487" s="28"/>
      <c r="B487" s="29"/>
      <c r="C487" s="29"/>
      <c r="D487" s="29"/>
      <c r="E487" s="29"/>
    </row>
    <row r="488" customFormat="false" ht="15" hidden="false" customHeight="false" outlineLevel="0" collapsed="false">
      <c r="A488" s="28"/>
      <c r="B488" s="29"/>
      <c r="C488" s="29"/>
      <c r="D488" s="29"/>
      <c r="E488" s="29"/>
    </row>
    <row r="489" customFormat="false" ht="15" hidden="false" customHeight="false" outlineLevel="0" collapsed="false">
      <c r="A489" s="28"/>
      <c r="B489" s="29"/>
      <c r="C489" s="29"/>
      <c r="D489" s="29"/>
      <c r="E489" s="29"/>
    </row>
    <row r="490" customFormat="false" ht="15" hidden="false" customHeight="false" outlineLevel="0" collapsed="false">
      <c r="A490" s="28"/>
      <c r="B490" s="29"/>
      <c r="C490" s="29"/>
      <c r="D490" s="29"/>
      <c r="E490" s="29"/>
    </row>
    <row r="491" customFormat="false" ht="15" hidden="false" customHeight="false" outlineLevel="0" collapsed="false">
      <c r="A491" s="28"/>
      <c r="B491" s="29"/>
      <c r="C491" s="29"/>
      <c r="D491" s="29"/>
      <c r="E491" s="29"/>
    </row>
    <row r="492" customFormat="false" ht="15" hidden="false" customHeight="false" outlineLevel="0" collapsed="false">
      <c r="A492" s="28"/>
      <c r="B492" s="29"/>
      <c r="C492" s="29"/>
      <c r="D492" s="29"/>
      <c r="E492" s="29"/>
    </row>
    <row r="493" customFormat="false" ht="15" hidden="false" customHeight="false" outlineLevel="0" collapsed="false">
      <c r="A493" s="28"/>
      <c r="B493" s="29"/>
      <c r="C493" s="29"/>
      <c r="D493" s="29"/>
      <c r="E493" s="29"/>
    </row>
    <row r="494" customFormat="false" ht="15" hidden="false" customHeight="false" outlineLevel="0" collapsed="false">
      <c r="A494" s="28"/>
      <c r="B494" s="29"/>
      <c r="C494" s="29"/>
      <c r="D494" s="29"/>
      <c r="E494" s="29"/>
    </row>
    <row r="495" customFormat="false" ht="15" hidden="false" customHeight="false" outlineLevel="0" collapsed="false">
      <c r="A495" s="28"/>
      <c r="B495" s="29"/>
      <c r="C495" s="29"/>
      <c r="D495" s="29"/>
      <c r="E495" s="29"/>
    </row>
    <row r="496" customFormat="false" ht="15" hidden="false" customHeight="false" outlineLevel="0" collapsed="false">
      <c r="A496" s="28"/>
      <c r="B496" s="29"/>
      <c r="C496" s="29"/>
      <c r="D496" s="29"/>
      <c r="E496" s="29"/>
    </row>
    <row r="497" customFormat="false" ht="15" hidden="false" customHeight="false" outlineLevel="0" collapsed="false">
      <c r="A497" s="28"/>
      <c r="B497" s="29"/>
      <c r="C497" s="29"/>
      <c r="D497" s="29"/>
      <c r="E497" s="29"/>
    </row>
    <row r="498" customFormat="false" ht="15" hidden="false" customHeight="false" outlineLevel="0" collapsed="false">
      <c r="A498" s="28"/>
      <c r="B498" s="29"/>
      <c r="C498" s="29"/>
      <c r="D498" s="29"/>
      <c r="E498" s="29"/>
    </row>
    <row r="499" customFormat="false" ht="15" hidden="false" customHeight="false" outlineLevel="0" collapsed="false">
      <c r="A499" s="28"/>
      <c r="B499" s="29"/>
      <c r="C499" s="29"/>
      <c r="D499" s="29"/>
      <c r="E499" s="29"/>
    </row>
    <row r="500" customFormat="false" ht="15" hidden="false" customHeight="false" outlineLevel="0" collapsed="false">
      <c r="A500" s="28"/>
      <c r="B500" s="29"/>
      <c r="C500" s="29"/>
      <c r="D500" s="29"/>
      <c r="E500" s="29"/>
    </row>
    <row r="501" customFormat="false" ht="15" hidden="false" customHeight="false" outlineLevel="0" collapsed="false">
      <c r="A501" s="28"/>
      <c r="B501" s="29"/>
      <c r="C501" s="29"/>
      <c r="D501" s="29"/>
      <c r="E501" s="29"/>
    </row>
    <row r="502" customFormat="false" ht="15" hidden="false" customHeight="false" outlineLevel="0" collapsed="false">
      <c r="A502" s="28"/>
      <c r="B502" s="29"/>
      <c r="C502" s="29"/>
      <c r="D502" s="29"/>
      <c r="E502" s="29"/>
    </row>
    <row r="503" customFormat="false" ht="15" hidden="false" customHeight="false" outlineLevel="0" collapsed="false">
      <c r="A503" s="28"/>
      <c r="B503" s="29"/>
      <c r="C503" s="29"/>
      <c r="D503" s="29"/>
      <c r="E503" s="29"/>
    </row>
    <row r="504" customFormat="false" ht="15" hidden="false" customHeight="false" outlineLevel="0" collapsed="false">
      <c r="A504" s="28"/>
      <c r="B504" s="29"/>
      <c r="C504" s="29"/>
      <c r="D504" s="29"/>
      <c r="E504" s="29"/>
    </row>
    <row r="505" customFormat="false" ht="15" hidden="false" customHeight="false" outlineLevel="0" collapsed="false">
      <c r="A505" s="28"/>
      <c r="B505" s="29"/>
      <c r="C505" s="29"/>
      <c r="D505" s="29"/>
      <c r="E505" s="29"/>
    </row>
    <row r="506" customFormat="false" ht="15" hidden="false" customHeight="false" outlineLevel="0" collapsed="false">
      <c r="A506" s="28"/>
      <c r="B506" s="29"/>
      <c r="C506" s="29"/>
      <c r="D506" s="29"/>
      <c r="E506" s="29"/>
    </row>
    <row r="507" customFormat="false" ht="15" hidden="false" customHeight="false" outlineLevel="0" collapsed="false">
      <c r="A507" s="28"/>
      <c r="B507" s="29"/>
      <c r="C507" s="29"/>
      <c r="D507" s="29"/>
      <c r="E507" s="29"/>
    </row>
    <row r="508" customFormat="false" ht="15" hidden="false" customHeight="false" outlineLevel="0" collapsed="false">
      <c r="A508" s="28"/>
      <c r="B508" s="29"/>
      <c r="C508" s="29"/>
      <c r="D508" s="29"/>
      <c r="E508" s="29"/>
    </row>
    <row r="509" customFormat="false" ht="15" hidden="false" customHeight="false" outlineLevel="0" collapsed="false">
      <c r="A509" s="28"/>
      <c r="B509" s="29"/>
      <c r="C509" s="29"/>
      <c r="D509" s="29"/>
      <c r="E509" s="29"/>
    </row>
    <row r="510" customFormat="false" ht="15" hidden="false" customHeight="false" outlineLevel="0" collapsed="false">
      <c r="A510" s="28"/>
      <c r="B510" s="29"/>
      <c r="C510" s="29"/>
      <c r="D510" s="29"/>
      <c r="E510" s="29"/>
    </row>
    <row r="511" customFormat="false" ht="15" hidden="false" customHeight="false" outlineLevel="0" collapsed="false">
      <c r="A511" s="28"/>
      <c r="B511" s="29"/>
      <c r="C511" s="29"/>
      <c r="D511" s="29"/>
      <c r="E511" s="29"/>
    </row>
    <row r="512" customFormat="false" ht="15" hidden="false" customHeight="false" outlineLevel="0" collapsed="false">
      <c r="A512" s="28"/>
      <c r="B512" s="29"/>
      <c r="C512" s="29"/>
      <c r="D512" s="29"/>
      <c r="E512" s="29"/>
    </row>
    <row r="513" customFormat="false" ht="15" hidden="false" customHeight="false" outlineLevel="0" collapsed="false">
      <c r="A513" s="28"/>
      <c r="B513" s="29"/>
      <c r="C513" s="29"/>
      <c r="D513" s="29"/>
      <c r="E513" s="29"/>
    </row>
    <row r="514" customFormat="false" ht="15" hidden="false" customHeight="false" outlineLevel="0" collapsed="false">
      <c r="A514" s="28"/>
      <c r="B514" s="29"/>
      <c r="C514" s="29"/>
      <c r="D514" s="29"/>
      <c r="E514" s="29"/>
    </row>
    <row r="515" customFormat="false" ht="15" hidden="false" customHeight="false" outlineLevel="0" collapsed="false">
      <c r="A515" s="28"/>
      <c r="B515" s="29"/>
      <c r="C515" s="29"/>
      <c r="D515" s="29"/>
      <c r="E515" s="29"/>
    </row>
    <row r="516" customFormat="false" ht="15" hidden="false" customHeight="false" outlineLevel="0" collapsed="false">
      <c r="A516" s="28"/>
      <c r="B516" s="29"/>
      <c r="C516" s="29"/>
      <c r="D516" s="29"/>
      <c r="E516" s="29"/>
    </row>
    <row r="517" customFormat="false" ht="15" hidden="false" customHeight="false" outlineLevel="0" collapsed="false">
      <c r="A517" s="28"/>
      <c r="B517" s="29"/>
      <c r="C517" s="29"/>
      <c r="D517" s="29"/>
      <c r="E517" s="29"/>
    </row>
    <row r="518" customFormat="false" ht="15" hidden="false" customHeight="false" outlineLevel="0" collapsed="false">
      <c r="A518" s="28"/>
      <c r="B518" s="29"/>
      <c r="C518" s="29"/>
      <c r="D518" s="29"/>
      <c r="E518" s="29"/>
    </row>
    <row r="519" customFormat="false" ht="15" hidden="false" customHeight="false" outlineLevel="0" collapsed="false">
      <c r="A519" s="28"/>
      <c r="B519" s="29"/>
      <c r="C519" s="29"/>
      <c r="D519" s="29"/>
      <c r="E519" s="29"/>
    </row>
    <row r="520" customFormat="false" ht="15" hidden="false" customHeight="false" outlineLevel="0" collapsed="false">
      <c r="A520" s="28"/>
      <c r="B520" s="29"/>
      <c r="C520" s="29"/>
      <c r="D520" s="29"/>
      <c r="E520" s="29"/>
    </row>
    <row r="521" customFormat="false" ht="15" hidden="false" customHeight="false" outlineLevel="0" collapsed="false">
      <c r="A521" s="28"/>
      <c r="B521" s="29"/>
      <c r="C521" s="29"/>
      <c r="D521" s="29"/>
      <c r="E521" s="29"/>
    </row>
    <row r="522" customFormat="false" ht="15" hidden="false" customHeight="false" outlineLevel="0" collapsed="false">
      <c r="A522" s="28"/>
      <c r="B522" s="29"/>
      <c r="C522" s="29"/>
      <c r="D522" s="29"/>
      <c r="E522" s="29"/>
    </row>
    <row r="523" customFormat="false" ht="15" hidden="false" customHeight="false" outlineLevel="0" collapsed="false">
      <c r="A523" s="28"/>
      <c r="B523" s="29"/>
      <c r="C523" s="29"/>
      <c r="D523" s="29"/>
      <c r="E523" s="29"/>
    </row>
    <row r="524" customFormat="false" ht="15" hidden="false" customHeight="false" outlineLevel="0" collapsed="false">
      <c r="A524" s="28"/>
      <c r="B524" s="29"/>
      <c r="C524" s="29"/>
      <c r="D524" s="29"/>
      <c r="E524" s="29"/>
    </row>
    <row r="525" customFormat="false" ht="15" hidden="false" customHeight="false" outlineLevel="0" collapsed="false">
      <c r="A525" s="28"/>
      <c r="B525" s="29"/>
      <c r="C525" s="29"/>
      <c r="D525" s="29"/>
      <c r="E525" s="29"/>
    </row>
    <row r="526" customFormat="false" ht="15" hidden="false" customHeight="false" outlineLevel="0" collapsed="false">
      <c r="A526" s="28"/>
      <c r="B526" s="29"/>
      <c r="C526" s="29"/>
      <c r="D526" s="29"/>
      <c r="E526" s="29"/>
    </row>
    <row r="527" customFormat="false" ht="15" hidden="false" customHeight="false" outlineLevel="0" collapsed="false">
      <c r="A527" s="28"/>
      <c r="B527" s="29"/>
      <c r="C527" s="29"/>
      <c r="D527" s="29"/>
      <c r="E527" s="29"/>
    </row>
    <row r="528" customFormat="false" ht="15" hidden="false" customHeight="false" outlineLevel="0" collapsed="false">
      <c r="A528" s="28"/>
      <c r="B528" s="29"/>
      <c r="C528" s="29"/>
      <c r="D528" s="29"/>
      <c r="E528" s="29"/>
    </row>
    <row r="529" customFormat="false" ht="15" hidden="false" customHeight="false" outlineLevel="0" collapsed="false">
      <c r="A529" s="28"/>
      <c r="B529" s="29"/>
      <c r="C529" s="29"/>
      <c r="D529" s="29"/>
      <c r="E529" s="29"/>
    </row>
    <row r="530" customFormat="false" ht="15" hidden="false" customHeight="false" outlineLevel="0" collapsed="false">
      <c r="A530" s="28"/>
      <c r="B530" s="29"/>
      <c r="C530" s="29"/>
      <c r="D530" s="29"/>
      <c r="E530" s="29"/>
    </row>
    <row r="531" customFormat="false" ht="15" hidden="false" customHeight="false" outlineLevel="0" collapsed="false">
      <c r="A531" s="28"/>
      <c r="B531" s="29"/>
      <c r="C531" s="29"/>
      <c r="D531" s="29"/>
      <c r="E531" s="29"/>
    </row>
    <row r="532" customFormat="false" ht="15" hidden="false" customHeight="false" outlineLevel="0" collapsed="false">
      <c r="A532" s="28"/>
      <c r="B532" s="29"/>
      <c r="C532" s="29"/>
      <c r="D532" s="29"/>
      <c r="E532" s="29"/>
    </row>
    <row r="533" customFormat="false" ht="15" hidden="false" customHeight="false" outlineLevel="0" collapsed="false">
      <c r="A533" s="28"/>
      <c r="B533" s="29"/>
      <c r="C533" s="29"/>
      <c r="D533" s="29"/>
      <c r="E533" s="29"/>
    </row>
    <row r="534" customFormat="false" ht="15" hidden="false" customHeight="false" outlineLevel="0" collapsed="false">
      <c r="A534" s="28"/>
      <c r="B534" s="29"/>
      <c r="C534" s="29"/>
      <c r="D534" s="29"/>
      <c r="E534" s="29"/>
    </row>
    <row r="535" customFormat="false" ht="15" hidden="false" customHeight="false" outlineLevel="0" collapsed="false">
      <c r="A535" s="28"/>
      <c r="B535" s="29"/>
      <c r="C535" s="29"/>
      <c r="D535" s="29"/>
      <c r="E535" s="29"/>
    </row>
    <row r="536" customFormat="false" ht="15" hidden="false" customHeight="false" outlineLevel="0" collapsed="false">
      <c r="A536" s="28"/>
      <c r="B536" s="29"/>
      <c r="C536" s="29"/>
      <c r="D536" s="29"/>
      <c r="E536" s="29"/>
    </row>
    <row r="537" customFormat="false" ht="15" hidden="false" customHeight="false" outlineLevel="0" collapsed="false">
      <c r="A537" s="28"/>
      <c r="B537" s="29"/>
      <c r="C537" s="29"/>
      <c r="D537" s="29"/>
      <c r="E537" s="29"/>
    </row>
    <row r="538" customFormat="false" ht="15" hidden="false" customHeight="false" outlineLevel="0" collapsed="false">
      <c r="A538" s="28"/>
      <c r="B538" s="29"/>
      <c r="C538" s="29"/>
      <c r="D538" s="29"/>
      <c r="E538" s="29"/>
    </row>
    <row r="539" customFormat="false" ht="15" hidden="false" customHeight="false" outlineLevel="0" collapsed="false">
      <c r="A539" s="28"/>
      <c r="B539" s="29"/>
      <c r="C539" s="29"/>
      <c r="D539" s="29"/>
      <c r="E539" s="29"/>
    </row>
    <row r="540" customFormat="false" ht="15" hidden="false" customHeight="false" outlineLevel="0" collapsed="false">
      <c r="A540" s="28"/>
      <c r="B540" s="29"/>
      <c r="C540" s="29"/>
      <c r="D540" s="29"/>
      <c r="E540" s="29"/>
    </row>
    <row r="541" customFormat="false" ht="15" hidden="false" customHeight="false" outlineLevel="0" collapsed="false">
      <c r="A541" s="28"/>
      <c r="B541" s="29"/>
      <c r="C541" s="29"/>
      <c r="D541" s="29"/>
      <c r="E541" s="29"/>
    </row>
    <row r="542" customFormat="false" ht="15" hidden="false" customHeight="false" outlineLevel="0" collapsed="false">
      <c r="A542" s="28"/>
      <c r="B542" s="29"/>
      <c r="C542" s="29"/>
      <c r="D542" s="29"/>
      <c r="E542" s="29"/>
    </row>
    <row r="543" customFormat="false" ht="15" hidden="false" customHeight="false" outlineLevel="0" collapsed="false">
      <c r="A543" s="28"/>
      <c r="B543" s="29"/>
      <c r="C543" s="29"/>
      <c r="D543" s="29"/>
      <c r="E543" s="29"/>
    </row>
    <row r="544" customFormat="false" ht="15" hidden="false" customHeight="false" outlineLevel="0" collapsed="false">
      <c r="A544" s="28"/>
      <c r="B544" s="29"/>
      <c r="C544" s="29"/>
      <c r="D544" s="29"/>
      <c r="E544" s="29"/>
    </row>
    <row r="545" customFormat="false" ht="15" hidden="false" customHeight="false" outlineLevel="0" collapsed="false">
      <c r="A545" s="28"/>
      <c r="B545" s="29"/>
      <c r="C545" s="29"/>
      <c r="D545" s="29"/>
      <c r="E545" s="29"/>
    </row>
    <row r="546" customFormat="false" ht="15" hidden="false" customHeight="false" outlineLevel="0" collapsed="false">
      <c r="A546" s="28"/>
      <c r="B546" s="29"/>
      <c r="C546" s="29"/>
      <c r="D546" s="29"/>
      <c r="E546" s="29"/>
    </row>
    <row r="547" customFormat="false" ht="15" hidden="false" customHeight="false" outlineLevel="0" collapsed="false">
      <c r="A547" s="28"/>
      <c r="B547" s="29"/>
      <c r="C547" s="29"/>
      <c r="D547" s="29"/>
      <c r="E547" s="29"/>
    </row>
    <row r="548" customFormat="false" ht="15" hidden="false" customHeight="false" outlineLevel="0" collapsed="false">
      <c r="A548" s="28"/>
      <c r="B548" s="29"/>
      <c r="C548" s="29"/>
      <c r="D548" s="29"/>
      <c r="E548" s="29"/>
    </row>
    <row r="549" customFormat="false" ht="15" hidden="false" customHeight="false" outlineLevel="0" collapsed="false">
      <c r="A549" s="28"/>
      <c r="B549" s="29"/>
      <c r="C549" s="29"/>
      <c r="D549" s="29"/>
      <c r="E549" s="29"/>
    </row>
    <row r="550" customFormat="false" ht="15" hidden="false" customHeight="false" outlineLevel="0" collapsed="false">
      <c r="A550" s="28"/>
      <c r="B550" s="29"/>
      <c r="C550" s="29"/>
      <c r="D550" s="29"/>
      <c r="E550" s="29"/>
    </row>
    <row r="551" customFormat="false" ht="15" hidden="false" customHeight="false" outlineLevel="0" collapsed="false">
      <c r="A551" s="28"/>
      <c r="B551" s="29"/>
      <c r="C551" s="29"/>
      <c r="D551" s="29"/>
      <c r="E551" s="29"/>
    </row>
    <row r="552" customFormat="false" ht="15" hidden="false" customHeight="false" outlineLevel="0" collapsed="false">
      <c r="A552" s="28"/>
      <c r="B552" s="29"/>
      <c r="C552" s="29"/>
      <c r="D552" s="29"/>
      <c r="E552" s="29"/>
    </row>
    <row r="553" customFormat="false" ht="15" hidden="false" customHeight="false" outlineLevel="0" collapsed="false">
      <c r="A553" s="28"/>
      <c r="B553" s="29"/>
      <c r="C553" s="29"/>
      <c r="D553" s="29"/>
      <c r="E553" s="29"/>
    </row>
    <row r="554" customFormat="false" ht="15" hidden="false" customHeight="false" outlineLevel="0" collapsed="false">
      <c r="A554" s="28"/>
      <c r="B554" s="29"/>
      <c r="C554" s="29"/>
      <c r="D554" s="29"/>
      <c r="E554" s="29"/>
    </row>
    <row r="555" customFormat="false" ht="15" hidden="false" customHeight="false" outlineLevel="0" collapsed="false">
      <c r="A555" s="28"/>
      <c r="B555" s="29"/>
      <c r="C555" s="29"/>
      <c r="D555" s="29"/>
      <c r="E555" s="29"/>
    </row>
    <row r="556" customFormat="false" ht="15" hidden="false" customHeight="false" outlineLevel="0" collapsed="false">
      <c r="A556" s="28"/>
      <c r="B556" s="29"/>
      <c r="C556" s="29"/>
      <c r="D556" s="29"/>
      <c r="E556" s="29"/>
    </row>
    <row r="557" customFormat="false" ht="15" hidden="false" customHeight="false" outlineLevel="0" collapsed="false">
      <c r="A557" s="28"/>
      <c r="B557" s="29"/>
      <c r="C557" s="29"/>
      <c r="D557" s="29"/>
      <c r="E557" s="29"/>
    </row>
    <row r="558" customFormat="false" ht="15" hidden="false" customHeight="false" outlineLevel="0" collapsed="false">
      <c r="A558" s="28"/>
      <c r="B558" s="29"/>
      <c r="C558" s="29"/>
      <c r="D558" s="29"/>
      <c r="E558" s="29"/>
    </row>
    <row r="559" customFormat="false" ht="15" hidden="false" customHeight="false" outlineLevel="0" collapsed="false">
      <c r="A559" s="28"/>
      <c r="B559" s="29"/>
      <c r="C559" s="29"/>
      <c r="D559" s="29"/>
      <c r="E559" s="29"/>
    </row>
    <row r="560" customFormat="false" ht="15" hidden="false" customHeight="false" outlineLevel="0" collapsed="false">
      <c r="A560" s="28"/>
      <c r="B560" s="29"/>
      <c r="C560" s="29"/>
      <c r="D560" s="29"/>
      <c r="E560" s="29"/>
    </row>
    <row r="561" customFormat="false" ht="15" hidden="false" customHeight="false" outlineLevel="0" collapsed="false">
      <c r="A561" s="28"/>
      <c r="B561" s="29"/>
      <c r="C561" s="29"/>
      <c r="D561" s="29"/>
      <c r="E561" s="29"/>
    </row>
    <row r="562" customFormat="false" ht="15" hidden="false" customHeight="false" outlineLevel="0" collapsed="false">
      <c r="A562" s="28"/>
      <c r="B562" s="29"/>
      <c r="C562" s="29"/>
      <c r="D562" s="29"/>
      <c r="E562" s="29"/>
    </row>
    <row r="563" customFormat="false" ht="15" hidden="false" customHeight="false" outlineLevel="0" collapsed="false">
      <c r="A563" s="28"/>
      <c r="B563" s="29"/>
      <c r="C563" s="29"/>
      <c r="D563" s="29"/>
      <c r="E563" s="29"/>
    </row>
    <row r="564" customFormat="false" ht="15" hidden="false" customHeight="false" outlineLevel="0" collapsed="false">
      <c r="A564" s="28"/>
      <c r="B564" s="29"/>
      <c r="C564" s="29"/>
      <c r="D564" s="29"/>
      <c r="E564" s="29"/>
    </row>
    <row r="565" customFormat="false" ht="15" hidden="false" customHeight="false" outlineLevel="0" collapsed="false">
      <c r="A565" s="28"/>
      <c r="B565" s="29"/>
      <c r="C565" s="29"/>
      <c r="D565" s="29"/>
      <c r="E565" s="29"/>
    </row>
    <row r="566" customFormat="false" ht="15" hidden="false" customHeight="false" outlineLevel="0" collapsed="false">
      <c r="A566" s="28"/>
      <c r="B566" s="29"/>
      <c r="C566" s="29"/>
      <c r="D566" s="29"/>
      <c r="E566" s="29"/>
    </row>
    <row r="567" customFormat="false" ht="15" hidden="false" customHeight="false" outlineLevel="0" collapsed="false">
      <c r="A567" s="28"/>
      <c r="B567" s="29"/>
      <c r="C567" s="29"/>
      <c r="D567" s="29"/>
      <c r="E567" s="29"/>
    </row>
    <row r="568" customFormat="false" ht="15" hidden="false" customHeight="false" outlineLevel="0" collapsed="false">
      <c r="A568" s="28"/>
      <c r="B568" s="29"/>
      <c r="C568" s="29"/>
      <c r="D568" s="29"/>
      <c r="E568" s="29"/>
    </row>
    <row r="569" customFormat="false" ht="15" hidden="false" customHeight="false" outlineLevel="0" collapsed="false">
      <c r="A569" s="28"/>
      <c r="B569" s="29"/>
      <c r="C569" s="29"/>
      <c r="D569" s="29"/>
      <c r="E569" s="29"/>
    </row>
    <row r="570" customFormat="false" ht="15" hidden="false" customHeight="false" outlineLevel="0" collapsed="false">
      <c r="A570" s="28"/>
      <c r="B570" s="29"/>
      <c r="C570" s="29"/>
      <c r="D570" s="29"/>
      <c r="E570" s="29"/>
    </row>
    <row r="571" customFormat="false" ht="15" hidden="false" customHeight="false" outlineLevel="0" collapsed="false">
      <c r="A571" s="28"/>
      <c r="B571" s="29"/>
      <c r="C571" s="29"/>
      <c r="D571" s="29"/>
      <c r="E571" s="29"/>
    </row>
    <row r="572" customFormat="false" ht="15" hidden="false" customHeight="false" outlineLevel="0" collapsed="false">
      <c r="A572" s="28"/>
      <c r="B572" s="29"/>
      <c r="C572" s="29"/>
      <c r="D572" s="29"/>
      <c r="E572" s="29"/>
    </row>
    <row r="573" customFormat="false" ht="15" hidden="false" customHeight="false" outlineLevel="0" collapsed="false">
      <c r="A573" s="28"/>
      <c r="B573" s="29"/>
      <c r="C573" s="29"/>
      <c r="D573" s="29"/>
      <c r="E573" s="29"/>
    </row>
    <row r="574" customFormat="false" ht="15" hidden="false" customHeight="false" outlineLevel="0" collapsed="false">
      <c r="A574" s="28"/>
      <c r="B574" s="29"/>
      <c r="C574" s="29"/>
      <c r="D574" s="29"/>
      <c r="E574" s="29"/>
    </row>
    <row r="575" customFormat="false" ht="15" hidden="false" customHeight="false" outlineLevel="0" collapsed="false">
      <c r="A575" s="28"/>
      <c r="B575" s="29"/>
      <c r="C575" s="29"/>
      <c r="D575" s="29"/>
      <c r="E575" s="29"/>
    </row>
    <row r="576" customFormat="false" ht="15" hidden="false" customHeight="false" outlineLevel="0" collapsed="false">
      <c r="A576" s="28"/>
      <c r="B576" s="29"/>
      <c r="C576" s="29"/>
      <c r="D576" s="29"/>
      <c r="E576" s="29"/>
    </row>
    <row r="577" customFormat="false" ht="15" hidden="false" customHeight="false" outlineLevel="0" collapsed="false">
      <c r="A577" s="28"/>
      <c r="B577" s="29"/>
      <c r="C577" s="29"/>
      <c r="D577" s="29"/>
      <c r="E577" s="29"/>
    </row>
    <row r="578" customFormat="false" ht="15" hidden="false" customHeight="false" outlineLevel="0" collapsed="false">
      <c r="A578" s="28"/>
      <c r="B578" s="29"/>
      <c r="C578" s="29"/>
      <c r="D578" s="29"/>
      <c r="E578" s="29"/>
    </row>
    <row r="579" customFormat="false" ht="15" hidden="false" customHeight="false" outlineLevel="0" collapsed="false">
      <c r="A579" s="28"/>
      <c r="B579" s="29"/>
      <c r="C579" s="29"/>
      <c r="D579" s="29"/>
      <c r="E579" s="29"/>
    </row>
    <row r="580" customFormat="false" ht="15" hidden="false" customHeight="false" outlineLevel="0" collapsed="false">
      <c r="A580" s="28"/>
      <c r="B580" s="29"/>
      <c r="C580" s="29"/>
      <c r="D580" s="29"/>
      <c r="E580" s="29"/>
    </row>
    <row r="581" customFormat="false" ht="15" hidden="false" customHeight="false" outlineLevel="0" collapsed="false">
      <c r="A581" s="28"/>
      <c r="B581" s="29"/>
      <c r="C581" s="29"/>
      <c r="D581" s="29"/>
      <c r="E581" s="29"/>
    </row>
    <row r="582" customFormat="false" ht="15" hidden="false" customHeight="false" outlineLevel="0" collapsed="false">
      <c r="A582" s="28"/>
      <c r="B582" s="29"/>
      <c r="C582" s="29"/>
      <c r="D582" s="29"/>
      <c r="E582" s="29"/>
    </row>
    <row r="583" customFormat="false" ht="15" hidden="false" customHeight="false" outlineLevel="0" collapsed="false">
      <c r="A583" s="28"/>
      <c r="B583" s="29"/>
      <c r="C583" s="29"/>
      <c r="D583" s="29"/>
      <c r="E583" s="29"/>
    </row>
    <row r="584" customFormat="false" ht="15" hidden="false" customHeight="false" outlineLevel="0" collapsed="false">
      <c r="A584" s="28"/>
      <c r="B584" s="29"/>
      <c r="C584" s="29"/>
      <c r="D584" s="29"/>
      <c r="E584" s="29"/>
    </row>
    <row r="585" customFormat="false" ht="15" hidden="false" customHeight="false" outlineLevel="0" collapsed="false">
      <c r="A585" s="28"/>
      <c r="B585" s="29"/>
      <c r="C585" s="29"/>
      <c r="D585" s="29"/>
      <c r="E585" s="29"/>
    </row>
    <row r="586" customFormat="false" ht="15" hidden="false" customHeight="false" outlineLevel="0" collapsed="false">
      <c r="A586" s="28"/>
      <c r="B586" s="29"/>
      <c r="C586" s="29"/>
      <c r="D586" s="29"/>
      <c r="E586" s="29"/>
    </row>
    <row r="587" customFormat="false" ht="15" hidden="false" customHeight="false" outlineLevel="0" collapsed="false">
      <c r="A587" s="28"/>
      <c r="B587" s="29"/>
      <c r="C587" s="29"/>
      <c r="D587" s="29"/>
      <c r="E587" s="29"/>
    </row>
    <row r="588" customFormat="false" ht="15" hidden="false" customHeight="false" outlineLevel="0" collapsed="false">
      <c r="A588" s="28"/>
      <c r="B588" s="29"/>
      <c r="C588" s="29"/>
      <c r="D588" s="29"/>
      <c r="E588" s="29"/>
    </row>
    <row r="589" customFormat="false" ht="15" hidden="false" customHeight="false" outlineLevel="0" collapsed="false">
      <c r="A589" s="28"/>
      <c r="B589" s="29"/>
      <c r="C589" s="29"/>
      <c r="D589" s="29"/>
      <c r="E589" s="29"/>
    </row>
    <row r="590" customFormat="false" ht="15" hidden="false" customHeight="false" outlineLevel="0" collapsed="false">
      <c r="A590" s="28"/>
      <c r="B590" s="29"/>
      <c r="C590" s="29"/>
      <c r="D590" s="29"/>
      <c r="E590" s="29"/>
    </row>
    <row r="591" customFormat="false" ht="15" hidden="false" customHeight="false" outlineLevel="0" collapsed="false">
      <c r="A591" s="28"/>
      <c r="B591" s="29"/>
      <c r="C591" s="29"/>
      <c r="D591" s="29"/>
      <c r="E591" s="29"/>
    </row>
    <row r="592" customFormat="false" ht="15" hidden="false" customHeight="false" outlineLevel="0" collapsed="false">
      <c r="A592" s="28"/>
      <c r="B592" s="29"/>
      <c r="C592" s="29"/>
      <c r="D592" s="29"/>
      <c r="E592" s="29"/>
    </row>
    <row r="593" customFormat="false" ht="15" hidden="false" customHeight="false" outlineLevel="0" collapsed="false">
      <c r="A593" s="28"/>
      <c r="B593" s="29"/>
      <c r="C593" s="29"/>
      <c r="D593" s="29"/>
      <c r="E593" s="29"/>
    </row>
    <row r="594" customFormat="false" ht="15" hidden="false" customHeight="false" outlineLevel="0" collapsed="false">
      <c r="A594" s="28"/>
      <c r="B594" s="29"/>
      <c r="C594" s="29"/>
      <c r="D594" s="29"/>
      <c r="E594" s="29"/>
    </row>
    <row r="595" customFormat="false" ht="15" hidden="false" customHeight="false" outlineLevel="0" collapsed="false">
      <c r="A595" s="28"/>
      <c r="B595" s="29"/>
      <c r="C595" s="29"/>
      <c r="D595" s="29"/>
      <c r="E595" s="29"/>
    </row>
    <row r="596" customFormat="false" ht="15" hidden="false" customHeight="false" outlineLevel="0" collapsed="false">
      <c r="A596" s="28"/>
      <c r="B596" s="29"/>
      <c r="C596" s="29"/>
      <c r="D596" s="29"/>
      <c r="E596" s="29"/>
    </row>
    <row r="597" customFormat="false" ht="15" hidden="false" customHeight="false" outlineLevel="0" collapsed="false">
      <c r="A597" s="28"/>
      <c r="B597" s="29"/>
      <c r="C597" s="29"/>
      <c r="D597" s="29"/>
      <c r="E597" s="29"/>
    </row>
    <row r="598" customFormat="false" ht="15" hidden="false" customHeight="false" outlineLevel="0" collapsed="false">
      <c r="A598" s="28"/>
      <c r="B598" s="29"/>
      <c r="C598" s="29"/>
      <c r="D598" s="29"/>
      <c r="E598" s="29"/>
    </row>
    <row r="599" customFormat="false" ht="15" hidden="false" customHeight="false" outlineLevel="0" collapsed="false">
      <c r="A599" s="28"/>
      <c r="B599" s="29"/>
      <c r="C599" s="29"/>
      <c r="D599" s="29"/>
      <c r="E599" s="29"/>
    </row>
    <row r="600" customFormat="false" ht="15" hidden="false" customHeight="false" outlineLevel="0" collapsed="false">
      <c r="A600" s="28"/>
      <c r="B600" s="29"/>
      <c r="C600" s="29"/>
      <c r="D600" s="29"/>
      <c r="E600" s="29"/>
    </row>
    <row r="601" customFormat="false" ht="15" hidden="false" customHeight="false" outlineLevel="0" collapsed="false">
      <c r="A601" s="28"/>
      <c r="B601" s="29"/>
      <c r="C601" s="29"/>
      <c r="D601" s="29"/>
      <c r="E601" s="29"/>
    </row>
    <row r="602" customFormat="false" ht="15" hidden="false" customHeight="false" outlineLevel="0" collapsed="false">
      <c r="A602" s="28"/>
      <c r="B602" s="29"/>
      <c r="C602" s="29"/>
      <c r="D602" s="29"/>
      <c r="E602" s="29"/>
    </row>
    <row r="603" customFormat="false" ht="15" hidden="false" customHeight="false" outlineLevel="0" collapsed="false">
      <c r="A603" s="28"/>
      <c r="B603" s="29"/>
      <c r="C603" s="29"/>
      <c r="D603" s="29"/>
      <c r="E603" s="29"/>
    </row>
    <row r="604" customFormat="false" ht="15" hidden="false" customHeight="false" outlineLevel="0" collapsed="false">
      <c r="A604" s="28"/>
      <c r="B604" s="29"/>
      <c r="C604" s="29"/>
      <c r="D604" s="29"/>
      <c r="E604" s="29"/>
    </row>
    <row r="605" customFormat="false" ht="15" hidden="false" customHeight="false" outlineLevel="0" collapsed="false">
      <c r="A605" s="28"/>
      <c r="B605" s="29"/>
      <c r="C605" s="29"/>
      <c r="D605" s="29"/>
      <c r="E605" s="29"/>
    </row>
    <row r="606" customFormat="false" ht="15" hidden="false" customHeight="false" outlineLevel="0" collapsed="false">
      <c r="A606" s="28"/>
      <c r="B606" s="29"/>
      <c r="C606" s="29"/>
      <c r="D606" s="29"/>
      <c r="E606" s="29"/>
    </row>
    <row r="607" customFormat="false" ht="15" hidden="false" customHeight="false" outlineLevel="0" collapsed="false">
      <c r="A607" s="28"/>
      <c r="B607" s="29"/>
      <c r="C607" s="29"/>
      <c r="D607" s="29"/>
      <c r="E607" s="29"/>
    </row>
    <row r="608" customFormat="false" ht="15" hidden="false" customHeight="false" outlineLevel="0" collapsed="false">
      <c r="A608" s="28"/>
      <c r="B608" s="29"/>
      <c r="C608" s="29"/>
      <c r="D608" s="29"/>
      <c r="E608" s="29"/>
    </row>
    <row r="609" customFormat="false" ht="15" hidden="false" customHeight="false" outlineLevel="0" collapsed="false">
      <c r="A609" s="28"/>
      <c r="B609" s="29"/>
      <c r="C609" s="29"/>
      <c r="D609" s="29"/>
      <c r="E609" s="29"/>
    </row>
    <row r="610" customFormat="false" ht="15" hidden="false" customHeight="false" outlineLevel="0" collapsed="false">
      <c r="A610" s="28"/>
      <c r="B610" s="29"/>
      <c r="C610" s="29"/>
      <c r="D610" s="29"/>
      <c r="E610" s="29"/>
    </row>
    <row r="611" customFormat="false" ht="15" hidden="false" customHeight="false" outlineLevel="0" collapsed="false">
      <c r="A611" s="28"/>
      <c r="B611" s="29"/>
      <c r="C611" s="29"/>
      <c r="D611" s="29"/>
      <c r="E611" s="29"/>
    </row>
    <row r="612" customFormat="false" ht="15" hidden="false" customHeight="false" outlineLevel="0" collapsed="false">
      <c r="A612" s="28"/>
      <c r="B612" s="29"/>
      <c r="C612" s="29"/>
      <c r="D612" s="29"/>
      <c r="E612" s="29"/>
    </row>
    <row r="613" customFormat="false" ht="15" hidden="false" customHeight="false" outlineLevel="0" collapsed="false">
      <c r="A613" s="28"/>
      <c r="B613" s="29"/>
      <c r="C613" s="29"/>
      <c r="D613" s="29"/>
      <c r="E613" s="29"/>
    </row>
    <row r="614" customFormat="false" ht="15" hidden="false" customHeight="false" outlineLevel="0" collapsed="false">
      <c r="A614" s="28"/>
      <c r="B614" s="29"/>
      <c r="C614" s="29"/>
      <c r="D614" s="29"/>
      <c r="E614" s="29"/>
    </row>
    <row r="615" customFormat="false" ht="15" hidden="false" customHeight="false" outlineLevel="0" collapsed="false">
      <c r="A615" s="28"/>
      <c r="B615" s="29"/>
      <c r="C615" s="29"/>
      <c r="D615" s="29"/>
      <c r="E615" s="29"/>
    </row>
    <row r="616" customFormat="false" ht="15" hidden="false" customHeight="false" outlineLevel="0" collapsed="false">
      <c r="A616" s="28"/>
      <c r="B616" s="29"/>
      <c r="C616" s="29"/>
      <c r="D616" s="29"/>
      <c r="E616" s="29"/>
    </row>
    <row r="617" customFormat="false" ht="15" hidden="false" customHeight="false" outlineLevel="0" collapsed="false">
      <c r="A617" s="28"/>
      <c r="B617" s="29"/>
      <c r="C617" s="29"/>
      <c r="D617" s="29"/>
      <c r="E617" s="29"/>
    </row>
    <row r="618" customFormat="false" ht="15" hidden="false" customHeight="false" outlineLevel="0" collapsed="false">
      <c r="A618" s="28"/>
      <c r="B618" s="29"/>
      <c r="C618" s="29"/>
      <c r="D618" s="29"/>
      <c r="E618" s="29"/>
    </row>
    <row r="619" customFormat="false" ht="15" hidden="false" customHeight="false" outlineLevel="0" collapsed="false">
      <c r="A619" s="28"/>
      <c r="B619" s="29"/>
      <c r="C619" s="29"/>
      <c r="D619" s="29"/>
      <c r="E619" s="29"/>
    </row>
    <row r="620" customFormat="false" ht="15" hidden="false" customHeight="false" outlineLevel="0" collapsed="false">
      <c r="A620" s="28"/>
      <c r="B620" s="29"/>
      <c r="C620" s="29"/>
      <c r="D620" s="29"/>
      <c r="E620" s="29"/>
    </row>
    <row r="621" customFormat="false" ht="15" hidden="false" customHeight="false" outlineLevel="0" collapsed="false">
      <c r="A621" s="28"/>
      <c r="B621" s="29"/>
      <c r="C621" s="29"/>
      <c r="D621" s="29"/>
      <c r="E621" s="29"/>
    </row>
    <row r="622" customFormat="false" ht="15" hidden="false" customHeight="false" outlineLevel="0" collapsed="false">
      <c r="A622" s="28"/>
      <c r="B622" s="29"/>
      <c r="C622" s="29"/>
      <c r="D622" s="29"/>
      <c r="E622" s="29"/>
    </row>
    <row r="623" customFormat="false" ht="15" hidden="false" customHeight="false" outlineLevel="0" collapsed="false">
      <c r="A623" s="28"/>
      <c r="B623" s="29"/>
      <c r="C623" s="29"/>
      <c r="D623" s="29"/>
      <c r="E623" s="29"/>
    </row>
    <row r="624" customFormat="false" ht="15" hidden="false" customHeight="false" outlineLevel="0" collapsed="false">
      <c r="A624" s="28"/>
      <c r="B624" s="29"/>
      <c r="C624" s="29"/>
      <c r="D624" s="29"/>
      <c r="E624" s="29"/>
    </row>
    <row r="625" customFormat="false" ht="15" hidden="false" customHeight="false" outlineLevel="0" collapsed="false">
      <c r="A625" s="28"/>
      <c r="B625" s="29"/>
      <c r="C625" s="29"/>
      <c r="D625" s="29"/>
      <c r="E625" s="29"/>
    </row>
    <row r="626" customFormat="false" ht="15" hidden="false" customHeight="false" outlineLevel="0" collapsed="false">
      <c r="A626" s="28"/>
      <c r="B626" s="29"/>
      <c r="C626" s="29"/>
      <c r="D626" s="29"/>
      <c r="E626" s="29"/>
    </row>
    <row r="627" customFormat="false" ht="15" hidden="false" customHeight="false" outlineLevel="0" collapsed="false">
      <c r="A627" s="28"/>
      <c r="B627" s="29"/>
      <c r="C627" s="29"/>
      <c r="D627" s="29"/>
      <c r="E627" s="29"/>
    </row>
    <row r="628" customFormat="false" ht="15" hidden="false" customHeight="false" outlineLevel="0" collapsed="false">
      <c r="A628" s="28"/>
      <c r="B628" s="29"/>
      <c r="C628" s="29"/>
      <c r="D628" s="29"/>
      <c r="E628" s="29"/>
    </row>
    <row r="629" customFormat="false" ht="15" hidden="false" customHeight="false" outlineLevel="0" collapsed="false">
      <c r="A629" s="28"/>
      <c r="B629" s="29"/>
      <c r="C629" s="29"/>
      <c r="D629" s="29"/>
      <c r="E629" s="29"/>
    </row>
    <row r="630" customFormat="false" ht="15" hidden="false" customHeight="false" outlineLevel="0" collapsed="false">
      <c r="A630" s="28"/>
      <c r="B630" s="29"/>
      <c r="C630" s="29"/>
      <c r="D630" s="29"/>
      <c r="E630" s="29"/>
    </row>
    <row r="631" customFormat="false" ht="15" hidden="false" customHeight="false" outlineLevel="0" collapsed="false">
      <c r="A631" s="28"/>
      <c r="B631" s="29"/>
      <c r="C631" s="29"/>
      <c r="D631" s="29"/>
      <c r="E631" s="29"/>
    </row>
    <row r="632" customFormat="false" ht="15" hidden="false" customHeight="false" outlineLevel="0" collapsed="false">
      <c r="A632" s="28"/>
      <c r="B632" s="29"/>
      <c r="C632" s="29"/>
      <c r="D632" s="29"/>
      <c r="E632" s="29"/>
    </row>
    <row r="633" customFormat="false" ht="15" hidden="false" customHeight="false" outlineLevel="0" collapsed="false">
      <c r="A633" s="28"/>
      <c r="B633" s="29"/>
      <c r="C633" s="29"/>
      <c r="D633" s="29"/>
      <c r="E633" s="29"/>
    </row>
    <row r="634" customFormat="false" ht="15" hidden="false" customHeight="false" outlineLevel="0" collapsed="false">
      <c r="A634" s="28"/>
      <c r="B634" s="29"/>
      <c r="C634" s="29"/>
      <c r="D634" s="29"/>
      <c r="E634" s="29"/>
    </row>
    <row r="635" customFormat="false" ht="15" hidden="false" customHeight="false" outlineLevel="0" collapsed="false">
      <c r="A635" s="28"/>
      <c r="B635" s="29"/>
      <c r="C635" s="29"/>
      <c r="D635" s="29"/>
      <c r="E635" s="29"/>
    </row>
    <row r="636" customFormat="false" ht="15" hidden="false" customHeight="false" outlineLevel="0" collapsed="false">
      <c r="A636" s="28"/>
      <c r="B636" s="29"/>
      <c r="C636" s="29"/>
      <c r="D636" s="29"/>
      <c r="E636" s="29"/>
    </row>
    <row r="637" customFormat="false" ht="15" hidden="false" customHeight="false" outlineLevel="0" collapsed="false">
      <c r="A637" s="28"/>
      <c r="B637" s="29"/>
      <c r="C637" s="29"/>
      <c r="D637" s="29"/>
      <c r="E637" s="29"/>
    </row>
    <row r="638" customFormat="false" ht="15" hidden="false" customHeight="false" outlineLevel="0" collapsed="false">
      <c r="A638" s="28"/>
      <c r="B638" s="29"/>
      <c r="C638" s="29"/>
      <c r="D638" s="29"/>
      <c r="E638" s="29"/>
    </row>
    <row r="639" customFormat="false" ht="15" hidden="false" customHeight="false" outlineLevel="0" collapsed="false">
      <c r="A639" s="28"/>
      <c r="B639" s="29"/>
      <c r="C639" s="29"/>
      <c r="D639" s="29"/>
      <c r="E639" s="29"/>
    </row>
    <row r="640" customFormat="false" ht="15" hidden="false" customHeight="false" outlineLevel="0" collapsed="false">
      <c r="A640" s="28"/>
      <c r="B640" s="29"/>
      <c r="C640" s="29"/>
      <c r="D640" s="29"/>
      <c r="E640" s="29"/>
    </row>
    <row r="641" customFormat="false" ht="15" hidden="false" customHeight="false" outlineLevel="0" collapsed="false">
      <c r="A641" s="28"/>
      <c r="B641" s="29"/>
      <c r="C641" s="29"/>
      <c r="D641" s="29"/>
      <c r="E641" s="29"/>
    </row>
    <row r="642" customFormat="false" ht="15" hidden="false" customHeight="false" outlineLevel="0" collapsed="false">
      <c r="A642" s="28"/>
      <c r="B642" s="29"/>
      <c r="C642" s="29"/>
      <c r="D642" s="29"/>
      <c r="E642" s="29"/>
    </row>
    <row r="643" customFormat="false" ht="15" hidden="false" customHeight="false" outlineLevel="0" collapsed="false">
      <c r="A643" s="28"/>
      <c r="B643" s="29"/>
      <c r="C643" s="29"/>
      <c r="D643" s="29"/>
      <c r="E643" s="29"/>
    </row>
    <row r="644" customFormat="false" ht="15" hidden="false" customHeight="false" outlineLevel="0" collapsed="false">
      <c r="A644" s="28"/>
      <c r="B644" s="29"/>
      <c r="C644" s="29"/>
      <c r="D644" s="29"/>
      <c r="E644" s="29"/>
    </row>
    <row r="645" customFormat="false" ht="15" hidden="false" customHeight="false" outlineLevel="0" collapsed="false">
      <c r="A645" s="28"/>
      <c r="B645" s="29"/>
      <c r="C645" s="29"/>
      <c r="D645" s="29"/>
      <c r="E645" s="29"/>
    </row>
    <row r="646" customFormat="false" ht="15" hidden="false" customHeight="false" outlineLevel="0" collapsed="false">
      <c r="A646" s="28"/>
      <c r="B646" s="29"/>
      <c r="C646" s="29"/>
      <c r="D646" s="29"/>
      <c r="E646" s="29"/>
    </row>
    <row r="647" customFormat="false" ht="15" hidden="false" customHeight="false" outlineLevel="0" collapsed="false">
      <c r="A647" s="28"/>
      <c r="B647" s="29"/>
      <c r="C647" s="29"/>
      <c r="D647" s="29"/>
      <c r="E647" s="29"/>
    </row>
    <row r="648" customFormat="false" ht="15" hidden="false" customHeight="false" outlineLevel="0" collapsed="false">
      <c r="A648" s="28"/>
      <c r="B648" s="29"/>
      <c r="C648" s="29"/>
      <c r="D648" s="29"/>
      <c r="E648" s="29"/>
    </row>
    <row r="649" customFormat="false" ht="15" hidden="false" customHeight="false" outlineLevel="0" collapsed="false">
      <c r="A649" s="28"/>
      <c r="B649" s="29"/>
      <c r="C649" s="29"/>
      <c r="D649" s="29"/>
      <c r="E649" s="29"/>
    </row>
    <row r="650" customFormat="false" ht="15" hidden="false" customHeight="false" outlineLevel="0" collapsed="false">
      <c r="A650" s="28"/>
      <c r="B650" s="29"/>
      <c r="C650" s="29"/>
      <c r="D650" s="29"/>
      <c r="E650" s="29"/>
    </row>
    <row r="651" customFormat="false" ht="15" hidden="false" customHeight="false" outlineLevel="0" collapsed="false">
      <c r="A651" s="28"/>
      <c r="B651" s="29"/>
      <c r="C651" s="29"/>
      <c r="D651" s="29"/>
      <c r="E651" s="29"/>
    </row>
    <row r="652" customFormat="false" ht="15" hidden="false" customHeight="false" outlineLevel="0" collapsed="false">
      <c r="A652" s="28"/>
      <c r="B652" s="29"/>
      <c r="C652" s="29"/>
      <c r="D652" s="29"/>
      <c r="E652" s="29"/>
    </row>
    <row r="653" customFormat="false" ht="15" hidden="false" customHeight="false" outlineLevel="0" collapsed="false">
      <c r="A653" s="28"/>
      <c r="B653" s="29"/>
      <c r="C653" s="29"/>
      <c r="D653" s="29"/>
      <c r="E653" s="29"/>
    </row>
    <row r="654" customFormat="false" ht="15" hidden="false" customHeight="false" outlineLevel="0" collapsed="false">
      <c r="A654" s="28"/>
      <c r="B654" s="29"/>
      <c r="C654" s="29"/>
      <c r="D654" s="29"/>
      <c r="E654" s="29"/>
    </row>
    <row r="655" customFormat="false" ht="15" hidden="false" customHeight="false" outlineLevel="0" collapsed="false">
      <c r="A655" s="28"/>
      <c r="B655" s="29"/>
      <c r="C655" s="29"/>
      <c r="D655" s="29"/>
      <c r="E655" s="29"/>
    </row>
    <row r="656" customFormat="false" ht="15" hidden="false" customHeight="false" outlineLevel="0" collapsed="false">
      <c r="A656" s="28"/>
      <c r="B656" s="29"/>
      <c r="C656" s="29"/>
      <c r="D656" s="29"/>
      <c r="E656" s="29"/>
    </row>
    <row r="657" customFormat="false" ht="15" hidden="false" customHeight="false" outlineLevel="0" collapsed="false">
      <c r="A657" s="28"/>
      <c r="B657" s="29"/>
      <c r="C657" s="29"/>
      <c r="D657" s="29"/>
      <c r="E657" s="29"/>
    </row>
    <row r="658" customFormat="false" ht="15" hidden="false" customHeight="false" outlineLevel="0" collapsed="false">
      <c r="A658" s="28"/>
      <c r="B658" s="29"/>
      <c r="C658" s="29"/>
      <c r="D658" s="29"/>
      <c r="E658" s="29"/>
    </row>
    <row r="659" customFormat="false" ht="15" hidden="false" customHeight="false" outlineLevel="0" collapsed="false">
      <c r="A659" s="28"/>
      <c r="B659" s="29"/>
      <c r="C659" s="29"/>
      <c r="D659" s="29"/>
      <c r="E659" s="29"/>
    </row>
    <row r="660" customFormat="false" ht="15" hidden="false" customHeight="false" outlineLevel="0" collapsed="false">
      <c r="A660" s="28"/>
      <c r="B660" s="29"/>
      <c r="C660" s="29"/>
      <c r="D660" s="29"/>
      <c r="E660" s="29"/>
    </row>
    <row r="661" customFormat="false" ht="15" hidden="false" customHeight="false" outlineLevel="0" collapsed="false">
      <c r="A661" s="28"/>
      <c r="B661" s="29"/>
      <c r="C661" s="29"/>
      <c r="D661" s="29"/>
      <c r="E661" s="29"/>
    </row>
    <row r="662" customFormat="false" ht="15" hidden="false" customHeight="false" outlineLevel="0" collapsed="false">
      <c r="A662" s="28"/>
      <c r="B662" s="29"/>
      <c r="C662" s="29"/>
      <c r="D662" s="29"/>
      <c r="E662" s="29"/>
    </row>
    <row r="663" customFormat="false" ht="15" hidden="false" customHeight="false" outlineLevel="0" collapsed="false">
      <c r="A663" s="28"/>
      <c r="B663" s="29"/>
      <c r="C663" s="29"/>
      <c r="D663" s="29"/>
      <c r="E663" s="29"/>
    </row>
    <row r="664" customFormat="false" ht="15" hidden="false" customHeight="false" outlineLevel="0" collapsed="false">
      <c r="A664" s="28"/>
      <c r="B664" s="29"/>
      <c r="C664" s="29"/>
      <c r="D664" s="29"/>
      <c r="E664" s="29"/>
    </row>
    <row r="665" customFormat="false" ht="15" hidden="false" customHeight="false" outlineLevel="0" collapsed="false">
      <c r="A665" s="28"/>
      <c r="B665" s="29"/>
      <c r="C665" s="29"/>
      <c r="D665" s="29"/>
      <c r="E665" s="29"/>
    </row>
    <row r="666" customFormat="false" ht="15" hidden="false" customHeight="false" outlineLevel="0" collapsed="false">
      <c r="A666" s="28"/>
      <c r="B666" s="29"/>
      <c r="C666" s="29"/>
      <c r="D666" s="29"/>
      <c r="E666" s="29"/>
    </row>
    <row r="667" customFormat="false" ht="15" hidden="false" customHeight="false" outlineLevel="0" collapsed="false">
      <c r="A667" s="28"/>
      <c r="B667" s="29"/>
      <c r="C667" s="29"/>
      <c r="D667" s="29"/>
      <c r="E667" s="29"/>
    </row>
    <row r="668" customFormat="false" ht="15" hidden="false" customHeight="false" outlineLevel="0" collapsed="false">
      <c r="A668" s="28"/>
      <c r="B668" s="29"/>
      <c r="C668" s="29"/>
      <c r="D668" s="29"/>
      <c r="E668" s="29"/>
    </row>
    <row r="669" customFormat="false" ht="15" hidden="false" customHeight="false" outlineLevel="0" collapsed="false">
      <c r="A669" s="28"/>
      <c r="B669" s="29"/>
      <c r="C669" s="29"/>
      <c r="D669" s="29"/>
      <c r="E669" s="29"/>
    </row>
    <row r="670" customFormat="false" ht="15" hidden="false" customHeight="false" outlineLevel="0" collapsed="false">
      <c r="A670" s="28"/>
      <c r="B670" s="29"/>
      <c r="C670" s="29"/>
      <c r="D670" s="29"/>
      <c r="E670" s="29"/>
    </row>
    <row r="671" customFormat="false" ht="15" hidden="false" customHeight="false" outlineLevel="0" collapsed="false">
      <c r="A671" s="28"/>
      <c r="B671" s="29"/>
      <c r="C671" s="29"/>
      <c r="D671" s="29"/>
      <c r="E671" s="29"/>
    </row>
    <row r="672" customFormat="false" ht="15" hidden="false" customHeight="false" outlineLevel="0" collapsed="false">
      <c r="A672" s="28"/>
      <c r="B672" s="29"/>
      <c r="C672" s="29"/>
      <c r="D672" s="29"/>
      <c r="E672" s="29"/>
    </row>
    <row r="673" customFormat="false" ht="15" hidden="false" customHeight="false" outlineLevel="0" collapsed="false">
      <c r="A673" s="28"/>
      <c r="B673" s="29"/>
      <c r="C673" s="29"/>
      <c r="D673" s="29"/>
      <c r="E673" s="29"/>
    </row>
    <row r="674" customFormat="false" ht="15" hidden="false" customHeight="false" outlineLevel="0" collapsed="false">
      <c r="A674" s="28"/>
      <c r="B674" s="29"/>
      <c r="C674" s="29"/>
      <c r="D674" s="29"/>
      <c r="E674" s="29"/>
    </row>
    <row r="675" customFormat="false" ht="15" hidden="false" customHeight="false" outlineLevel="0" collapsed="false">
      <c r="A675" s="28"/>
      <c r="B675" s="29"/>
      <c r="C675" s="29"/>
      <c r="D675" s="29"/>
      <c r="E675" s="29"/>
    </row>
    <row r="676" customFormat="false" ht="15" hidden="false" customHeight="false" outlineLevel="0" collapsed="false">
      <c r="A676" s="28"/>
      <c r="B676" s="29"/>
      <c r="C676" s="29"/>
      <c r="D676" s="29"/>
      <c r="E676" s="29"/>
    </row>
    <row r="677" customFormat="false" ht="15" hidden="false" customHeight="false" outlineLevel="0" collapsed="false">
      <c r="A677" s="28"/>
      <c r="B677" s="29"/>
      <c r="C677" s="29"/>
      <c r="D677" s="29"/>
      <c r="E677" s="29"/>
    </row>
    <row r="678" customFormat="false" ht="15" hidden="false" customHeight="false" outlineLevel="0" collapsed="false">
      <c r="A678" s="28"/>
      <c r="B678" s="29"/>
      <c r="C678" s="29"/>
      <c r="D678" s="29"/>
      <c r="E678" s="29"/>
    </row>
    <row r="679" customFormat="false" ht="15" hidden="false" customHeight="false" outlineLevel="0" collapsed="false">
      <c r="A679" s="28"/>
      <c r="B679" s="29"/>
      <c r="C679" s="29"/>
      <c r="D679" s="29"/>
      <c r="E679" s="29"/>
    </row>
    <row r="680" customFormat="false" ht="15" hidden="false" customHeight="false" outlineLevel="0" collapsed="false">
      <c r="A680" s="28"/>
      <c r="B680" s="29"/>
      <c r="C680" s="29"/>
      <c r="D680" s="29"/>
      <c r="E680" s="29"/>
    </row>
    <row r="681" customFormat="false" ht="15" hidden="false" customHeight="false" outlineLevel="0" collapsed="false">
      <c r="A681" s="28"/>
      <c r="B681" s="29"/>
      <c r="C681" s="29"/>
      <c r="D681" s="29"/>
      <c r="E681" s="29"/>
    </row>
    <row r="682" customFormat="false" ht="15" hidden="false" customHeight="false" outlineLevel="0" collapsed="false">
      <c r="A682" s="28"/>
      <c r="B682" s="29"/>
      <c r="C682" s="29"/>
      <c r="D682" s="29"/>
      <c r="E682" s="29"/>
    </row>
    <row r="683" customFormat="false" ht="15" hidden="false" customHeight="false" outlineLevel="0" collapsed="false">
      <c r="A683" s="28"/>
      <c r="B683" s="29"/>
      <c r="C683" s="29"/>
      <c r="D683" s="29"/>
      <c r="E683" s="29"/>
    </row>
    <row r="684" customFormat="false" ht="15" hidden="false" customHeight="false" outlineLevel="0" collapsed="false">
      <c r="A684" s="28"/>
      <c r="B684" s="29"/>
      <c r="C684" s="29"/>
      <c r="D684" s="29"/>
      <c r="E684" s="29"/>
    </row>
    <row r="685" customFormat="false" ht="15" hidden="false" customHeight="false" outlineLevel="0" collapsed="false">
      <c r="A685" s="28"/>
      <c r="B685" s="29"/>
      <c r="C685" s="29"/>
      <c r="D685" s="29"/>
      <c r="E685" s="29"/>
    </row>
    <row r="686" customFormat="false" ht="15" hidden="false" customHeight="false" outlineLevel="0" collapsed="false">
      <c r="A686" s="28"/>
      <c r="B686" s="29"/>
      <c r="C686" s="29"/>
      <c r="D686" s="29"/>
      <c r="E686" s="29"/>
    </row>
    <row r="687" customFormat="false" ht="15" hidden="false" customHeight="false" outlineLevel="0" collapsed="false">
      <c r="A687" s="28"/>
      <c r="B687" s="29"/>
      <c r="C687" s="29"/>
      <c r="D687" s="29"/>
      <c r="E687" s="29"/>
    </row>
    <row r="688" customFormat="false" ht="15" hidden="false" customHeight="false" outlineLevel="0" collapsed="false">
      <c r="A688" s="28"/>
      <c r="B688" s="29"/>
      <c r="C688" s="29"/>
      <c r="D688" s="29"/>
      <c r="E688" s="29"/>
    </row>
    <row r="689" customFormat="false" ht="15" hidden="false" customHeight="false" outlineLevel="0" collapsed="false">
      <c r="A689" s="28"/>
      <c r="B689" s="29"/>
      <c r="C689" s="29"/>
      <c r="D689" s="29"/>
      <c r="E689" s="29"/>
    </row>
    <row r="690" customFormat="false" ht="15" hidden="false" customHeight="false" outlineLevel="0" collapsed="false">
      <c r="A690" s="28"/>
      <c r="B690" s="29"/>
      <c r="C690" s="29"/>
      <c r="D690" s="29"/>
      <c r="E690" s="29"/>
    </row>
    <row r="691" customFormat="false" ht="15" hidden="false" customHeight="false" outlineLevel="0" collapsed="false">
      <c r="A691" s="28"/>
      <c r="B691" s="29"/>
      <c r="C691" s="29"/>
      <c r="D691" s="29"/>
      <c r="E691" s="29"/>
    </row>
    <row r="692" customFormat="false" ht="15" hidden="false" customHeight="false" outlineLevel="0" collapsed="false">
      <c r="A692" s="28"/>
      <c r="B692" s="29"/>
      <c r="C692" s="29"/>
      <c r="D692" s="29"/>
      <c r="E692" s="29"/>
    </row>
    <row r="693" customFormat="false" ht="15" hidden="false" customHeight="false" outlineLevel="0" collapsed="false">
      <c r="A693" s="28"/>
      <c r="B693" s="29"/>
      <c r="C693" s="29"/>
      <c r="D693" s="29"/>
      <c r="E693" s="29"/>
    </row>
    <row r="694" customFormat="false" ht="15" hidden="false" customHeight="false" outlineLevel="0" collapsed="false">
      <c r="A694" s="28"/>
      <c r="B694" s="29"/>
      <c r="C694" s="29"/>
      <c r="D694" s="29"/>
      <c r="E694" s="29"/>
    </row>
    <row r="695" customFormat="false" ht="15" hidden="false" customHeight="false" outlineLevel="0" collapsed="false">
      <c r="A695" s="28"/>
      <c r="B695" s="29"/>
      <c r="C695" s="29"/>
      <c r="D695" s="29"/>
      <c r="E695" s="29"/>
    </row>
    <row r="696" customFormat="false" ht="15" hidden="false" customHeight="false" outlineLevel="0" collapsed="false">
      <c r="A696" s="28"/>
      <c r="B696" s="29"/>
      <c r="C696" s="29"/>
      <c r="D696" s="29"/>
      <c r="E696" s="29"/>
    </row>
    <row r="697" customFormat="false" ht="15" hidden="false" customHeight="false" outlineLevel="0" collapsed="false">
      <c r="A697" s="28"/>
      <c r="B697" s="29"/>
      <c r="C697" s="29"/>
      <c r="D697" s="29"/>
      <c r="E697" s="29"/>
    </row>
    <row r="698" customFormat="false" ht="15" hidden="false" customHeight="false" outlineLevel="0" collapsed="false">
      <c r="A698" s="28"/>
      <c r="B698" s="29"/>
      <c r="C698" s="29"/>
      <c r="D698" s="29"/>
      <c r="E698" s="29"/>
    </row>
    <row r="699" customFormat="false" ht="15" hidden="false" customHeight="false" outlineLevel="0" collapsed="false">
      <c r="A699" s="28"/>
      <c r="B699" s="29"/>
      <c r="C699" s="29"/>
      <c r="D699" s="29"/>
      <c r="E699" s="29"/>
    </row>
    <row r="700" customFormat="false" ht="15" hidden="false" customHeight="false" outlineLevel="0" collapsed="false">
      <c r="A700" s="28"/>
      <c r="B700" s="29"/>
      <c r="C700" s="29"/>
      <c r="D700" s="29"/>
      <c r="E700" s="29"/>
    </row>
    <row r="701" customFormat="false" ht="15" hidden="false" customHeight="false" outlineLevel="0" collapsed="false">
      <c r="A701" s="28"/>
      <c r="B701" s="29"/>
      <c r="C701" s="29"/>
      <c r="D701" s="29"/>
      <c r="E701" s="29"/>
    </row>
    <row r="702" customFormat="false" ht="15" hidden="false" customHeight="false" outlineLevel="0" collapsed="false">
      <c r="A702" s="28"/>
      <c r="B702" s="29"/>
      <c r="C702" s="29"/>
      <c r="D702" s="29"/>
      <c r="E702" s="29"/>
    </row>
    <row r="703" customFormat="false" ht="15" hidden="false" customHeight="false" outlineLevel="0" collapsed="false">
      <c r="A703" s="28"/>
      <c r="B703" s="29"/>
      <c r="C703" s="29"/>
      <c r="D703" s="29"/>
      <c r="E703" s="29"/>
    </row>
    <row r="704" customFormat="false" ht="15" hidden="false" customHeight="false" outlineLevel="0" collapsed="false">
      <c r="A704" s="28"/>
      <c r="B704" s="29"/>
      <c r="C704" s="29"/>
      <c r="D704" s="29"/>
      <c r="E704" s="29"/>
    </row>
    <row r="705" customFormat="false" ht="15" hidden="false" customHeight="false" outlineLevel="0" collapsed="false">
      <c r="A705" s="28"/>
      <c r="B705" s="29"/>
      <c r="C705" s="29"/>
      <c r="D705" s="29"/>
      <c r="E705" s="29"/>
    </row>
    <row r="706" customFormat="false" ht="15" hidden="false" customHeight="false" outlineLevel="0" collapsed="false">
      <c r="A706" s="28"/>
      <c r="B706" s="29"/>
      <c r="C706" s="29"/>
      <c r="D706" s="29"/>
      <c r="E706" s="29"/>
    </row>
    <row r="707" customFormat="false" ht="15" hidden="false" customHeight="false" outlineLevel="0" collapsed="false">
      <c r="A707" s="28"/>
      <c r="B707" s="29"/>
      <c r="C707" s="29"/>
      <c r="D707" s="29"/>
      <c r="E707" s="29"/>
    </row>
    <row r="708" customFormat="false" ht="15" hidden="false" customHeight="false" outlineLevel="0" collapsed="false">
      <c r="A708" s="28"/>
      <c r="B708" s="29"/>
      <c r="C708" s="29"/>
      <c r="D708" s="29"/>
      <c r="E708" s="29"/>
    </row>
    <row r="709" customFormat="false" ht="15" hidden="false" customHeight="false" outlineLevel="0" collapsed="false">
      <c r="A709" s="28"/>
      <c r="B709" s="29"/>
      <c r="C709" s="29"/>
      <c r="D709" s="29"/>
      <c r="E709" s="29"/>
    </row>
    <row r="710" customFormat="false" ht="15" hidden="false" customHeight="false" outlineLevel="0" collapsed="false">
      <c r="A710" s="28"/>
      <c r="B710" s="29"/>
      <c r="C710" s="29"/>
      <c r="D710" s="29"/>
      <c r="E710" s="29"/>
    </row>
    <row r="711" customFormat="false" ht="15" hidden="false" customHeight="false" outlineLevel="0" collapsed="false">
      <c r="A711" s="28"/>
      <c r="B711" s="29"/>
      <c r="C711" s="29"/>
      <c r="D711" s="29"/>
      <c r="E711" s="29"/>
    </row>
    <row r="712" customFormat="false" ht="15" hidden="false" customHeight="false" outlineLevel="0" collapsed="false">
      <c r="A712" s="28"/>
      <c r="B712" s="29"/>
      <c r="C712" s="29"/>
      <c r="D712" s="29"/>
      <c r="E712" s="29"/>
    </row>
    <row r="713" customFormat="false" ht="15" hidden="false" customHeight="false" outlineLevel="0" collapsed="false">
      <c r="A713" s="28"/>
      <c r="B713" s="29"/>
      <c r="C713" s="29"/>
      <c r="D713" s="29"/>
      <c r="E713" s="29"/>
    </row>
    <row r="714" customFormat="false" ht="15" hidden="false" customHeight="false" outlineLevel="0" collapsed="false">
      <c r="A714" s="28"/>
      <c r="B714" s="29"/>
      <c r="C714" s="29"/>
      <c r="D714" s="29"/>
      <c r="E714" s="29"/>
    </row>
    <row r="715" customFormat="false" ht="15" hidden="false" customHeight="false" outlineLevel="0" collapsed="false">
      <c r="A715" s="28"/>
      <c r="B715" s="29"/>
      <c r="C715" s="29"/>
      <c r="D715" s="29"/>
      <c r="E715" s="29"/>
    </row>
    <row r="716" customFormat="false" ht="15" hidden="false" customHeight="false" outlineLevel="0" collapsed="false">
      <c r="A716" s="28"/>
      <c r="B716" s="29"/>
      <c r="C716" s="29"/>
      <c r="D716" s="29"/>
      <c r="E716" s="29"/>
    </row>
    <row r="717" customFormat="false" ht="15" hidden="false" customHeight="false" outlineLevel="0" collapsed="false">
      <c r="A717" s="28"/>
      <c r="B717" s="29"/>
      <c r="C717" s="29"/>
      <c r="D717" s="29"/>
      <c r="E717" s="29"/>
    </row>
    <row r="718" customFormat="false" ht="15" hidden="false" customHeight="false" outlineLevel="0" collapsed="false">
      <c r="A718" s="28"/>
      <c r="B718" s="29"/>
      <c r="C718" s="29"/>
      <c r="D718" s="29"/>
      <c r="E718" s="29"/>
    </row>
    <row r="719" customFormat="false" ht="15" hidden="false" customHeight="false" outlineLevel="0" collapsed="false">
      <c r="A719" s="28"/>
      <c r="B719" s="29"/>
      <c r="C719" s="29"/>
      <c r="D719" s="29"/>
      <c r="E719" s="29"/>
    </row>
    <row r="720" customFormat="false" ht="15" hidden="false" customHeight="false" outlineLevel="0" collapsed="false">
      <c r="A720" s="28"/>
      <c r="B720" s="29"/>
      <c r="C720" s="29"/>
      <c r="D720" s="29"/>
      <c r="E720" s="29"/>
    </row>
    <row r="721" customFormat="false" ht="15" hidden="false" customHeight="false" outlineLevel="0" collapsed="false">
      <c r="A721" s="28"/>
      <c r="B721" s="29"/>
      <c r="C721" s="29"/>
      <c r="D721" s="29"/>
      <c r="E721" s="29"/>
    </row>
    <row r="722" customFormat="false" ht="15" hidden="false" customHeight="false" outlineLevel="0" collapsed="false">
      <c r="A722" s="28"/>
      <c r="B722" s="29"/>
      <c r="C722" s="29"/>
      <c r="D722" s="29"/>
      <c r="E722" s="29"/>
    </row>
    <row r="723" customFormat="false" ht="15" hidden="false" customHeight="false" outlineLevel="0" collapsed="false">
      <c r="A723" s="28"/>
      <c r="B723" s="29"/>
      <c r="C723" s="29"/>
      <c r="D723" s="29"/>
      <c r="E723" s="29"/>
    </row>
    <row r="724" customFormat="false" ht="15" hidden="false" customHeight="false" outlineLevel="0" collapsed="false">
      <c r="A724" s="28"/>
      <c r="B724" s="29"/>
      <c r="C724" s="29"/>
      <c r="D724" s="29"/>
      <c r="E724" s="29"/>
    </row>
    <row r="725" customFormat="false" ht="15" hidden="false" customHeight="false" outlineLevel="0" collapsed="false">
      <c r="A725" s="28"/>
      <c r="B725" s="29"/>
      <c r="C725" s="29"/>
      <c r="D725" s="29"/>
      <c r="E725" s="29"/>
    </row>
    <row r="726" customFormat="false" ht="15" hidden="false" customHeight="false" outlineLevel="0" collapsed="false">
      <c r="A726" s="28"/>
      <c r="B726" s="29"/>
      <c r="C726" s="29"/>
      <c r="D726" s="29"/>
      <c r="E726" s="29"/>
    </row>
    <row r="727" customFormat="false" ht="15" hidden="false" customHeight="false" outlineLevel="0" collapsed="false">
      <c r="A727" s="28"/>
      <c r="B727" s="29"/>
      <c r="C727" s="29"/>
      <c r="D727" s="29"/>
      <c r="E727" s="29"/>
    </row>
    <row r="728" customFormat="false" ht="15" hidden="false" customHeight="false" outlineLevel="0" collapsed="false">
      <c r="A728" s="28"/>
      <c r="B728" s="29"/>
      <c r="C728" s="29"/>
      <c r="D728" s="29"/>
      <c r="E728" s="29"/>
    </row>
    <row r="729" customFormat="false" ht="15" hidden="false" customHeight="false" outlineLevel="0" collapsed="false">
      <c r="A729" s="28"/>
      <c r="B729" s="29"/>
      <c r="C729" s="29"/>
      <c r="D729" s="29"/>
      <c r="E729" s="29"/>
    </row>
    <row r="730" customFormat="false" ht="15" hidden="false" customHeight="false" outlineLevel="0" collapsed="false">
      <c r="A730" s="28"/>
      <c r="B730" s="29"/>
      <c r="C730" s="29"/>
      <c r="D730" s="29"/>
      <c r="E730" s="29"/>
    </row>
    <row r="731" customFormat="false" ht="15" hidden="false" customHeight="false" outlineLevel="0" collapsed="false">
      <c r="A731" s="28"/>
      <c r="B731" s="29"/>
      <c r="C731" s="29"/>
      <c r="D731" s="29"/>
      <c r="E731" s="29"/>
    </row>
    <row r="732" customFormat="false" ht="15" hidden="false" customHeight="false" outlineLevel="0" collapsed="false">
      <c r="A732" s="28"/>
      <c r="B732" s="29"/>
      <c r="C732" s="29"/>
      <c r="D732" s="29"/>
      <c r="E732" s="29"/>
    </row>
    <row r="733" customFormat="false" ht="15" hidden="false" customHeight="false" outlineLevel="0" collapsed="false">
      <c r="A733" s="28"/>
      <c r="B733" s="29"/>
      <c r="C733" s="29"/>
      <c r="D733" s="29"/>
      <c r="E733" s="29"/>
    </row>
    <row r="734" customFormat="false" ht="15" hidden="false" customHeight="false" outlineLevel="0" collapsed="false">
      <c r="A734" s="28"/>
      <c r="B734" s="29"/>
      <c r="C734" s="29"/>
      <c r="D734" s="29"/>
      <c r="E734" s="29"/>
    </row>
    <row r="735" customFormat="false" ht="15" hidden="false" customHeight="false" outlineLevel="0" collapsed="false">
      <c r="A735" s="28"/>
      <c r="B735" s="29"/>
      <c r="C735" s="29"/>
      <c r="D735" s="29"/>
      <c r="E735" s="29"/>
    </row>
    <row r="736" customFormat="false" ht="15" hidden="false" customHeight="false" outlineLevel="0" collapsed="false">
      <c r="A736" s="28"/>
      <c r="B736" s="29"/>
      <c r="C736" s="29"/>
      <c r="D736" s="29"/>
      <c r="E736" s="29"/>
    </row>
    <row r="737" customFormat="false" ht="15" hidden="false" customHeight="false" outlineLevel="0" collapsed="false">
      <c r="A737" s="28"/>
      <c r="B737" s="29"/>
      <c r="C737" s="29"/>
      <c r="D737" s="29"/>
      <c r="E737" s="29"/>
    </row>
    <row r="738" customFormat="false" ht="15" hidden="false" customHeight="false" outlineLevel="0" collapsed="false">
      <c r="A738" s="28"/>
      <c r="B738" s="29"/>
      <c r="C738" s="29"/>
      <c r="D738" s="29"/>
      <c r="E738" s="29"/>
    </row>
    <row r="739" customFormat="false" ht="15" hidden="false" customHeight="false" outlineLevel="0" collapsed="false">
      <c r="A739" s="28"/>
      <c r="B739" s="29"/>
      <c r="C739" s="29"/>
      <c r="D739" s="29"/>
      <c r="E739" s="29"/>
    </row>
    <row r="740" customFormat="false" ht="15" hidden="false" customHeight="false" outlineLevel="0" collapsed="false">
      <c r="A740" s="28"/>
      <c r="B740" s="29"/>
      <c r="C740" s="29"/>
      <c r="D740" s="29"/>
      <c r="E740" s="29"/>
    </row>
    <row r="741" customFormat="false" ht="15" hidden="false" customHeight="false" outlineLevel="0" collapsed="false">
      <c r="A741" s="28"/>
      <c r="B741" s="29"/>
      <c r="C741" s="29"/>
      <c r="D741" s="29"/>
      <c r="E741" s="29"/>
    </row>
    <row r="742" customFormat="false" ht="15" hidden="false" customHeight="false" outlineLevel="0" collapsed="false">
      <c r="A742" s="28"/>
      <c r="B742" s="29"/>
      <c r="C742" s="29"/>
      <c r="D742" s="29"/>
      <c r="E742" s="29"/>
    </row>
    <row r="743" customFormat="false" ht="15" hidden="false" customHeight="false" outlineLevel="0" collapsed="false">
      <c r="A743" s="28"/>
      <c r="B743" s="29"/>
      <c r="C743" s="29"/>
      <c r="D743" s="29"/>
      <c r="E743" s="29"/>
    </row>
    <row r="744" customFormat="false" ht="15" hidden="false" customHeight="false" outlineLevel="0" collapsed="false">
      <c r="A744" s="28"/>
      <c r="B744" s="29"/>
      <c r="C744" s="29"/>
      <c r="D744" s="29"/>
      <c r="E744" s="29"/>
    </row>
    <row r="745" customFormat="false" ht="15" hidden="false" customHeight="false" outlineLevel="0" collapsed="false">
      <c r="A745" s="28"/>
      <c r="B745" s="29"/>
      <c r="C745" s="29"/>
      <c r="D745" s="29"/>
      <c r="E745" s="29"/>
    </row>
    <row r="746" customFormat="false" ht="15" hidden="false" customHeight="false" outlineLevel="0" collapsed="false">
      <c r="A746" s="28"/>
      <c r="B746" s="29"/>
      <c r="C746" s="29"/>
      <c r="D746" s="29"/>
      <c r="E746" s="29"/>
    </row>
    <row r="747" customFormat="false" ht="15" hidden="false" customHeight="false" outlineLevel="0" collapsed="false">
      <c r="A747" s="28"/>
      <c r="B747" s="29"/>
      <c r="C747" s="29"/>
      <c r="D747" s="29"/>
      <c r="E747" s="29"/>
    </row>
    <row r="748" customFormat="false" ht="15" hidden="false" customHeight="false" outlineLevel="0" collapsed="false">
      <c r="A748" s="28"/>
      <c r="B748" s="29"/>
      <c r="C748" s="29"/>
      <c r="D748" s="29"/>
      <c r="E748" s="29"/>
    </row>
    <row r="749" customFormat="false" ht="15" hidden="false" customHeight="false" outlineLevel="0" collapsed="false">
      <c r="A749" s="28"/>
      <c r="B749" s="29"/>
      <c r="C749" s="29"/>
      <c r="D749" s="29"/>
      <c r="E749" s="29"/>
    </row>
    <row r="750" customFormat="false" ht="15" hidden="false" customHeight="false" outlineLevel="0" collapsed="false">
      <c r="A750" s="28"/>
      <c r="B750" s="29"/>
      <c r="C750" s="29"/>
      <c r="D750" s="29"/>
      <c r="E750" s="29"/>
    </row>
    <row r="751" customFormat="false" ht="15" hidden="false" customHeight="false" outlineLevel="0" collapsed="false">
      <c r="A751" s="28"/>
      <c r="B751" s="29"/>
      <c r="C751" s="29"/>
      <c r="D751" s="29"/>
      <c r="E751" s="29"/>
    </row>
    <row r="752" customFormat="false" ht="15" hidden="false" customHeight="false" outlineLevel="0" collapsed="false">
      <c r="A752" s="28"/>
      <c r="B752" s="29"/>
      <c r="C752" s="29"/>
      <c r="D752" s="29"/>
      <c r="E752" s="29"/>
    </row>
    <row r="753" customFormat="false" ht="15" hidden="false" customHeight="false" outlineLevel="0" collapsed="false">
      <c r="A753" s="28"/>
      <c r="B753" s="29"/>
      <c r="C753" s="29"/>
      <c r="D753" s="29"/>
      <c r="E753" s="29"/>
    </row>
    <row r="754" customFormat="false" ht="15" hidden="false" customHeight="false" outlineLevel="0" collapsed="false">
      <c r="A754" s="28"/>
      <c r="B754" s="29"/>
      <c r="C754" s="29"/>
      <c r="D754" s="29"/>
      <c r="E754" s="29"/>
    </row>
    <row r="755" customFormat="false" ht="15" hidden="false" customHeight="false" outlineLevel="0" collapsed="false">
      <c r="A755" s="28"/>
      <c r="B755" s="29"/>
      <c r="C755" s="29"/>
      <c r="D755" s="29"/>
      <c r="E755" s="29"/>
    </row>
    <row r="756" customFormat="false" ht="15" hidden="false" customHeight="false" outlineLevel="0" collapsed="false">
      <c r="A756" s="28"/>
      <c r="B756" s="29"/>
      <c r="C756" s="29"/>
      <c r="D756" s="29"/>
      <c r="E756" s="29"/>
    </row>
    <row r="757" customFormat="false" ht="15" hidden="false" customHeight="false" outlineLevel="0" collapsed="false">
      <c r="A757" s="28"/>
      <c r="B757" s="29"/>
      <c r="C757" s="29"/>
      <c r="D757" s="29"/>
      <c r="E757" s="29"/>
    </row>
    <row r="758" customFormat="false" ht="15" hidden="false" customHeight="false" outlineLevel="0" collapsed="false">
      <c r="A758" s="28"/>
      <c r="B758" s="29"/>
      <c r="C758" s="29"/>
      <c r="D758" s="29"/>
      <c r="E758" s="29"/>
    </row>
    <row r="759" customFormat="false" ht="15" hidden="false" customHeight="false" outlineLevel="0" collapsed="false">
      <c r="A759" s="28"/>
      <c r="B759" s="29"/>
      <c r="C759" s="29"/>
      <c r="D759" s="29"/>
      <c r="E759" s="29"/>
    </row>
    <row r="760" customFormat="false" ht="15" hidden="false" customHeight="false" outlineLevel="0" collapsed="false">
      <c r="A760" s="28"/>
      <c r="B760" s="29"/>
      <c r="C760" s="29"/>
      <c r="D760" s="29"/>
      <c r="E760" s="29"/>
    </row>
    <row r="761" customFormat="false" ht="15" hidden="false" customHeight="false" outlineLevel="0" collapsed="false">
      <c r="A761" s="28"/>
      <c r="B761" s="29"/>
      <c r="C761" s="29"/>
      <c r="D761" s="29"/>
      <c r="E761" s="29"/>
    </row>
    <row r="762" customFormat="false" ht="15" hidden="false" customHeight="false" outlineLevel="0" collapsed="false">
      <c r="A762" s="28"/>
      <c r="B762" s="29"/>
      <c r="C762" s="29"/>
      <c r="D762" s="29"/>
      <c r="E762" s="29"/>
    </row>
    <row r="763" customFormat="false" ht="15" hidden="false" customHeight="false" outlineLevel="0" collapsed="false">
      <c r="A763" s="28"/>
      <c r="B763" s="29"/>
      <c r="C763" s="29"/>
      <c r="D763" s="29"/>
      <c r="E763" s="29"/>
    </row>
    <row r="764" customFormat="false" ht="15" hidden="false" customHeight="false" outlineLevel="0" collapsed="false">
      <c r="A764" s="28"/>
      <c r="B764" s="29"/>
      <c r="C764" s="29"/>
      <c r="D764" s="29"/>
      <c r="E764" s="29"/>
    </row>
    <row r="765" customFormat="false" ht="15" hidden="false" customHeight="false" outlineLevel="0" collapsed="false">
      <c r="A765" s="28"/>
      <c r="B765" s="29"/>
      <c r="C765" s="29"/>
      <c r="D765" s="29"/>
      <c r="E765" s="29"/>
    </row>
    <row r="766" customFormat="false" ht="15" hidden="false" customHeight="false" outlineLevel="0" collapsed="false">
      <c r="A766" s="28"/>
      <c r="B766" s="29"/>
      <c r="C766" s="29"/>
      <c r="D766" s="29"/>
      <c r="E766" s="29"/>
    </row>
    <row r="767" customFormat="false" ht="15" hidden="false" customHeight="false" outlineLevel="0" collapsed="false">
      <c r="A767" s="28"/>
      <c r="B767" s="29"/>
      <c r="C767" s="29"/>
      <c r="D767" s="29"/>
      <c r="E767" s="29"/>
    </row>
    <row r="768" customFormat="false" ht="15" hidden="false" customHeight="false" outlineLevel="0" collapsed="false">
      <c r="A768" s="28"/>
      <c r="B768" s="29"/>
      <c r="C768" s="29"/>
      <c r="D768" s="29"/>
      <c r="E768" s="29"/>
    </row>
    <row r="769" customFormat="false" ht="15" hidden="false" customHeight="false" outlineLevel="0" collapsed="false">
      <c r="A769" s="28"/>
      <c r="B769" s="29"/>
      <c r="C769" s="29"/>
      <c r="D769" s="29"/>
      <c r="E769" s="29"/>
    </row>
    <row r="770" customFormat="false" ht="15" hidden="false" customHeight="false" outlineLevel="0" collapsed="false">
      <c r="A770" s="28"/>
      <c r="B770" s="29"/>
      <c r="C770" s="29"/>
      <c r="D770" s="29"/>
      <c r="E770" s="29"/>
    </row>
    <row r="771" customFormat="false" ht="15" hidden="false" customHeight="false" outlineLevel="0" collapsed="false">
      <c r="A771" s="28"/>
      <c r="B771" s="29"/>
      <c r="C771" s="29"/>
      <c r="D771" s="29"/>
      <c r="E771" s="29"/>
    </row>
    <row r="772" customFormat="false" ht="15" hidden="false" customHeight="false" outlineLevel="0" collapsed="false">
      <c r="A772" s="28"/>
      <c r="B772" s="29"/>
      <c r="C772" s="29"/>
      <c r="D772" s="29"/>
      <c r="E772" s="29"/>
    </row>
    <row r="773" customFormat="false" ht="15" hidden="false" customHeight="false" outlineLevel="0" collapsed="false">
      <c r="A773" s="28"/>
      <c r="B773" s="29"/>
      <c r="C773" s="29"/>
      <c r="D773" s="29"/>
      <c r="E773" s="29"/>
    </row>
    <row r="774" customFormat="false" ht="15" hidden="false" customHeight="false" outlineLevel="0" collapsed="false">
      <c r="A774" s="28"/>
      <c r="B774" s="29"/>
      <c r="C774" s="29"/>
      <c r="D774" s="29"/>
      <c r="E774" s="29"/>
    </row>
    <row r="775" customFormat="false" ht="15" hidden="false" customHeight="false" outlineLevel="0" collapsed="false">
      <c r="A775" s="28"/>
      <c r="B775" s="29"/>
      <c r="C775" s="29"/>
      <c r="D775" s="29"/>
      <c r="E775" s="29"/>
    </row>
    <row r="776" customFormat="false" ht="15" hidden="false" customHeight="false" outlineLevel="0" collapsed="false">
      <c r="A776" s="28"/>
      <c r="B776" s="29"/>
      <c r="C776" s="29"/>
      <c r="D776" s="29"/>
      <c r="E776" s="29"/>
    </row>
    <row r="777" customFormat="false" ht="15" hidden="false" customHeight="false" outlineLevel="0" collapsed="false">
      <c r="A777" s="28"/>
      <c r="B777" s="29"/>
      <c r="C777" s="29"/>
      <c r="D777" s="29"/>
      <c r="E777" s="29"/>
    </row>
    <row r="778" customFormat="false" ht="15" hidden="false" customHeight="false" outlineLevel="0" collapsed="false">
      <c r="A778" s="28"/>
      <c r="B778" s="29"/>
      <c r="C778" s="29"/>
      <c r="D778" s="29"/>
      <c r="E778" s="29"/>
    </row>
    <row r="779" customFormat="false" ht="15" hidden="false" customHeight="false" outlineLevel="0" collapsed="false">
      <c r="A779" s="28"/>
      <c r="B779" s="29"/>
      <c r="C779" s="29"/>
      <c r="D779" s="29"/>
      <c r="E779" s="29"/>
    </row>
    <row r="780" customFormat="false" ht="15" hidden="false" customHeight="false" outlineLevel="0" collapsed="false">
      <c r="A780" s="28"/>
      <c r="B780" s="29"/>
      <c r="C780" s="29"/>
      <c r="D780" s="29"/>
      <c r="E780" s="29"/>
    </row>
    <row r="781" customFormat="false" ht="15" hidden="false" customHeight="false" outlineLevel="0" collapsed="false">
      <c r="A781" s="28"/>
      <c r="B781" s="29"/>
      <c r="C781" s="29"/>
      <c r="D781" s="29"/>
      <c r="E781" s="29"/>
    </row>
    <row r="782" customFormat="false" ht="15" hidden="false" customHeight="false" outlineLevel="0" collapsed="false">
      <c r="A782" s="28"/>
      <c r="B782" s="29"/>
      <c r="C782" s="29"/>
      <c r="D782" s="29"/>
      <c r="E782" s="29"/>
    </row>
    <row r="783" customFormat="false" ht="15" hidden="false" customHeight="false" outlineLevel="0" collapsed="false">
      <c r="A783" s="28"/>
      <c r="B783" s="29"/>
      <c r="C783" s="29"/>
      <c r="D783" s="29"/>
      <c r="E783" s="29"/>
    </row>
    <row r="784" customFormat="false" ht="15" hidden="false" customHeight="false" outlineLevel="0" collapsed="false">
      <c r="A784" s="28"/>
      <c r="B784" s="29"/>
      <c r="C784" s="29"/>
      <c r="D784" s="29"/>
      <c r="E784" s="29"/>
    </row>
    <row r="785" customFormat="false" ht="15" hidden="false" customHeight="false" outlineLevel="0" collapsed="false">
      <c r="A785" s="28"/>
      <c r="B785" s="29"/>
      <c r="C785" s="29"/>
      <c r="D785" s="29"/>
      <c r="E785" s="29"/>
    </row>
    <row r="786" customFormat="false" ht="15" hidden="false" customHeight="false" outlineLevel="0" collapsed="false">
      <c r="A786" s="28"/>
      <c r="B786" s="29"/>
      <c r="C786" s="29"/>
      <c r="D786" s="29"/>
      <c r="E786" s="29"/>
    </row>
    <row r="787" customFormat="false" ht="15" hidden="false" customHeight="false" outlineLevel="0" collapsed="false">
      <c r="A787" s="28"/>
      <c r="B787" s="29"/>
      <c r="C787" s="29"/>
      <c r="D787" s="29"/>
      <c r="E787" s="29"/>
    </row>
    <row r="788" customFormat="false" ht="15" hidden="false" customHeight="false" outlineLevel="0" collapsed="false">
      <c r="A788" s="28"/>
      <c r="B788" s="29"/>
      <c r="C788" s="29"/>
      <c r="D788" s="29"/>
      <c r="E788" s="29"/>
    </row>
    <row r="789" customFormat="false" ht="15" hidden="false" customHeight="false" outlineLevel="0" collapsed="false">
      <c r="A789" s="28"/>
      <c r="B789" s="29"/>
      <c r="C789" s="29"/>
      <c r="D789" s="29"/>
      <c r="E789" s="29"/>
    </row>
    <row r="790" customFormat="false" ht="15" hidden="false" customHeight="false" outlineLevel="0" collapsed="false">
      <c r="A790" s="28"/>
      <c r="B790" s="29"/>
      <c r="C790" s="29"/>
      <c r="D790" s="29"/>
      <c r="E790" s="29"/>
    </row>
    <row r="791" customFormat="false" ht="15" hidden="false" customHeight="false" outlineLevel="0" collapsed="false">
      <c r="A791" s="28"/>
      <c r="B791" s="29"/>
      <c r="C791" s="29"/>
      <c r="D791" s="29"/>
      <c r="E791" s="29"/>
    </row>
    <row r="792" customFormat="false" ht="15" hidden="false" customHeight="false" outlineLevel="0" collapsed="false">
      <c r="A792" s="28"/>
      <c r="B792" s="29"/>
      <c r="C792" s="29"/>
      <c r="D792" s="29"/>
      <c r="E792" s="29"/>
    </row>
    <row r="793" customFormat="false" ht="15" hidden="false" customHeight="false" outlineLevel="0" collapsed="false">
      <c r="A793" s="28"/>
      <c r="B793" s="29"/>
      <c r="C793" s="29"/>
      <c r="D793" s="29"/>
      <c r="E793" s="29"/>
    </row>
    <row r="794" customFormat="false" ht="15" hidden="false" customHeight="false" outlineLevel="0" collapsed="false">
      <c r="A794" s="28"/>
      <c r="B794" s="29"/>
      <c r="C794" s="29"/>
      <c r="D794" s="29"/>
      <c r="E794" s="29"/>
    </row>
    <row r="795" customFormat="false" ht="15" hidden="false" customHeight="false" outlineLevel="0" collapsed="false">
      <c r="A795" s="28"/>
      <c r="B795" s="29"/>
      <c r="C795" s="29"/>
      <c r="D795" s="29"/>
      <c r="E795" s="29"/>
    </row>
    <row r="796" customFormat="false" ht="15" hidden="false" customHeight="false" outlineLevel="0" collapsed="false">
      <c r="A796" s="28"/>
      <c r="B796" s="29"/>
      <c r="C796" s="29"/>
      <c r="D796" s="29"/>
      <c r="E796" s="29"/>
    </row>
    <row r="797" customFormat="false" ht="15" hidden="false" customHeight="false" outlineLevel="0" collapsed="false">
      <c r="A797" s="28"/>
      <c r="B797" s="29"/>
      <c r="C797" s="29"/>
      <c r="D797" s="29"/>
      <c r="E797" s="29"/>
    </row>
    <row r="798" customFormat="false" ht="15" hidden="false" customHeight="false" outlineLevel="0" collapsed="false">
      <c r="A798" s="28"/>
      <c r="B798" s="29"/>
      <c r="C798" s="29"/>
      <c r="D798" s="29"/>
      <c r="E798" s="29"/>
    </row>
    <row r="799" customFormat="false" ht="15" hidden="false" customHeight="false" outlineLevel="0" collapsed="false">
      <c r="A799" s="28"/>
      <c r="B799" s="29"/>
      <c r="C799" s="29"/>
      <c r="D799" s="29"/>
      <c r="E799" s="29"/>
    </row>
    <row r="800" customFormat="false" ht="15" hidden="false" customHeight="false" outlineLevel="0" collapsed="false">
      <c r="A800" s="28"/>
      <c r="B800" s="29"/>
      <c r="C800" s="29"/>
      <c r="D800" s="29"/>
      <c r="E800" s="29"/>
    </row>
    <row r="801" customFormat="false" ht="15" hidden="false" customHeight="false" outlineLevel="0" collapsed="false">
      <c r="A801" s="28"/>
      <c r="B801" s="29"/>
      <c r="C801" s="29"/>
      <c r="D801" s="29"/>
      <c r="E801" s="29"/>
    </row>
    <row r="802" customFormat="false" ht="15" hidden="false" customHeight="false" outlineLevel="0" collapsed="false">
      <c r="A802" s="28"/>
      <c r="B802" s="29"/>
      <c r="C802" s="29"/>
      <c r="D802" s="29"/>
      <c r="E802" s="29"/>
    </row>
    <row r="803" customFormat="false" ht="15" hidden="false" customHeight="false" outlineLevel="0" collapsed="false">
      <c r="A803" s="28"/>
      <c r="B803" s="29"/>
      <c r="C803" s="29"/>
      <c r="D803" s="29"/>
      <c r="E803" s="29"/>
    </row>
    <row r="804" customFormat="false" ht="15" hidden="false" customHeight="false" outlineLevel="0" collapsed="false">
      <c r="A804" s="28"/>
      <c r="B804" s="29"/>
      <c r="C804" s="29"/>
      <c r="D804" s="29"/>
      <c r="E804" s="29"/>
    </row>
    <row r="805" customFormat="false" ht="15" hidden="false" customHeight="false" outlineLevel="0" collapsed="false">
      <c r="A805" s="28"/>
      <c r="B805" s="29"/>
      <c r="C805" s="29"/>
      <c r="D805" s="29"/>
      <c r="E805" s="29"/>
    </row>
    <row r="806" customFormat="false" ht="15" hidden="false" customHeight="false" outlineLevel="0" collapsed="false">
      <c r="A806" s="28"/>
      <c r="B806" s="29"/>
      <c r="C806" s="29"/>
      <c r="D806" s="29"/>
      <c r="E806" s="29"/>
    </row>
    <row r="807" customFormat="false" ht="15" hidden="false" customHeight="false" outlineLevel="0" collapsed="false">
      <c r="A807" s="28"/>
      <c r="B807" s="29"/>
      <c r="C807" s="29"/>
      <c r="D807" s="29"/>
      <c r="E807" s="29"/>
    </row>
    <row r="808" customFormat="false" ht="15" hidden="false" customHeight="false" outlineLevel="0" collapsed="false">
      <c r="A808" s="28"/>
      <c r="B808" s="29"/>
      <c r="C808" s="29"/>
      <c r="D808" s="29"/>
      <c r="E808" s="29"/>
    </row>
    <row r="809" customFormat="false" ht="15" hidden="false" customHeight="false" outlineLevel="0" collapsed="false">
      <c r="A809" s="28"/>
      <c r="B809" s="29"/>
      <c r="C809" s="29"/>
      <c r="D809" s="29"/>
      <c r="E809" s="29"/>
    </row>
    <row r="810" customFormat="false" ht="15" hidden="false" customHeight="false" outlineLevel="0" collapsed="false">
      <c r="A810" s="28"/>
      <c r="B810" s="29"/>
      <c r="C810" s="29"/>
      <c r="D810" s="29"/>
      <c r="E810" s="29"/>
    </row>
    <row r="811" customFormat="false" ht="15" hidden="false" customHeight="false" outlineLevel="0" collapsed="false">
      <c r="A811" s="28"/>
      <c r="B811" s="29"/>
      <c r="C811" s="29"/>
      <c r="D811" s="29"/>
      <c r="E811" s="29"/>
    </row>
    <row r="812" customFormat="false" ht="15" hidden="false" customHeight="false" outlineLevel="0" collapsed="false">
      <c r="A812" s="28"/>
      <c r="B812" s="29"/>
      <c r="C812" s="29"/>
      <c r="D812" s="29"/>
      <c r="E812" s="29"/>
    </row>
    <row r="813" customFormat="false" ht="15" hidden="false" customHeight="false" outlineLevel="0" collapsed="false">
      <c r="A813" s="28"/>
      <c r="B813" s="29"/>
      <c r="C813" s="29"/>
      <c r="D813" s="29"/>
      <c r="E813" s="29"/>
    </row>
    <row r="814" customFormat="false" ht="15" hidden="false" customHeight="false" outlineLevel="0" collapsed="false">
      <c r="A814" s="28"/>
      <c r="B814" s="29"/>
      <c r="C814" s="29"/>
      <c r="D814" s="29"/>
      <c r="E814" s="29"/>
    </row>
    <row r="815" customFormat="false" ht="15" hidden="false" customHeight="false" outlineLevel="0" collapsed="false">
      <c r="A815" s="28"/>
      <c r="B815" s="29"/>
      <c r="C815" s="29"/>
      <c r="D815" s="29"/>
      <c r="E815" s="29"/>
    </row>
    <row r="816" customFormat="false" ht="15" hidden="false" customHeight="false" outlineLevel="0" collapsed="false">
      <c r="A816" s="28"/>
      <c r="B816" s="29"/>
      <c r="C816" s="29"/>
      <c r="D816" s="29"/>
      <c r="E816" s="29"/>
    </row>
    <row r="817" customFormat="false" ht="15" hidden="false" customHeight="false" outlineLevel="0" collapsed="false">
      <c r="A817" s="28"/>
      <c r="B817" s="29"/>
      <c r="C817" s="29"/>
      <c r="D817" s="29"/>
      <c r="E817" s="29"/>
    </row>
    <row r="818" customFormat="false" ht="15" hidden="false" customHeight="false" outlineLevel="0" collapsed="false">
      <c r="A818" s="28"/>
      <c r="B818" s="29"/>
      <c r="C818" s="29"/>
      <c r="D818" s="29"/>
      <c r="E818" s="29"/>
    </row>
    <row r="819" customFormat="false" ht="15" hidden="false" customHeight="false" outlineLevel="0" collapsed="false">
      <c r="A819" s="28"/>
      <c r="B819" s="29"/>
      <c r="C819" s="29"/>
      <c r="D819" s="29"/>
      <c r="E819" s="29"/>
    </row>
    <row r="820" customFormat="false" ht="15" hidden="false" customHeight="false" outlineLevel="0" collapsed="false">
      <c r="A820" s="28"/>
      <c r="B820" s="29"/>
      <c r="C820" s="29"/>
      <c r="D820" s="29"/>
      <c r="E820" s="29"/>
    </row>
    <row r="821" customFormat="false" ht="15" hidden="false" customHeight="false" outlineLevel="0" collapsed="false">
      <c r="A821" s="28"/>
      <c r="B821" s="29"/>
      <c r="C821" s="29"/>
      <c r="D821" s="29"/>
      <c r="E821" s="29"/>
    </row>
    <row r="822" customFormat="false" ht="15" hidden="false" customHeight="false" outlineLevel="0" collapsed="false">
      <c r="A822" s="28"/>
      <c r="B822" s="29"/>
      <c r="C822" s="29"/>
      <c r="D822" s="29"/>
      <c r="E822" s="29"/>
    </row>
    <row r="823" customFormat="false" ht="15" hidden="false" customHeight="false" outlineLevel="0" collapsed="false">
      <c r="A823" s="28"/>
      <c r="B823" s="29"/>
      <c r="C823" s="29"/>
      <c r="D823" s="29"/>
      <c r="E823" s="29"/>
    </row>
    <row r="824" customFormat="false" ht="15" hidden="false" customHeight="false" outlineLevel="0" collapsed="false">
      <c r="A824" s="28"/>
      <c r="B824" s="29"/>
      <c r="C824" s="29"/>
      <c r="D824" s="29"/>
      <c r="E824" s="29"/>
    </row>
    <row r="825" customFormat="false" ht="15" hidden="false" customHeight="false" outlineLevel="0" collapsed="false">
      <c r="A825" s="28"/>
      <c r="B825" s="29"/>
      <c r="C825" s="29"/>
      <c r="D825" s="29"/>
      <c r="E825" s="29"/>
    </row>
    <row r="826" customFormat="false" ht="15" hidden="false" customHeight="false" outlineLevel="0" collapsed="false">
      <c r="A826" s="28"/>
      <c r="B826" s="29"/>
      <c r="C826" s="29"/>
      <c r="D826" s="29"/>
      <c r="E826" s="29"/>
    </row>
    <row r="827" customFormat="false" ht="15" hidden="false" customHeight="false" outlineLevel="0" collapsed="false">
      <c r="A827" s="28"/>
      <c r="B827" s="29"/>
      <c r="C827" s="29"/>
      <c r="D827" s="29"/>
      <c r="E827" s="29"/>
    </row>
    <row r="828" customFormat="false" ht="15" hidden="false" customHeight="false" outlineLevel="0" collapsed="false">
      <c r="A828" s="28"/>
      <c r="B828" s="29"/>
      <c r="C828" s="29"/>
      <c r="D828" s="29"/>
      <c r="E828" s="29"/>
    </row>
    <row r="829" customFormat="false" ht="15" hidden="false" customHeight="false" outlineLevel="0" collapsed="false">
      <c r="A829" s="28"/>
      <c r="B829" s="29"/>
      <c r="C829" s="29"/>
      <c r="D829" s="29"/>
      <c r="E829" s="29"/>
    </row>
    <row r="830" customFormat="false" ht="15" hidden="false" customHeight="false" outlineLevel="0" collapsed="false">
      <c r="A830" s="28"/>
      <c r="B830" s="29"/>
      <c r="C830" s="29"/>
      <c r="D830" s="29"/>
      <c r="E830" s="29"/>
    </row>
    <row r="831" customFormat="false" ht="15" hidden="false" customHeight="false" outlineLevel="0" collapsed="false">
      <c r="A831" s="28"/>
      <c r="B831" s="29"/>
      <c r="C831" s="29"/>
      <c r="D831" s="29"/>
      <c r="E831" s="29"/>
    </row>
    <row r="832" customFormat="false" ht="15" hidden="false" customHeight="false" outlineLevel="0" collapsed="false">
      <c r="A832" s="28"/>
      <c r="B832" s="29"/>
      <c r="C832" s="29"/>
      <c r="D832" s="29"/>
      <c r="E832" s="29"/>
    </row>
    <row r="833" customFormat="false" ht="15" hidden="false" customHeight="false" outlineLevel="0" collapsed="false">
      <c r="A833" s="28"/>
      <c r="B833" s="29"/>
      <c r="C833" s="29"/>
      <c r="D833" s="29"/>
      <c r="E833" s="29"/>
    </row>
    <row r="834" customFormat="false" ht="15" hidden="false" customHeight="false" outlineLevel="0" collapsed="false">
      <c r="A834" s="28"/>
      <c r="B834" s="29"/>
      <c r="C834" s="29"/>
      <c r="D834" s="29"/>
      <c r="E834" s="29"/>
    </row>
    <row r="835" customFormat="false" ht="15" hidden="false" customHeight="false" outlineLevel="0" collapsed="false">
      <c r="A835" s="28"/>
      <c r="B835" s="29"/>
      <c r="C835" s="29"/>
      <c r="D835" s="29"/>
      <c r="E835" s="29"/>
    </row>
    <row r="836" customFormat="false" ht="15" hidden="false" customHeight="false" outlineLevel="0" collapsed="false">
      <c r="A836" s="28"/>
      <c r="B836" s="29"/>
      <c r="C836" s="29"/>
      <c r="D836" s="29"/>
      <c r="E836" s="29"/>
    </row>
    <row r="837" customFormat="false" ht="15" hidden="false" customHeight="false" outlineLevel="0" collapsed="false">
      <c r="A837" s="28"/>
      <c r="B837" s="29"/>
      <c r="C837" s="29"/>
      <c r="D837" s="29"/>
      <c r="E837" s="29"/>
    </row>
    <row r="838" customFormat="false" ht="15" hidden="false" customHeight="false" outlineLevel="0" collapsed="false">
      <c r="A838" s="28"/>
      <c r="B838" s="29"/>
      <c r="C838" s="29"/>
      <c r="D838" s="29"/>
      <c r="E838" s="29"/>
    </row>
    <row r="839" customFormat="false" ht="15" hidden="false" customHeight="false" outlineLevel="0" collapsed="false">
      <c r="A839" s="28"/>
      <c r="B839" s="29"/>
      <c r="C839" s="29"/>
      <c r="D839" s="29"/>
      <c r="E839" s="29"/>
    </row>
    <row r="840" customFormat="false" ht="15" hidden="false" customHeight="false" outlineLevel="0" collapsed="false">
      <c r="A840" s="28"/>
      <c r="B840" s="29"/>
      <c r="C840" s="29"/>
      <c r="D840" s="29"/>
      <c r="E840" s="29"/>
    </row>
    <row r="841" customFormat="false" ht="15" hidden="false" customHeight="false" outlineLevel="0" collapsed="false">
      <c r="A841" s="28"/>
      <c r="B841" s="29"/>
      <c r="C841" s="29"/>
      <c r="D841" s="29"/>
      <c r="E841" s="29"/>
    </row>
    <row r="842" customFormat="false" ht="15" hidden="false" customHeight="false" outlineLevel="0" collapsed="false">
      <c r="A842" s="28"/>
      <c r="B842" s="29"/>
      <c r="C842" s="29"/>
      <c r="D842" s="29"/>
      <c r="E842" s="29"/>
    </row>
    <row r="843" customFormat="false" ht="15" hidden="false" customHeight="false" outlineLevel="0" collapsed="false">
      <c r="A843" s="28"/>
      <c r="B843" s="29"/>
      <c r="C843" s="29"/>
      <c r="D843" s="29"/>
      <c r="E843" s="29"/>
    </row>
    <row r="844" customFormat="false" ht="15" hidden="false" customHeight="false" outlineLevel="0" collapsed="false">
      <c r="A844" s="28"/>
      <c r="B844" s="29"/>
      <c r="C844" s="29"/>
      <c r="D844" s="29"/>
      <c r="E844" s="29"/>
    </row>
    <row r="845" customFormat="false" ht="15" hidden="false" customHeight="false" outlineLevel="0" collapsed="false">
      <c r="A845" s="28"/>
      <c r="B845" s="29"/>
      <c r="C845" s="29"/>
      <c r="D845" s="29"/>
      <c r="E845" s="29"/>
    </row>
    <row r="846" customFormat="false" ht="15" hidden="false" customHeight="false" outlineLevel="0" collapsed="false">
      <c r="A846" s="28"/>
      <c r="B846" s="29"/>
      <c r="C846" s="29"/>
      <c r="D846" s="29"/>
      <c r="E846" s="29"/>
    </row>
    <row r="847" customFormat="false" ht="15" hidden="false" customHeight="false" outlineLevel="0" collapsed="false">
      <c r="A847" s="28"/>
      <c r="B847" s="29"/>
      <c r="C847" s="29"/>
      <c r="D847" s="29"/>
      <c r="E847" s="29"/>
    </row>
    <row r="848" customFormat="false" ht="15" hidden="false" customHeight="false" outlineLevel="0" collapsed="false">
      <c r="A848" s="28"/>
      <c r="B848" s="29"/>
      <c r="C848" s="29"/>
      <c r="D848" s="29"/>
      <c r="E848" s="29"/>
    </row>
    <row r="849" customFormat="false" ht="15" hidden="false" customHeight="false" outlineLevel="0" collapsed="false">
      <c r="A849" s="28"/>
      <c r="B849" s="29"/>
      <c r="C849" s="29"/>
      <c r="D849" s="29"/>
      <c r="E849" s="29"/>
    </row>
    <row r="850" customFormat="false" ht="15" hidden="false" customHeight="false" outlineLevel="0" collapsed="false">
      <c r="A850" s="28"/>
      <c r="B850" s="29"/>
      <c r="C850" s="29"/>
      <c r="D850" s="29"/>
      <c r="E850" s="29"/>
    </row>
    <row r="851" customFormat="false" ht="15" hidden="false" customHeight="false" outlineLevel="0" collapsed="false">
      <c r="A851" s="28"/>
      <c r="B851" s="29"/>
      <c r="C851" s="29"/>
      <c r="D851" s="29"/>
      <c r="E851" s="29"/>
    </row>
    <row r="852" customFormat="false" ht="15" hidden="false" customHeight="false" outlineLevel="0" collapsed="false">
      <c r="A852" s="28"/>
      <c r="B852" s="29"/>
      <c r="C852" s="29"/>
      <c r="D852" s="29"/>
      <c r="E852" s="29"/>
    </row>
    <row r="853" customFormat="false" ht="15" hidden="false" customHeight="false" outlineLevel="0" collapsed="false">
      <c r="A853" s="28"/>
      <c r="B853" s="29"/>
      <c r="C853" s="29"/>
      <c r="D853" s="29"/>
      <c r="E853" s="29"/>
    </row>
    <row r="854" customFormat="false" ht="15" hidden="false" customHeight="false" outlineLevel="0" collapsed="false">
      <c r="A854" s="28"/>
      <c r="B854" s="29"/>
      <c r="C854" s="29"/>
      <c r="D854" s="29"/>
      <c r="E854" s="29"/>
    </row>
    <row r="855" customFormat="false" ht="15" hidden="false" customHeight="false" outlineLevel="0" collapsed="false">
      <c r="A855" s="28"/>
      <c r="B855" s="29"/>
      <c r="C855" s="29"/>
      <c r="D855" s="29"/>
      <c r="E855" s="29"/>
    </row>
    <row r="856" customFormat="false" ht="15" hidden="false" customHeight="false" outlineLevel="0" collapsed="false">
      <c r="A856" s="28"/>
      <c r="B856" s="29"/>
      <c r="C856" s="29"/>
      <c r="D856" s="29"/>
      <c r="E856" s="29"/>
    </row>
    <row r="857" customFormat="false" ht="15" hidden="false" customHeight="false" outlineLevel="0" collapsed="false">
      <c r="A857" s="28"/>
      <c r="B857" s="29"/>
      <c r="C857" s="29"/>
      <c r="D857" s="29"/>
      <c r="E857" s="29"/>
    </row>
    <row r="858" customFormat="false" ht="15" hidden="false" customHeight="false" outlineLevel="0" collapsed="false">
      <c r="A858" s="28"/>
      <c r="B858" s="29"/>
      <c r="C858" s="29"/>
      <c r="D858" s="29"/>
      <c r="E858" s="29"/>
    </row>
    <row r="859" customFormat="false" ht="15" hidden="false" customHeight="false" outlineLevel="0" collapsed="false">
      <c r="A859" s="28"/>
      <c r="B859" s="29"/>
      <c r="C859" s="29"/>
      <c r="D859" s="29"/>
      <c r="E859" s="29"/>
    </row>
    <row r="860" customFormat="false" ht="15" hidden="false" customHeight="false" outlineLevel="0" collapsed="false">
      <c r="A860" s="28"/>
      <c r="B860" s="29"/>
      <c r="C860" s="29"/>
      <c r="D860" s="29"/>
      <c r="E860" s="29"/>
    </row>
    <row r="861" customFormat="false" ht="15" hidden="false" customHeight="false" outlineLevel="0" collapsed="false">
      <c r="A861" s="28"/>
      <c r="B861" s="29"/>
      <c r="C861" s="29"/>
      <c r="D861" s="29"/>
      <c r="E861" s="29"/>
    </row>
    <row r="862" customFormat="false" ht="15" hidden="false" customHeight="false" outlineLevel="0" collapsed="false">
      <c r="A862" s="28"/>
      <c r="B862" s="29"/>
      <c r="C862" s="29"/>
      <c r="D862" s="29"/>
      <c r="E862" s="29"/>
    </row>
    <row r="863" customFormat="false" ht="15" hidden="false" customHeight="false" outlineLevel="0" collapsed="false">
      <c r="A863" s="28"/>
      <c r="B863" s="29"/>
      <c r="C863" s="29"/>
      <c r="D863" s="29"/>
      <c r="E863" s="29"/>
    </row>
    <row r="864" customFormat="false" ht="15" hidden="false" customHeight="false" outlineLevel="0" collapsed="false">
      <c r="A864" s="28"/>
      <c r="B864" s="29"/>
      <c r="C864" s="29"/>
      <c r="D864" s="29"/>
      <c r="E864" s="29"/>
    </row>
    <row r="865" customFormat="false" ht="15" hidden="false" customHeight="false" outlineLevel="0" collapsed="false">
      <c r="A865" s="28"/>
      <c r="B865" s="29"/>
      <c r="C865" s="29"/>
      <c r="D865" s="29"/>
      <c r="E865" s="29"/>
    </row>
    <row r="866" customFormat="false" ht="15" hidden="false" customHeight="false" outlineLevel="0" collapsed="false">
      <c r="A866" s="28"/>
      <c r="B866" s="29"/>
      <c r="C866" s="29"/>
      <c r="D866" s="29"/>
      <c r="E866" s="29"/>
    </row>
    <row r="867" customFormat="false" ht="15" hidden="false" customHeight="false" outlineLevel="0" collapsed="false">
      <c r="A867" s="28"/>
      <c r="B867" s="29"/>
      <c r="C867" s="29"/>
      <c r="D867" s="29"/>
      <c r="E867" s="29"/>
    </row>
    <row r="868" customFormat="false" ht="15" hidden="false" customHeight="false" outlineLevel="0" collapsed="false">
      <c r="A868" s="28"/>
      <c r="B868" s="29"/>
      <c r="C868" s="29"/>
      <c r="D868" s="29"/>
      <c r="E868" s="29"/>
    </row>
    <row r="869" customFormat="false" ht="15" hidden="false" customHeight="false" outlineLevel="0" collapsed="false">
      <c r="A869" s="28"/>
      <c r="B869" s="29"/>
      <c r="C869" s="29"/>
      <c r="D869" s="29"/>
      <c r="E869" s="29"/>
    </row>
    <row r="870" customFormat="false" ht="15" hidden="false" customHeight="false" outlineLevel="0" collapsed="false">
      <c r="A870" s="28"/>
      <c r="B870" s="29"/>
      <c r="C870" s="29"/>
      <c r="D870" s="29"/>
      <c r="E870" s="29"/>
    </row>
    <row r="871" customFormat="false" ht="15" hidden="false" customHeight="false" outlineLevel="0" collapsed="false">
      <c r="A871" s="28"/>
      <c r="B871" s="29"/>
      <c r="C871" s="29"/>
      <c r="D871" s="29"/>
      <c r="E871" s="29"/>
    </row>
    <row r="872" customFormat="false" ht="15" hidden="false" customHeight="false" outlineLevel="0" collapsed="false">
      <c r="A872" s="28"/>
      <c r="B872" s="29"/>
      <c r="C872" s="29"/>
      <c r="D872" s="29"/>
      <c r="E872" s="29"/>
    </row>
    <row r="873" customFormat="false" ht="15" hidden="false" customHeight="false" outlineLevel="0" collapsed="false">
      <c r="A873" s="28"/>
      <c r="B873" s="29"/>
      <c r="C873" s="29"/>
      <c r="D873" s="29"/>
      <c r="E873" s="29"/>
    </row>
    <row r="874" customFormat="false" ht="15" hidden="false" customHeight="false" outlineLevel="0" collapsed="false">
      <c r="A874" s="28"/>
      <c r="B874" s="29"/>
      <c r="C874" s="29"/>
      <c r="D874" s="29"/>
      <c r="E874" s="29"/>
    </row>
    <row r="875" customFormat="false" ht="15" hidden="false" customHeight="false" outlineLevel="0" collapsed="false">
      <c r="A875" s="28"/>
      <c r="B875" s="29"/>
      <c r="C875" s="29"/>
      <c r="D875" s="29"/>
      <c r="E875" s="29"/>
    </row>
    <row r="876" customFormat="false" ht="15" hidden="false" customHeight="false" outlineLevel="0" collapsed="false">
      <c r="A876" s="28"/>
      <c r="B876" s="29"/>
      <c r="C876" s="29"/>
      <c r="D876" s="29"/>
      <c r="E876" s="29"/>
    </row>
    <row r="877" customFormat="false" ht="15" hidden="false" customHeight="false" outlineLevel="0" collapsed="false">
      <c r="A877" s="28"/>
      <c r="B877" s="29"/>
      <c r="C877" s="29"/>
      <c r="D877" s="29"/>
      <c r="E877" s="29"/>
    </row>
    <row r="878" customFormat="false" ht="15" hidden="false" customHeight="false" outlineLevel="0" collapsed="false">
      <c r="A878" s="28"/>
      <c r="B878" s="29"/>
      <c r="C878" s="29"/>
      <c r="D878" s="29"/>
      <c r="E878" s="29"/>
    </row>
    <row r="879" customFormat="false" ht="15" hidden="false" customHeight="false" outlineLevel="0" collapsed="false">
      <c r="A879" s="28"/>
      <c r="B879" s="29"/>
      <c r="C879" s="29"/>
      <c r="D879" s="29"/>
      <c r="E879" s="29"/>
    </row>
    <row r="880" customFormat="false" ht="15" hidden="false" customHeight="false" outlineLevel="0" collapsed="false">
      <c r="A880" s="28"/>
      <c r="B880" s="29"/>
      <c r="C880" s="29"/>
      <c r="D880" s="29"/>
      <c r="E880" s="29"/>
    </row>
    <row r="881" customFormat="false" ht="15" hidden="false" customHeight="false" outlineLevel="0" collapsed="false">
      <c r="A881" s="28"/>
      <c r="B881" s="29"/>
      <c r="C881" s="29"/>
      <c r="D881" s="29"/>
      <c r="E881" s="29"/>
    </row>
    <row r="882" customFormat="false" ht="15" hidden="false" customHeight="false" outlineLevel="0" collapsed="false">
      <c r="A882" s="28"/>
      <c r="B882" s="29"/>
      <c r="C882" s="29"/>
      <c r="D882" s="29"/>
      <c r="E882" s="29"/>
    </row>
    <row r="883" customFormat="false" ht="15" hidden="false" customHeight="false" outlineLevel="0" collapsed="false">
      <c r="A883" s="28"/>
      <c r="B883" s="29"/>
      <c r="C883" s="29"/>
      <c r="D883" s="29"/>
      <c r="E883" s="29"/>
    </row>
    <row r="884" customFormat="false" ht="15" hidden="false" customHeight="false" outlineLevel="0" collapsed="false">
      <c r="A884" s="28"/>
      <c r="B884" s="29"/>
      <c r="C884" s="29"/>
      <c r="D884" s="29"/>
      <c r="E884" s="29"/>
    </row>
    <row r="885" customFormat="false" ht="15" hidden="false" customHeight="false" outlineLevel="0" collapsed="false">
      <c r="A885" s="28"/>
      <c r="B885" s="29"/>
      <c r="C885" s="29"/>
      <c r="D885" s="29"/>
      <c r="E885" s="29"/>
    </row>
    <row r="886" customFormat="false" ht="15" hidden="false" customHeight="false" outlineLevel="0" collapsed="false">
      <c r="A886" s="28"/>
      <c r="B886" s="29"/>
      <c r="C886" s="29"/>
      <c r="D886" s="29"/>
      <c r="E886" s="29"/>
    </row>
    <row r="887" customFormat="false" ht="15" hidden="false" customHeight="false" outlineLevel="0" collapsed="false">
      <c r="A887" s="28"/>
      <c r="B887" s="29"/>
      <c r="C887" s="29"/>
      <c r="D887" s="29"/>
      <c r="E887" s="29"/>
    </row>
    <row r="888" customFormat="false" ht="15" hidden="false" customHeight="false" outlineLevel="0" collapsed="false">
      <c r="A888" s="28"/>
      <c r="B888" s="29"/>
      <c r="C888" s="29"/>
      <c r="D888" s="29"/>
      <c r="E888" s="29"/>
    </row>
    <row r="889" customFormat="false" ht="15" hidden="false" customHeight="false" outlineLevel="0" collapsed="false">
      <c r="A889" s="28"/>
      <c r="B889" s="29"/>
      <c r="C889" s="29"/>
      <c r="D889" s="29"/>
      <c r="E889" s="29"/>
    </row>
    <row r="890" customFormat="false" ht="15" hidden="false" customHeight="false" outlineLevel="0" collapsed="false">
      <c r="A890" s="28"/>
      <c r="B890" s="29"/>
      <c r="C890" s="29"/>
      <c r="D890" s="29"/>
      <c r="E890" s="29"/>
    </row>
    <row r="891" customFormat="false" ht="15" hidden="false" customHeight="false" outlineLevel="0" collapsed="false">
      <c r="A891" s="28"/>
      <c r="B891" s="29"/>
      <c r="C891" s="29"/>
      <c r="D891" s="29"/>
      <c r="E891" s="29"/>
    </row>
    <row r="892" customFormat="false" ht="15" hidden="false" customHeight="false" outlineLevel="0" collapsed="false">
      <c r="A892" s="28"/>
      <c r="B892" s="29"/>
      <c r="C892" s="29"/>
      <c r="D892" s="29"/>
      <c r="E892" s="29"/>
    </row>
    <row r="893" customFormat="false" ht="15" hidden="false" customHeight="false" outlineLevel="0" collapsed="false">
      <c r="A893" s="28"/>
      <c r="B893" s="29"/>
      <c r="C893" s="29"/>
      <c r="D893" s="29"/>
      <c r="E893" s="29"/>
    </row>
    <row r="894" customFormat="false" ht="15" hidden="false" customHeight="false" outlineLevel="0" collapsed="false">
      <c r="A894" s="28"/>
      <c r="B894" s="29"/>
      <c r="C894" s="29"/>
      <c r="D894" s="29"/>
      <c r="E894" s="29"/>
    </row>
    <row r="895" customFormat="false" ht="15" hidden="false" customHeight="false" outlineLevel="0" collapsed="false">
      <c r="A895" s="28"/>
      <c r="B895" s="29"/>
      <c r="C895" s="29"/>
      <c r="D895" s="29"/>
      <c r="E895" s="29"/>
    </row>
    <row r="896" customFormat="false" ht="15" hidden="false" customHeight="false" outlineLevel="0" collapsed="false">
      <c r="A896" s="28"/>
      <c r="B896" s="29"/>
      <c r="C896" s="29"/>
      <c r="D896" s="29"/>
      <c r="E896" s="29"/>
    </row>
    <row r="897" customFormat="false" ht="15" hidden="false" customHeight="false" outlineLevel="0" collapsed="false">
      <c r="A897" s="28"/>
      <c r="B897" s="29"/>
      <c r="C897" s="29"/>
      <c r="D897" s="29"/>
      <c r="E897" s="29"/>
    </row>
    <row r="898" customFormat="false" ht="15" hidden="false" customHeight="false" outlineLevel="0" collapsed="false">
      <c r="A898" s="28"/>
      <c r="B898" s="29"/>
      <c r="C898" s="29"/>
      <c r="D898" s="29"/>
      <c r="E898" s="29"/>
    </row>
    <row r="899" customFormat="false" ht="15" hidden="false" customHeight="false" outlineLevel="0" collapsed="false">
      <c r="A899" s="28"/>
      <c r="B899" s="29"/>
      <c r="C899" s="29"/>
      <c r="D899" s="29"/>
      <c r="E899" s="29"/>
    </row>
    <row r="900" customFormat="false" ht="15" hidden="false" customHeight="false" outlineLevel="0" collapsed="false">
      <c r="A900" s="28"/>
      <c r="B900" s="29"/>
      <c r="C900" s="29"/>
      <c r="D900" s="29"/>
      <c r="E900" s="29"/>
    </row>
    <row r="901" customFormat="false" ht="15" hidden="false" customHeight="false" outlineLevel="0" collapsed="false">
      <c r="A901" s="28"/>
      <c r="B901" s="29"/>
      <c r="C901" s="29"/>
      <c r="D901" s="29"/>
      <c r="E901" s="29"/>
    </row>
    <row r="902" customFormat="false" ht="15" hidden="false" customHeight="false" outlineLevel="0" collapsed="false">
      <c r="A902" s="28"/>
      <c r="B902" s="29"/>
      <c r="C902" s="29"/>
      <c r="D902" s="29"/>
      <c r="E902" s="29"/>
    </row>
    <row r="903" customFormat="false" ht="15" hidden="false" customHeight="false" outlineLevel="0" collapsed="false">
      <c r="A903" s="28"/>
      <c r="B903" s="29"/>
      <c r="C903" s="29"/>
      <c r="D903" s="29"/>
      <c r="E903" s="29"/>
    </row>
    <row r="904" customFormat="false" ht="15" hidden="false" customHeight="false" outlineLevel="0" collapsed="false">
      <c r="A904" s="28"/>
      <c r="B904" s="29"/>
      <c r="C904" s="29"/>
      <c r="D904" s="29"/>
      <c r="E904" s="29"/>
    </row>
    <row r="905" customFormat="false" ht="15" hidden="false" customHeight="false" outlineLevel="0" collapsed="false">
      <c r="A905" s="28"/>
      <c r="B905" s="29"/>
      <c r="C905" s="29"/>
      <c r="D905" s="29"/>
      <c r="E905" s="29"/>
    </row>
    <row r="906" customFormat="false" ht="15" hidden="false" customHeight="false" outlineLevel="0" collapsed="false">
      <c r="A906" s="28"/>
      <c r="B906" s="29"/>
      <c r="C906" s="29"/>
      <c r="D906" s="29"/>
      <c r="E906" s="29"/>
    </row>
    <row r="907" customFormat="false" ht="15" hidden="false" customHeight="false" outlineLevel="0" collapsed="false">
      <c r="A907" s="28"/>
      <c r="B907" s="29"/>
      <c r="C907" s="29"/>
      <c r="D907" s="29"/>
      <c r="E907" s="29"/>
    </row>
    <row r="908" customFormat="false" ht="15" hidden="false" customHeight="false" outlineLevel="0" collapsed="false">
      <c r="A908" s="28"/>
      <c r="B908" s="29"/>
      <c r="C908" s="29"/>
      <c r="D908" s="29"/>
      <c r="E908" s="29"/>
    </row>
    <row r="909" customFormat="false" ht="15" hidden="false" customHeight="false" outlineLevel="0" collapsed="false">
      <c r="A909" s="28"/>
      <c r="B909" s="29"/>
      <c r="C909" s="29"/>
      <c r="D909" s="29"/>
      <c r="E909" s="29"/>
    </row>
    <row r="910" customFormat="false" ht="15" hidden="false" customHeight="false" outlineLevel="0" collapsed="false">
      <c r="A910" s="28"/>
      <c r="B910" s="29"/>
      <c r="C910" s="29"/>
      <c r="D910" s="29"/>
      <c r="E910" s="29"/>
    </row>
    <row r="911" customFormat="false" ht="15" hidden="false" customHeight="false" outlineLevel="0" collapsed="false">
      <c r="A911" s="28"/>
      <c r="B911" s="29"/>
      <c r="C911" s="29"/>
      <c r="D911" s="29"/>
      <c r="E911" s="29"/>
    </row>
    <row r="912" customFormat="false" ht="15" hidden="false" customHeight="false" outlineLevel="0" collapsed="false">
      <c r="A912" s="28"/>
      <c r="B912" s="29"/>
      <c r="C912" s="29"/>
      <c r="D912" s="29"/>
      <c r="E912" s="29"/>
    </row>
    <row r="913" customFormat="false" ht="15" hidden="false" customHeight="false" outlineLevel="0" collapsed="false">
      <c r="A913" s="28"/>
      <c r="B913" s="29"/>
      <c r="C913" s="29"/>
      <c r="D913" s="29"/>
      <c r="E913" s="29"/>
    </row>
    <row r="914" customFormat="false" ht="15" hidden="false" customHeight="false" outlineLevel="0" collapsed="false">
      <c r="A914" s="28"/>
      <c r="B914" s="29"/>
      <c r="C914" s="29"/>
      <c r="D914" s="29"/>
      <c r="E914" s="29"/>
    </row>
    <row r="915" customFormat="false" ht="15" hidden="false" customHeight="false" outlineLevel="0" collapsed="false">
      <c r="A915" s="28"/>
      <c r="B915" s="29"/>
      <c r="C915" s="29"/>
      <c r="D915" s="29"/>
      <c r="E915" s="29"/>
    </row>
    <row r="916" customFormat="false" ht="15" hidden="false" customHeight="false" outlineLevel="0" collapsed="false">
      <c r="A916" s="28"/>
      <c r="B916" s="29"/>
      <c r="C916" s="29"/>
      <c r="D916" s="29"/>
      <c r="E916" s="29"/>
    </row>
    <row r="917" customFormat="false" ht="15" hidden="false" customHeight="false" outlineLevel="0" collapsed="false">
      <c r="A917" s="28"/>
      <c r="B917" s="29"/>
      <c r="C917" s="29"/>
      <c r="D917" s="29"/>
      <c r="E917" s="29"/>
    </row>
    <row r="918" customFormat="false" ht="15" hidden="false" customHeight="false" outlineLevel="0" collapsed="false">
      <c r="A918" s="28"/>
      <c r="B918" s="29"/>
      <c r="C918" s="29"/>
      <c r="D918" s="29"/>
      <c r="E918" s="29"/>
    </row>
    <row r="919" customFormat="false" ht="15" hidden="false" customHeight="false" outlineLevel="0" collapsed="false">
      <c r="A919" s="28"/>
      <c r="B919" s="29"/>
      <c r="C919" s="29"/>
      <c r="D919" s="29"/>
      <c r="E919" s="29"/>
    </row>
    <row r="920" customFormat="false" ht="15" hidden="false" customHeight="false" outlineLevel="0" collapsed="false">
      <c r="A920" s="28"/>
      <c r="B920" s="29"/>
      <c r="C920" s="29"/>
      <c r="D920" s="29"/>
      <c r="E920" s="29"/>
    </row>
    <row r="921" customFormat="false" ht="15" hidden="false" customHeight="false" outlineLevel="0" collapsed="false">
      <c r="A921" s="28"/>
      <c r="B921" s="29"/>
      <c r="C921" s="29"/>
      <c r="D921" s="29"/>
      <c r="E921" s="29"/>
    </row>
    <row r="922" customFormat="false" ht="15" hidden="false" customHeight="false" outlineLevel="0" collapsed="false">
      <c r="A922" s="28"/>
      <c r="B922" s="29"/>
      <c r="C922" s="29"/>
      <c r="D922" s="29"/>
      <c r="E922" s="29"/>
    </row>
    <row r="923" customFormat="false" ht="15" hidden="false" customHeight="false" outlineLevel="0" collapsed="false">
      <c r="A923" s="28"/>
      <c r="B923" s="29"/>
      <c r="C923" s="29"/>
      <c r="D923" s="29"/>
      <c r="E923" s="29"/>
    </row>
    <row r="924" customFormat="false" ht="15" hidden="false" customHeight="false" outlineLevel="0" collapsed="false">
      <c r="A924" s="28"/>
      <c r="B924" s="29"/>
      <c r="C924" s="29"/>
      <c r="D924" s="29"/>
      <c r="E924" s="29"/>
    </row>
    <row r="925" customFormat="false" ht="15" hidden="false" customHeight="false" outlineLevel="0" collapsed="false">
      <c r="A925" s="28"/>
      <c r="B925" s="29"/>
      <c r="C925" s="29"/>
      <c r="D925" s="29"/>
      <c r="E925" s="29"/>
    </row>
    <row r="926" customFormat="false" ht="15" hidden="false" customHeight="false" outlineLevel="0" collapsed="false">
      <c r="A926" s="28"/>
      <c r="B926" s="29"/>
      <c r="C926" s="29"/>
      <c r="D926" s="29"/>
      <c r="E926" s="29"/>
    </row>
    <row r="927" customFormat="false" ht="15" hidden="false" customHeight="false" outlineLevel="0" collapsed="false">
      <c r="A927" s="28"/>
      <c r="B927" s="29"/>
      <c r="C927" s="29"/>
      <c r="D927" s="29"/>
      <c r="E927" s="29"/>
    </row>
    <row r="928" customFormat="false" ht="15" hidden="false" customHeight="false" outlineLevel="0" collapsed="false">
      <c r="A928" s="28"/>
      <c r="B928" s="29"/>
      <c r="C928" s="29"/>
      <c r="D928" s="29"/>
      <c r="E928" s="29"/>
    </row>
    <row r="929" customFormat="false" ht="15" hidden="false" customHeight="false" outlineLevel="0" collapsed="false">
      <c r="A929" s="28"/>
      <c r="B929" s="29"/>
      <c r="C929" s="29"/>
      <c r="D929" s="29"/>
      <c r="E929" s="29"/>
    </row>
    <row r="930" customFormat="false" ht="15" hidden="false" customHeight="false" outlineLevel="0" collapsed="false">
      <c r="A930" s="28"/>
      <c r="B930" s="29"/>
      <c r="C930" s="29"/>
      <c r="D930" s="29"/>
      <c r="E930" s="29"/>
    </row>
    <row r="931" customFormat="false" ht="15" hidden="false" customHeight="false" outlineLevel="0" collapsed="false">
      <c r="A931" s="28"/>
      <c r="B931" s="29"/>
      <c r="C931" s="29"/>
      <c r="D931" s="29"/>
      <c r="E931" s="29"/>
    </row>
    <row r="932" customFormat="false" ht="15" hidden="false" customHeight="false" outlineLevel="0" collapsed="false">
      <c r="A932" s="28"/>
      <c r="B932" s="29"/>
      <c r="C932" s="29"/>
      <c r="D932" s="29"/>
      <c r="E932" s="29"/>
    </row>
    <row r="933" customFormat="false" ht="15" hidden="false" customHeight="false" outlineLevel="0" collapsed="false">
      <c r="A933" s="28"/>
      <c r="B933" s="29"/>
      <c r="C933" s="29"/>
      <c r="D933" s="29"/>
      <c r="E933" s="29"/>
    </row>
    <row r="934" customFormat="false" ht="15" hidden="false" customHeight="false" outlineLevel="0" collapsed="false">
      <c r="A934" s="28"/>
      <c r="B934" s="29"/>
      <c r="C934" s="29"/>
      <c r="D934" s="29"/>
      <c r="E934" s="29"/>
    </row>
    <row r="935" customFormat="false" ht="15" hidden="false" customHeight="false" outlineLevel="0" collapsed="false">
      <c r="A935" s="28"/>
      <c r="B935" s="29"/>
      <c r="C935" s="29"/>
      <c r="D935" s="29"/>
      <c r="E935" s="29"/>
    </row>
    <row r="936" customFormat="false" ht="15" hidden="false" customHeight="false" outlineLevel="0" collapsed="false">
      <c r="A936" s="28"/>
      <c r="B936" s="29"/>
      <c r="C936" s="29"/>
      <c r="D936" s="29"/>
      <c r="E936" s="29"/>
    </row>
    <row r="937" customFormat="false" ht="15" hidden="false" customHeight="false" outlineLevel="0" collapsed="false">
      <c r="A937" s="28"/>
      <c r="B937" s="29"/>
      <c r="C937" s="29"/>
      <c r="D937" s="29"/>
      <c r="E937" s="29"/>
    </row>
    <row r="938" customFormat="false" ht="15" hidden="false" customHeight="false" outlineLevel="0" collapsed="false">
      <c r="A938" s="28"/>
      <c r="B938" s="29"/>
      <c r="C938" s="29"/>
      <c r="D938" s="29"/>
      <c r="E938" s="29"/>
    </row>
    <row r="939" customFormat="false" ht="15" hidden="false" customHeight="false" outlineLevel="0" collapsed="false">
      <c r="A939" s="28"/>
      <c r="B939" s="29"/>
      <c r="C939" s="29"/>
      <c r="D939" s="29"/>
      <c r="E939" s="29"/>
    </row>
    <row r="940" customFormat="false" ht="15" hidden="false" customHeight="false" outlineLevel="0" collapsed="false">
      <c r="A940" s="28"/>
      <c r="B940" s="29"/>
      <c r="C940" s="29"/>
      <c r="D940" s="29"/>
      <c r="E940" s="29"/>
    </row>
    <row r="941" customFormat="false" ht="15" hidden="false" customHeight="false" outlineLevel="0" collapsed="false">
      <c r="A941" s="28"/>
      <c r="B941" s="29"/>
      <c r="C941" s="29"/>
      <c r="D941" s="29"/>
      <c r="E941" s="29"/>
    </row>
    <row r="942" customFormat="false" ht="15" hidden="false" customHeight="false" outlineLevel="0" collapsed="false">
      <c r="A942" s="28"/>
      <c r="B942" s="29"/>
      <c r="C942" s="29"/>
      <c r="D942" s="29"/>
      <c r="E942" s="29"/>
    </row>
    <row r="943" customFormat="false" ht="15" hidden="false" customHeight="false" outlineLevel="0" collapsed="false">
      <c r="A943" s="28"/>
      <c r="B943" s="29"/>
      <c r="C943" s="29"/>
      <c r="D943" s="29"/>
      <c r="E943" s="29"/>
    </row>
    <row r="944" customFormat="false" ht="15" hidden="false" customHeight="false" outlineLevel="0" collapsed="false">
      <c r="A944" s="28"/>
      <c r="B944" s="29"/>
      <c r="C944" s="29"/>
      <c r="D944" s="29"/>
      <c r="E944" s="29"/>
    </row>
    <row r="945" customFormat="false" ht="15" hidden="false" customHeight="false" outlineLevel="0" collapsed="false">
      <c r="A945" s="28"/>
      <c r="B945" s="29"/>
      <c r="C945" s="29"/>
      <c r="D945" s="29"/>
      <c r="E945" s="29"/>
    </row>
    <row r="946" customFormat="false" ht="15" hidden="false" customHeight="false" outlineLevel="0" collapsed="false">
      <c r="A946" s="28"/>
      <c r="B946" s="29"/>
      <c r="C946" s="29"/>
      <c r="D946" s="29"/>
      <c r="E946" s="29"/>
    </row>
    <row r="947" customFormat="false" ht="15" hidden="false" customHeight="false" outlineLevel="0" collapsed="false">
      <c r="A947" s="28"/>
      <c r="B947" s="29"/>
      <c r="C947" s="29"/>
      <c r="D947" s="29"/>
      <c r="E947" s="29"/>
    </row>
    <row r="948" customFormat="false" ht="15" hidden="false" customHeight="false" outlineLevel="0" collapsed="false">
      <c r="A948" s="28"/>
      <c r="B948" s="29"/>
      <c r="C948" s="29"/>
      <c r="D948" s="29"/>
      <c r="E948" s="29"/>
    </row>
    <row r="949" customFormat="false" ht="15" hidden="false" customHeight="false" outlineLevel="0" collapsed="false">
      <c r="A949" s="28"/>
      <c r="B949" s="29"/>
      <c r="C949" s="29"/>
      <c r="D949" s="29"/>
      <c r="E949" s="29"/>
    </row>
    <row r="950" customFormat="false" ht="15" hidden="false" customHeight="false" outlineLevel="0" collapsed="false">
      <c r="A950" s="28"/>
      <c r="B950" s="29"/>
      <c r="C950" s="29"/>
      <c r="D950" s="29"/>
      <c r="E950" s="29"/>
    </row>
    <row r="951" customFormat="false" ht="15" hidden="false" customHeight="false" outlineLevel="0" collapsed="false">
      <c r="A951" s="28"/>
      <c r="B951" s="29"/>
      <c r="C951" s="29"/>
      <c r="D951" s="29"/>
      <c r="E951" s="29"/>
    </row>
    <row r="952" customFormat="false" ht="15" hidden="false" customHeight="false" outlineLevel="0" collapsed="false">
      <c r="A952" s="28"/>
      <c r="B952" s="29"/>
      <c r="C952" s="29"/>
      <c r="D952" s="29"/>
      <c r="E952" s="29"/>
    </row>
    <row r="953" customFormat="false" ht="15" hidden="false" customHeight="false" outlineLevel="0" collapsed="false">
      <c r="A953" s="28"/>
      <c r="B953" s="29"/>
      <c r="C953" s="29"/>
      <c r="D953" s="29"/>
      <c r="E953" s="29"/>
    </row>
    <row r="954" customFormat="false" ht="15" hidden="false" customHeight="false" outlineLevel="0" collapsed="false">
      <c r="A954" s="28"/>
      <c r="B954" s="29"/>
      <c r="C954" s="29"/>
      <c r="D954" s="29"/>
      <c r="E954" s="29"/>
    </row>
    <row r="955" customFormat="false" ht="15" hidden="false" customHeight="false" outlineLevel="0" collapsed="false">
      <c r="A955" s="28"/>
      <c r="B955" s="29"/>
      <c r="C955" s="29"/>
      <c r="D955" s="29"/>
      <c r="E955" s="29"/>
    </row>
    <row r="956" customFormat="false" ht="15" hidden="false" customHeight="false" outlineLevel="0" collapsed="false">
      <c r="A956" s="28"/>
      <c r="B956" s="29"/>
      <c r="C956" s="29"/>
      <c r="D956" s="29"/>
      <c r="E956" s="29"/>
    </row>
    <row r="957" customFormat="false" ht="15" hidden="false" customHeight="false" outlineLevel="0" collapsed="false">
      <c r="A957" s="28"/>
      <c r="B957" s="29"/>
      <c r="C957" s="29"/>
      <c r="D957" s="29"/>
      <c r="E957" s="29"/>
    </row>
    <row r="958" customFormat="false" ht="15" hidden="false" customHeight="false" outlineLevel="0" collapsed="false">
      <c r="A958" s="28"/>
      <c r="B958" s="29"/>
      <c r="C958" s="29"/>
      <c r="D958" s="29"/>
      <c r="E958" s="29"/>
    </row>
    <row r="959" customFormat="false" ht="15" hidden="false" customHeight="false" outlineLevel="0" collapsed="false">
      <c r="A959" s="28"/>
      <c r="B959" s="29"/>
      <c r="C959" s="29"/>
      <c r="D959" s="29"/>
      <c r="E959" s="29"/>
    </row>
    <row r="960" customFormat="false" ht="15" hidden="false" customHeight="false" outlineLevel="0" collapsed="false">
      <c r="A960" s="28"/>
      <c r="B960" s="29"/>
      <c r="C960" s="29"/>
      <c r="D960" s="29"/>
      <c r="E960" s="29"/>
    </row>
    <row r="961" customFormat="false" ht="15" hidden="false" customHeight="false" outlineLevel="0" collapsed="false">
      <c r="A961" s="28"/>
      <c r="B961" s="29"/>
      <c r="C961" s="29"/>
      <c r="D961" s="29"/>
      <c r="E961" s="29"/>
    </row>
    <row r="962" customFormat="false" ht="15" hidden="false" customHeight="false" outlineLevel="0" collapsed="false">
      <c r="A962" s="28"/>
      <c r="B962" s="29"/>
      <c r="C962" s="29"/>
      <c r="D962" s="29"/>
      <c r="E962" s="29"/>
    </row>
    <row r="963" customFormat="false" ht="15" hidden="false" customHeight="false" outlineLevel="0" collapsed="false">
      <c r="A963" s="28"/>
      <c r="B963" s="29"/>
      <c r="C963" s="29"/>
      <c r="D963" s="29"/>
      <c r="E963" s="29"/>
    </row>
    <row r="964" customFormat="false" ht="15" hidden="false" customHeight="false" outlineLevel="0" collapsed="false">
      <c r="A964" s="28"/>
      <c r="B964" s="29"/>
      <c r="C964" s="29"/>
      <c r="D964" s="29"/>
      <c r="E964" s="29"/>
    </row>
    <row r="965" customFormat="false" ht="15" hidden="false" customHeight="false" outlineLevel="0" collapsed="false">
      <c r="A965" s="28"/>
      <c r="B965" s="29"/>
      <c r="C965" s="29"/>
      <c r="D965" s="29"/>
      <c r="E965" s="29"/>
    </row>
    <row r="966" customFormat="false" ht="15" hidden="false" customHeight="false" outlineLevel="0" collapsed="false">
      <c r="A966" s="28"/>
      <c r="B966" s="29"/>
      <c r="C966" s="29"/>
      <c r="D966" s="29"/>
      <c r="E966" s="29"/>
    </row>
    <row r="967" customFormat="false" ht="15" hidden="false" customHeight="false" outlineLevel="0" collapsed="false">
      <c r="A967" s="28"/>
      <c r="B967" s="29"/>
      <c r="C967" s="29"/>
      <c r="D967" s="29"/>
      <c r="E967" s="29"/>
    </row>
    <row r="968" customFormat="false" ht="15" hidden="false" customHeight="false" outlineLevel="0" collapsed="false">
      <c r="A968" s="28"/>
      <c r="B968" s="29"/>
      <c r="C968" s="29"/>
      <c r="D968" s="29"/>
      <c r="E968" s="29"/>
    </row>
    <row r="969" customFormat="false" ht="15" hidden="false" customHeight="false" outlineLevel="0" collapsed="false">
      <c r="A969" s="28"/>
      <c r="B969" s="29"/>
      <c r="C969" s="29"/>
      <c r="D969" s="29"/>
      <c r="E969" s="29"/>
    </row>
    <row r="970" customFormat="false" ht="15" hidden="false" customHeight="false" outlineLevel="0" collapsed="false">
      <c r="A970" s="28"/>
      <c r="B970" s="29"/>
      <c r="C970" s="29"/>
      <c r="D970" s="29"/>
      <c r="E970" s="29"/>
    </row>
    <row r="971" customFormat="false" ht="15" hidden="false" customHeight="false" outlineLevel="0" collapsed="false">
      <c r="A971" s="28"/>
      <c r="B971" s="29"/>
      <c r="C971" s="29"/>
      <c r="D971" s="29"/>
      <c r="E971" s="29"/>
    </row>
    <row r="972" customFormat="false" ht="15" hidden="false" customHeight="false" outlineLevel="0" collapsed="false">
      <c r="A972" s="28"/>
      <c r="B972" s="29"/>
      <c r="C972" s="29"/>
      <c r="D972" s="29"/>
      <c r="E972" s="29"/>
    </row>
    <row r="973" customFormat="false" ht="15" hidden="false" customHeight="false" outlineLevel="0" collapsed="false">
      <c r="A973" s="28"/>
      <c r="B973" s="29"/>
      <c r="C973" s="29"/>
      <c r="D973" s="29"/>
      <c r="E973" s="29"/>
    </row>
    <row r="974" customFormat="false" ht="15" hidden="false" customHeight="false" outlineLevel="0" collapsed="false">
      <c r="A974" s="28"/>
      <c r="B974" s="29"/>
      <c r="C974" s="29"/>
      <c r="D974" s="29"/>
      <c r="E974" s="29"/>
    </row>
    <row r="975" customFormat="false" ht="15" hidden="false" customHeight="false" outlineLevel="0" collapsed="false">
      <c r="A975" s="28"/>
      <c r="B975" s="29"/>
      <c r="C975" s="29"/>
      <c r="D975" s="29"/>
      <c r="E975" s="29"/>
    </row>
    <row r="976" customFormat="false" ht="15" hidden="false" customHeight="false" outlineLevel="0" collapsed="false">
      <c r="A976" s="28"/>
      <c r="B976" s="29"/>
      <c r="C976" s="29"/>
      <c r="D976" s="29"/>
      <c r="E976" s="29"/>
    </row>
    <row r="977" customFormat="false" ht="15" hidden="false" customHeight="false" outlineLevel="0" collapsed="false">
      <c r="A977" s="28"/>
      <c r="B977" s="29"/>
      <c r="C977" s="29"/>
      <c r="D977" s="29"/>
      <c r="E977" s="29"/>
    </row>
    <row r="978" customFormat="false" ht="15" hidden="false" customHeight="false" outlineLevel="0" collapsed="false">
      <c r="A978" s="28"/>
      <c r="B978" s="29"/>
      <c r="C978" s="29"/>
      <c r="D978" s="29"/>
      <c r="E978" s="29"/>
    </row>
    <row r="979" customFormat="false" ht="15" hidden="false" customHeight="false" outlineLevel="0" collapsed="false">
      <c r="A979" s="28"/>
      <c r="B979" s="29"/>
      <c r="C979" s="29"/>
      <c r="D979" s="29"/>
      <c r="E979" s="29"/>
    </row>
    <row r="980" customFormat="false" ht="15" hidden="false" customHeight="false" outlineLevel="0" collapsed="false">
      <c r="A980" s="28"/>
      <c r="B980" s="29"/>
      <c r="C980" s="29"/>
      <c r="D980" s="29"/>
      <c r="E980" s="29"/>
    </row>
    <row r="981" customFormat="false" ht="15" hidden="false" customHeight="false" outlineLevel="0" collapsed="false">
      <c r="A981" s="28"/>
      <c r="B981" s="29"/>
      <c r="C981" s="29"/>
      <c r="D981" s="29"/>
      <c r="E981" s="29"/>
    </row>
    <row r="982" customFormat="false" ht="15" hidden="false" customHeight="false" outlineLevel="0" collapsed="false">
      <c r="A982" s="28"/>
      <c r="B982" s="29"/>
      <c r="C982" s="29"/>
      <c r="D982" s="29"/>
      <c r="E982" s="29"/>
    </row>
    <row r="983" customFormat="false" ht="15" hidden="false" customHeight="false" outlineLevel="0" collapsed="false">
      <c r="A983" s="28"/>
      <c r="B983" s="29"/>
      <c r="C983" s="29"/>
      <c r="D983" s="29"/>
      <c r="E983" s="29"/>
    </row>
    <row r="984" customFormat="false" ht="15" hidden="false" customHeight="false" outlineLevel="0" collapsed="false">
      <c r="A984" s="28"/>
      <c r="B984" s="29"/>
      <c r="C984" s="29"/>
      <c r="D984" s="29"/>
      <c r="E984" s="29"/>
    </row>
    <row r="985" customFormat="false" ht="15" hidden="false" customHeight="false" outlineLevel="0" collapsed="false">
      <c r="A985" s="28"/>
      <c r="B985" s="29"/>
      <c r="C985" s="29"/>
      <c r="D985" s="29"/>
      <c r="E985" s="29"/>
    </row>
    <row r="986" customFormat="false" ht="15" hidden="false" customHeight="false" outlineLevel="0" collapsed="false">
      <c r="A986" s="28"/>
      <c r="B986" s="29"/>
      <c r="C986" s="29"/>
      <c r="D986" s="29"/>
      <c r="E986" s="29"/>
    </row>
    <row r="987" customFormat="false" ht="15" hidden="false" customHeight="false" outlineLevel="0" collapsed="false">
      <c r="A987" s="28"/>
      <c r="B987" s="29"/>
      <c r="C987" s="29"/>
      <c r="D987" s="29"/>
      <c r="E987" s="29"/>
    </row>
    <row r="988" customFormat="false" ht="15" hidden="false" customHeight="false" outlineLevel="0" collapsed="false">
      <c r="A988" s="28"/>
      <c r="B988" s="29"/>
      <c r="C988" s="29"/>
      <c r="D988" s="29"/>
      <c r="E988" s="29"/>
    </row>
    <row r="989" customFormat="false" ht="15" hidden="false" customHeight="false" outlineLevel="0" collapsed="false">
      <c r="A989" s="28"/>
      <c r="B989" s="29"/>
      <c r="C989" s="29"/>
      <c r="D989" s="29"/>
      <c r="E989" s="29"/>
    </row>
    <row r="990" customFormat="false" ht="15" hidden="false" customHeight="false" outlineLevel="0" collapsed="false">
      <c r="A990" s="28"/>
      <c r="B990" s="29"/>
      <c r="C990" s="29"/>
      <c r="D990" s="29"/>
      <c r="E990" s="29"/>
    </row>
    <row r="991" customFormat="false" ht="15" hidden="false" customHeight="false" outlineLevel="0" collapsed="false">
      <c r="A991" s="28"/>
      <c r="B991" s="29"/>
      <c r="C991" s="29"/>
      <c r="D991" s="29"/>
      <c r="E991" s="29"/>
    </row>
    <row r="992" customFormat="false" ht="15" hidden="false" customHeight="false" outlineLevel="0" collapsed="false">
      <c r="A992" s="28"/>
      <c r="B992" s="29"/>
      <c r="C992" s="29"/>
      <c r="D992" s="29"/>
      <c r="E992" s="29"/>
    </row>
    <row r="993" customFormat="false" ht="15" hidden="false" customHeight="false" outlineLevel="0" collapsed="false">
      <c r="A993" s="28"/>
      <c r="B993" s="29"/>
      <c r="C993" s="29"/>
      <c r="D993" s="29"/>
      <c r="E993" s="29"/>
    </row>
    <row r="994" customFormat="false" ht="15" hidden="false" customHeight="false" outlineLevel="0" collapsed="false">
      <c r="A994" s="28"/>
      <c r="B994" s="29"/>
      <c r="C994" s="29"/>
      <c r="D994" s="29"/>
      <c r="E994" s="29"/>
    </row>
    <row r="995" customFormat="false" ht="15" hidden="false" customHeight="false" outlineLevel="0" collapsed="false">
      <c r="A995" s="28"/>
      <c r="B995" s="29"/>
      <c r="C995" s="29"/>
      <c r="D995" s="29"/>
      <c r="E995" s="29"/>
    </row>
    <row r="996" customFormat="false" ht="15" hidden="false" customHeight="false" outlineLevel="0" collapsed="false">
      <c r="A996" s="28"/>
      <c r="B996" s="29"/>
      <c r="C996" s="29"/>
      <c r="D996" s="29"/>
      <c r="E996" s="29"/>
    </row>
    <row r="997" customFormat="false" ht="15" hidden="false" customHeight="false" outlineLevel="0" collapsed="false">
      <c r="A997" s="28"/>
      <c r="B997" s="29"/>
      <c r="C997" s="29"/>
      <c r="D997" s="29"/>
      <c r="E997" s="29"/>
    </row>
    <row r="998" customFormat="false" ht="15" hidden="false" customHeight="false" outlineLevel="0" collapsed="false">
      <c r="A998" s="28"/>
      <c r="B998" s="29"/>
      <c r="C998" s="29"/>
      <c r="D998" s="29"/>
      <c r="E998" s="29"/>
    </row>
    <row r="999" customFormat="false" ht="15" hidden="false" customHeight="false" outlineLevel="0" collapsed="false">
      <c r="A999" s="28"/>
      <c r="B999" s="29"/>
      <c r="C999" s="29"/>
      <c r="D999" s="29"/>
      <c r="E999" s="29"/>
    </row>
    <row r="1000" customFormat="false" ht="15" hidden="false" customHeight="false" outlineLevel="0" collapsed="false">
      <c r="A1000" s="28"/>
      <c r="B1000" s="29"/>
      <c r="C1000" s="29"/>
      <c r="D1000" s="29"/>
      <c r="E1000" s="29"/>
    </row>
    <row r="1001" customFormat="false" ht="15" hidden="false" customHeight="false" outlineLevel="0" collapsed="false">
      <c r="A1001" s="28"/>
      <c r="B1001" s="29"/>
      <c r="C1001" s="29"/>
      <c r="D1001" s="29"/>
      <c r="E1001" s="29"/>
    </row>
    <row r="1002" customFormat="false" ht="15" hidden="false" customHeight="false" outlineLevel="0" collapsed="false">
      <c r="A1002" s="28"/>
      <c r="B1002" s="29"/>
      <c r="C1002" s="29"/>
      <c r="D1002" s="29"/>
      <c r="E1002" s="29"/>
    </row>
    <row r="1003" customFormat="false" ht="15" hidden="false" customHeight="false" outlineLevel="0" collapsed="false">
      <c r="A1003" s="28"/>
      <c r="B1003" s="29"/>
      <c r="C1003" s="29"/>
      <c r="D1003" s="29"/>
      <c r="E1003" s="29"/>
    </row>
    <row r="1004" customFormat="false" ht="15" hidden="false" customHeight="false" outlineLevel="0" collapsed="false">
      <c r="A1004" s="28"/>
      <c r="B1004" s="29"/>
      <c r="C1004" s="29"/>
      <c r="D1004" s="29"/>
      <c r="E1004" s="29"/>
    </row>
    <row r="1005" customFormat="false" ht="15" hidden="false" customHeight="false" outlineLevel="0" collapsed="false">
      <c r="A1005" s="28"/>
      <c r="B1005" s="29"/>
      <c r="C1005" s="29"/>
      <c r="D1005" s="29"/>
      <c r="E1005" s="29"/>
    </row>
    <row r="1006" customFormat="false" ht="15" hidden="false" customHeight="false" outlineLevel="0" collapsed="false">
      <c r="A1006" s="28"/>
      <c r="B1006" s="29"/>
      <c r="C1006" s="29"/>
      <c r="D1006" s="29"/>
      <c r="E1006" s="29"/>
    </row>
    <row r="1007" customFormat="false" ht="15" hidden="false" customHeight="false" outlineLevel="0" collapsed="false">
      <c r="A1007" s="28"/>
      <c r="B1007" s="29"/>
      <c r="C1007" s="29"/>
      <c r="D1007" s="29"/>
      <c r="E1007" s="29"/>
    </row>
    <row r="1008" customFormat="false" ht="15" hidden="false" customHeight="false" outlineLevel="0" collapsed="false">
      <c r="A1008" s="28"/>
      <c r="B1008" s="29"/>
      <c r="C1008" s="29"/>
      <c r="D1008" s="29"/>
      <c r="E1008" s="29"/>
    </row>
    <row r="1009" customFormat="false" ht="15" hidden="false" customHeight="false" outlineLevel="0" collapsed="false">
      <c r="A1009" s="28"/>
      <c r="B1009" s="29"/>
      <c r="C1009" s="29"/>
      <c r="D1009" s="29"/>
      <c r="E1009" s="29"/>
    </row>
    <row r="1010" customFormat="false" ht="15" hidden="false" customHeight="false" outlineLevel="0" collapsed="false">
      <c r="A1010" s="28"/>
      <c r="B1010" s="29"/>
      <c r="C1010" s="29"/>
      <c r="D1010" s="29"/>
      <c r="E1010" s="29"/>
    </row>
    <row r="1011" customFormat="false" ht="15" hidden="false" customHeight="false" outlineLevel="0" collapsed="false">
      <c r="A1011" s="28"/>
      <c r="B1011" s="29"/>
      <c r="C1011" s="29"/>
      <c r="D1011" s="29"/>
      <c r="E1011" s="29"/>
    </row>
    <row r="1012" customFormat="false" ht="15" hidden="false" customHeight="false" outlineLevel="0" collapsed="false">
      <c r="A1012" s="28"/>
      <c r="B1012" s="29"/>
      <c r="C1012" s="29"/>
      <c r="D1012" s="29"/>
      <c r="E1012" s="29"/>
    </row>
    <row r="1013" customFormat="false" ht="15" hidden="false" customHeight="false" outlineLevel="0" collapsed="false">
      <c r="A1013" s="28"/>
      <c r="B1013" s="29"/>
      <c r="C1013" s="29"/>
      <c r="D1013" s="29"/>
      <c r="E1013" s="29"/>
    </row>
    <row r="1014" customFormat="false" ht="15" hidden="false" customHeight="false" outlineLevel="0" collapsed="false">
      <c r="A1014" s="28"/>
      <c r="B1014" s="29"/>
      <c r="C1014" s="29"/>
      <c r="D1014" s="29"/>
      <c r="E1014" s="29"/>
    </row>
    <row r="1015" customFormat="false" ht="15" hidden="false" customHeight="false" outlineLevel="0" collapsed="false">
      <c r="A1015" s="28"/>
      <c r="B1015" s="29"/>
      <c r="C1015" s="29"/>
      <c r="D1015" s="29"/>
      <c r="E1015" s="29"/>
    </row>
    <row r="1016" customFormat="false" ht="15" hidden="false" customHeight="false" outlineLevel="0" collapsed="false">
      <c r="A1016" s="28"/>
      <c r="B1016" s="29"/>
      <c r="C1016" s="29"/>
      <c r="D1016" s="29"/>
      <c r="E1016" s="29"/>
    </row>
    <row r="1017" customFormat="false" ht="15" hidden="false" customHeight="false" outlineLevel="0" collapsed="false">
      <c r="A1017" s="28"/>
      <c r="B1017" s="29"/>
      <c r="C1017" s="29"/>
      <c r="D1017" s="29"/>
      <c r="E1017" s="29"/>
    </row>
    <row r="1018" customFormat="false" ht="15" hidden="false" customHeight="false" outlineLevel="0" collapsed="false">
      <c r="A1018" s="28"/>
      <c r="B1018" s="29"/>
      <c r="C1018" s="29"/>
      <c r="D1018" s="29"/>
      <c r="E1018" s="29"/>
    </row>
    <row r="1019" customFormat="false" ht="15" hidden="false" customHeight="false" outlineLevel="0" collapsed="false">
      <c r="A1019" s="28"/>
      <c r="B1019" s="29"/>
      <c r="C1019" s="29"/>
      <c r="D1019" s="29"/>
      <c r="E1019" s="29"/>
    </row>
    <row r="1020" customFormat="false" ht="15" hidden="false" customHeight="false" outlineLevel="0" collapsed="false">
      <c r="A1020" s="28"/>
      <c r="B1020" s="29"/>
      <c r="C1020" s="29"/>
      <c r="D1020" s="29"/>
      <c r="E1020" s="29"/>
    </row>
    <row r="1021" customFormat="false" ht="15" hidden="false" customHeight="false" outlineLevel="0" collapsed="false">
      <c r="A1021" s="28"/>
      <c r="B1021" s="29"/>
      <c r="C1021" s="29"/>
      <c r="D1021" s="29"/>
      <c r="E1021" s="29"/>
    </row>
    <row r="1022" customFormat="false" ht="15" hidden="false" customHeight="false" outlineLevel="0" collapsed="false">
      <c r="A1022" s="28"/>
      <c r="B1022" s="29"/>
      <c r="C1022" s="29"/>
      <c r="D1022" s="29"/>
      <c r="E1022" s="29"/>
    </row>
    <row r="1023" customFormat="false" ht="15" hidden="false" customHeight="false" outlineLevel="0" collapsed="false">
      <c r="A1023" s="28"/>
      <c r="B1023" s="29"/>
      <c r="C1023" s="29"/>
      <c r="D1023" s="29"/>
      <c r="E1023" s="29"/>
    </row>
    <row r="1024" customFormat="false" ht="15" hidden="false" customHeight="false" outlineLevel="0" collapsed="false">
      <c r="A1024" s="28"/>
      <c r="B1024" s="29"/>
      <c r="C1024" s="29"/>
      <c r="D1024" s="29"/>
      <c r="E1024" s="29"/>
    </row>
    <row r="1025" customFormat="false" ht="15" hidden="false" customHeight="false" outlineLevel="0" collapsed="false">
      <c r="A1025" s="28"/>
      <c r="B1025" s="29"/>
      <c r="C1025" s="29"/>
      <c r="D1025" s="29"/>
      <c r="E1025" s="29"/>
    </row>
    <row r="1026" customFormat="false" ht="15" hidden="false" customHeight="false" outlineLevel="0" collapsed="false">
      <c r="A1026" s="28"/>
      <c r="B1026" s="29"/>
      <c r="C1026" s="29"/>
      <c r="D1026" s="29"/>
      <c r="E1026" s="29"/>
    </row>
    <row r="1027" customFormat="false" ht="15" hidden="false" customHeight="false" outlineLevel="0" collapsed="false">
      <c r="A1027" s="28"/>
      <c r="B1027" s="29"/>
      <c r="C1027" s="29"/>
      <c r="D1027" s="29"/>
      <c r="E1027" s="29"/>
    </row>
    <row r="1028" customFormat="false" ht="15" hidden="false" customHeight="false" outlineLevel="0" collapsed="false">
      <c r="A1028" s="28"/>
      <c r="B1028" s="29"/>
      <c r="C1028" s="29"/>
      <c r="D1028" s="29"/>
      <c r="E1028" s="29"/>
    </row>
    <row r="1029" customFormat="false" ht="15" hidden="false" customHeight="false" outlineLevel="0" collapsed="false">
      <c r="A1029" s="28"/>
      <c r="B1029" s="29"/>
      <c r="C1029" s="29"/>
      <c r="D1029" s="29"/>
      <c r="E1029" s="29"/>
    </row>
    <row r="1030" customFormat="false" ht="15" hidden="false" customHeight="false" outlineLevel="0" collapsed="false">
      <c r="A1030" s="28"/>
      <c r="B1030" s="29"/>
      <c r="C1030" s="29"/>
      <c r="D1030" s="29"/>
      <c r="E1030" s="29"/>
    </row>
    <row r="1031" customFormat="false" ht="15" hidden="false" customHeight="false" outlineLevel="0" collapsed="false">
      <c r="A1031" s="28"/>
      <c r="B1031" s="29"/>
      <c r="C1031" s="29"/>
      <c r="D1031" s="29"/>
      <c r="E1031" s="29"/>
    </row>
    <row r="1032" customFormat="false" ht="15" hidden="false" customHeight="false" outlineLevel="0" collapsed="false">
      <c r="A1032" s="28"/>
      <c r="B1032" s="29"/>
      <c r="C1032" s="29"/>
      <c r="D1032" s="29"/>
      <c r="E1032" s="29"/>
    </row>
    <row r="1033" customFormat="false" ht="15" hidden="false" customHeight="false" outlineLevel="0" collapsed="false">
      <c r="A1033" s="28"/>
      <c r="B1033" s="29"/>
      <c r="C1033" s="29"/>
      <c r="D1033" s="29"/>
      <c r="E1033" s="29"/>
    </row>
    <row r="1034" customFormat="false" ht="15" hidden="false" customHeight="false" outlineLevel="0" collapsed="false">
      <c r="A1034" s="28"/>
      <c r="B1034" s="29"/>
      <c r="C1034" s="29"/>
      <c r="D1034" s="29"/>
      <c r="E1034" s="29"/>
    </row>
    <row r="1035" customFormat="false" ht="15" hidden="false" customHeight="false" outlineLevel="0" collapsed="false">
      <c r="A1035" s="28"/>
      <c r="B1035" s="29"/>
      <c r="C1035" s="29"/>
      <c r="D1035" s="29"/>
      <c r="E1035" s="29"/>
    </row>
    <row r="1036" customFormat="false" ht="15" hidden="false" customHeight="false" outlineLevel="0" collapsed="false">
      <c r="A1036" s="28"/>
      <c r="B1036" s="29"/>
      <c r="C1036" s="29"/>
      <c r="D1036" s="29"/>
      <c r="E1036" s="29"/>
    </row>
    <row r="1037" customFormat="false" ht="15" hidden="false" customHeight="false" outlineLevel="0" collapsed="false">
      <c r="A1037" s="28"/>
      <c r="B1037" s="29"/>
      <c r="C1037" s="29"/>
      <c r="D1037" s="29"/>
      <c r="E1037" s="29"/>
    </row>
    <row r="1038" customFormat="false" ht="15" hidden="false" customHeight="false" outlineLevel="0" collapsed="false">
      <c r="A1038" s="28"/>
      <c r="B1038" s="29"/>
      <c r="C1038" s="29"/>
      <c r="D1038" s="29"/>
      <c r="E1038" s="29"/>
    </row>
    <row r="1039" customFormat="false" ht="15" hidden="false" customHeight="false" outlineLevel="0" collapsed="false">
      <c r="A1039" s="28"/>
      <c r="B1039" s="29"/>
      <c r="C1039" s="29"/>
      <c r="D1039" s="29"/>
      <c r="E1039" s="29"/>
    </row>
    <row r="1040" customFormat="false" ht="15" hidden="false" customHeight="false" outlineLevel="0" collapsed="false">
      <c r="A1040" s="28"/>
      <c r="B1040" s="29"/>
      <c r="C1040" s="29"/>
      <c r="D1040" s="29"/>
      <c r="E1040" s="29"/>
    </row>
    <row r="1041" customFormat="false" ht="15" hidden="false" customHeight="false" outlineLevel="0" collapsed="false">
      <c r="A1041" s="28"/>
      <c r="B1041" s="29"/>
      <c r="C1041" s="29"/>
      <c r="D1041" s="29"/>
      <c r="E1041" s="29"/>
    </row>
    <row r="1042" customFormat="false" ht="15" hidden="false" customHeight="false" outlineLevel="0" collapsed="false">
      <c r="A1042" s="28"/>
      <c r="B1042" s="29"/>
      <c r="C1042" s="29"/>
      <c r="D1042" s="29"/>
      <c r="E1042" s="29"/>
    </row>
    <row r="1043" customFormat="false" ht="15" hidden="false" customHeight="false" outlineLevel="0" collapsed="false">
      <c r="A1043" s="28"/>
      <c r="B1043" s="29"/>
      <c r="C1043" s="29"/>
      <c r="D1043" s="29"/>
      <c r="E1043" s="29"/>
    </row>
    <row r="1044" customFormat="false" ht="15" hidden="false" customHeight="false" outlineLevel="0" collapsed="false">
      <c r="A1044" s="28"/>
      <c r="B1044" s="29"/>
      <c r="C1044" s="29"/>
      <c r="D1044" s="29"/>
      <c r="E1044" s="29"/>
    </row>
    <row r="1045" customFormat="false" ht="15" hidden="false" customHeight="false" outlineLevel="0" collapsed="false">
      <c r="A1045" s="28"/>
      <c r="B1045" s="29"/>
      <c r="C1045" s="29"/>
      <c r="D1045" s="29"/>
      <c r="E1045" s="29"/>
    </row>
    <row r="1046" customFormat="false" ht="15" hidden="false" customHeight="false" outlineLevel="0" collapsed="false">
      <c r="A1046" s="28"/>
      <c r="B1046" s="29"/>
      <c r="C1046" s="29"/>
      <c r="D1046" s="29"/>
      <c r="E1046" s="29"/>
    </row>
    <row r="1047" customFormat="false" ht="15" hidden="false" customHeight="false" outlineLevel="0" collapsed="false">
      <c r="A1047" s="28"/>
      <c r="B1047" s="29"/>
      <c r="C1047" s="29"/>
      <c r="D1047" s="29"/>
      <c r="E1047" s="29"/>
    </row>
    <row r="1048" customFormat="false" ht="15" hidden="false" customHeight="false" outlineLevel="0" collapsed="false">
      <c r="A1048" s="28"/>
      <c r="B1048" s="29"/>
      <c r="C1048" s="29"/>
      <c r="D1048" s="29"/>
      <c r="E1048" s="29"/>
    </row>
    <row r="1049" customFormat="false" ht="15" hidden="false" customHeight="false" outlineLevel="0" collapsed="false">
      <c r="A1049" s="28"/>
      <c r="B1049" s="29"/>
      <c r="C1049" s="29"/>
      <c r="D1049" s="29"/>
      <c r="E1049" s="29"/>
    </row>
    <row r="1050" customFormat="false" ht="15" hidden="false" customHeight="false" outlineLevel="0" collapsed="false">
      <c r="A1050" s="28"/>
      <c r="B1050" s="29"/>
      <c r="C1050" s="29"/>
      <c r="D1050" s="29"/>
      <c r="E1050" s="29"/>
    </row>
    <row r="1051" customFormat="false" ht="15" hidden="false" customHeight="false" outlineLevel="0" collapsed="false">
      <c r="A1051" s="28"/>
      <c r="B1051" s="29"/>
      <c r="C1051" s="29"/>
      <c r="D1051" s="29"/>
      <c r="E1051" s="29"/>
    </row>
    <row r="1052" customFormat="false" ht="15" hidden="false" customHeight="false" outlineLevel="0" collapsed="false">
      <c r="A1052" s="28"/>
      <c r="B1052" s="29"/>
      <c r="C1052" s="29"/>
      <c r="D1052" s="29"/>
      <c r="E1052" s="29"/>
    </row>
    <row r="1053" customFormat="false" ht="15" hidden="false" customHeight="false" outlineLevel="0" collapsed="false">
      <c r="A1053" s="28"/>
      <c r="B1053" s="29"/>
      <c r="C1053" s="29"/>
      <c r="D1053" s="29"/>
      <c r="E1053" s="29"/>
    </row>
    <row r="1054" customFormat="false" ht="15" hidden="false" customHeight="false" outlineLevel="0" collapsed="false">
      <c r="A1054" s="28"/>
      <c r="B1054" s="29"/>
      <c r="C1054" s="29"/>
      <c r="D1054" s="29"/>
      <c r="E1054" s="29"/>
    </row>
    <row r="1055" customFormat="false" ht="15" hidden="false" customHeight="false" outlineLevel="0" collapsed="false">
      <c r="A1055" s="28"/>
      <c r="B1055" s="29"/>
      <c r="C1055" s="29"/>
      <c r="D1055" s="29"/>
      <c r="E1055" s="29"/>
    </row>
    <row r="1056" customFormat="false" ht="15" hidden="false" customHeight="false" outlineLevel="0" collapsed="false">
      <c r="A1056" s="28"/>
      <c r="B1056" s="29"/>
      <c r="C1056" s="29"/>
      <c r="D1056" s="29"/>
      <c r="E1056" s="29"/>
    </row>
    <row r="1057" customFormat="false" ht="15" hidden="false" customHeight="false" outlineLevel="0" collapsed="false">
      <c r="A1057" s="28"/>
      <c r="B1057" s="29"/>
      <c r="C1057" s="29"/>
      <c r="D1057" s="29"/>
      <c r="E1057" s="29"/>
    </row>
    <row r="1058" customFormat="false" ht="15" hidden="false" customHeight="false" outlineLevel="0" collapsed="false">
      <c r="A1058" s="28"/>
      <c r="B1058" s="29"/>
      <c r="C1058" s="29"/>
      <c r="D1058" s="29"/>
      <c r="E1058" s="29"/>
    </row>
    <row r="1059" customFormat="false" ht="15" hidden="false" customHeight="false" outlineLevel="0" collapsed="false">
      <c r="A1059" s="28"/>
      <c r="B1059" s="29"/>
      <c r="C1059" s="29"/>
      <c r="D1059" s="29"/>
      <c r="E1059" s="29"/>
    </row>
    <row r="1060" customFormat="false" ht="15" hidden="false" customHeight="false" outlineLevel="0" collapsed="false">
      <c r="A1060" s="28"/>
      <c r="B1060" s="29"/>
      <c r="C1060" s="29"/>
      <c r="D1060" s="29"/>
      <c r="E1060" s="29"/>
    </row>
  </sheetData>
  <dataValidations count="1">
    <dataValidation allowBlank="true" errorStyle="stop" operator="between" showDropDown="false" showErrorMessage="false" showInputMessage="false" sqref="B5:B1060" type="list">
      <formula1>Config!$A$23:$A$25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11" min="3" style="0" width="11"/>
    <col collapsed="false" customWidth="true" hidden="false" outlineLevel="0" max="12" min="12" style="0" width="13"/>
    <col collapsed="false" customWidth="true" hidden="false" outlineLevel="0" max="13" min="13" style="0" width="42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3" customFormat="false" ht="15" hidden="false" customHeight="false" outlineLevel="0" collapsed="false">
      <c r="C3" s="15" t="str">
        <f aca="false">Config!$A$23&amp;" - "&amp;Config!$B$23</f>
        <v>153523 - CAJA MEDIANA 22X33X30 411 C</v>
      </c>
      <c r="D3" s="15"/>
      <c r="E3" s="15"/>
      <c r="F3" s="15" t="str">
        <f aca="false">Config!$A$24&amp;" - "&amp;Config!$B$24</f>
        <v>153553 - CAJA 1/24 PEQUEÑA 11X22X15 312 C IMP</v>
      </c>
      <c r="G3" s="15"/>
      <c r="H3" s="15"/>
      <c r="I3" s="15" t="str">
        <f aca="false">Config!$A$25&amp;" - "&amp;Config!$B$25</f>
        <v>153526 - CAJA 1/2 GRANDE 33X44X30 411 C IMP</v>
      </c>
      <c r="J3" s="15"/>
      <c r="K3" s="15"/>
    </row>
    <row r="4" customFormat="false" ht="26.85" hidden="false" customHeight="false" outlineLevel="0" collapsed="false">
      <c r="A4" s="30" t="s">
        <v>90</v>
      </c>
      <c r="B4" s="30" t="s">
        <v>107</v>
      </c>
      <c r="C4" s="30" t="s">
        <v>108</v>
      </c>
      <c r="D4" s="30" t="s">
        <v>33</v>
      </c>
      <c r="E4" s="30" t="s">
        <v>32</v>
      </c>
      <c r="F4" s="30" t="s">
        <v>108</v>
      </c>
      <c r="G4" s="30" t="s">
        <v>33</v>
      </c>
      <c r="H4" s="30" t="s">
        <v>32</v>
      </c>
      <c r="I4" s="30" t="s">
        <v>108</v>
      </c>
      <c r="J4" s="30" t="s">
        <v>33</v>
      </c>
      <c r="K4" s="30" t="s">
        <v>32</v>
      </c>
      <c r="L4" s="30" t="s">
        <v>35</v>
      </c>
      <c r="M4" s="30" t="s">
        <v>109</v>
      </c>
    </row>
    <row r="5" customFormat="false" ht="15" hidden="false" customHeight="false" outlineLevel="0" collapsed="false">
      <c r="A5" s="5" t="n">
        <f aca="false">IF(Stock_Diario!A5="","",Stock_Diario!A5)</f>
        <v>46310</v>
      </c>
      <c r="B5" s="4" t="str">
        <f aca="false">""</f>
        <v/>
      </c>
      <c r="C5" s="24" t="n">
        <f aca="false">IF($A5="","",Stock_Diario!E5)</f>
        <v>6725</v>
      </c>
      <c r="D5" s="24" t="str">
        <f aca="false">""</f>
        <v/>
      </c>
      <c r="E5" s="24" t="str">
        <f aca="false">""</f>
        <v/>
      </c>
      <c r="F5" s="24" t="n">
        <f aca="false">IF($A5="","",Stock_Diario!F5)</f>
        <v>5025</v>
      </c>
      <c r="G5" s="24" t="str">
        <f aca="false">""</f>
        <v/>
      </c>
      <c r="H5" s="24" t="str">
        <f aca="false">""</f>
        <v/>
      </c>
      <c r="I5" s="24" t="n">
        <f aca="false">IF($A5="","",Stock_Diario!G5)</f>
        <v>11025</v>
      </c>
      <c r="J5" s="24" t="str">
        <f aca="false">""</f>
        <v/>
      </c>
      <c r="K5" s="24" t="str">
        <f aca="false">""</f>
        <v/>
      </c>
      <c r="L5" s="24" t="str">
        <f aca="false">""</f>
        <v/>
      </c>
      <c r="M5" s="4" t="str">
        <f aca="false">IF($A5="","","Primer registro (base)")</f>
        <v>Primer registro (base)</v>
      </c>
    </row>
    <row r="6" customFormat="false" ht="15" hidden="false" customHeight="false" outlineLevel="0" collapsed="false">
      <c r="A6" s="5" t="str">
        <f aca="false">IF(Stock_Diario!A6="","",Stock_Diario!A6)</f>
        <v/>
      </c>
      <c r="B6" s="4" t="str">
        <f aca="false">IF($A6="","",$A6-$A5)</f>
        <v/>
      </c>
      <c r="C6" s="24" t="str">
        <f aca="false">IF($A6="","",Stock_Diario!E6)</f>
        <v/>
      </c>
      <c r="D6" s="24" t="str">
        <f aca="false">IF($A6="","",IF(SUMIFS(Recepciones!$C$5:$C$2000,Recepciones!$B$5:$B$2000,Config!$A$23,Recepciones!$A$5:$A$2000,"&gt;"&amp;$A5,Recepciones!$A$5:$A$2000,"&lt;="&amp;$A6)&gt;0,SUMIFS(Recepciones!$C$5:$C$2000,Recepciones!$B$5:$B$2000,Config!$A$23,Recepciones!$A$5:$A$2000,"&gt;"&amp;$A5,Recepciones!$A$5:$A$2000,"&lt;="&amp;$A6),MAX(0,C6-C5)))</f>
        <v/>
      </c>
      <c r="E6" s="24" t="str">
        <f aca="false">IF($A6="","",MAX(0,C5+D6-C6))</f>
        <v/>
      </c>
      <c r="F6" s="24" t="str">
        <f aca="false">IF($A6="","",Stock_Diario!F6)</f>
        <v/>
      </c>
      <c r="G6" s="24" t="str">
        <f aca="false">IF($A6="","",IF(SUMIFS(Recepciones!$C$5:$C$2000,Recepciones!$B$5:$B$2000,Config!$A$24,Recepciones!$A$5:$A$2000,"&gt;"&amp;$A5,Recepciones!$A$5:$A$2000,"&lt;="&amp;$A6)&gt;0,SUMIFS(Recepciones!$C$5:$C$2000,Recepciones!$B$5:$B$2000,Config!$A$24,Recepciones!$A$5:$A$2000,"&gt;"&amp;$A5,Recepciones!$A$5:$A$2000,"&lt;="&amp;$A6),MAX(0,F6-F5)))</f>
        <v/>
      </c>
      <c r="H6" s="24" t="str">
        <f aca="false">IF($A6="","",MAX(0,F5+G6-F6))</f>
        <v/>
      </c>
      <c r="I6" s="24" t="str">
        <f aca="false">IF($A6="","",Stock_Diario!G6)</f>
        <v/>
      </c>
      <c r="J6" s="24" t="str">
        <f aca="false">IF($A6="","",IF(SUMIFS(Recepciones!$C$5:$C$2000,Recepciones!$B$5:$B$2000,Config!$A$25,Recepciones!$A$5:$A$2000,"&gt;"&amp;$A5,Recepciones!$A$5:$A$2000,"&lt;="&amp;$A6)&gt;0,SUMIFS(Recepciones!$C$5:$C$2000,Recepciones!$B$5:$B$2000,Config!$A$25,Recepciones!$A$5:$A$2000,"&gt;"&amp;$A5,Recepciones!$A$5:$A$2000,"&lt;="&amp;$A6),MAX(0,I6-I5)))</f>
        <v/>
      </c>
      <c r="K6" s="24" t="str">
        <f aca="false">IF($A6="","",MAX(0,I5+J6-I6))</f>
        <v/>
      </c>
      <c r="L6" s="24" t="str">
        <f aca="false">IF($A6="","",E6+H6+K6)</f>
        <v/>
      </c>
      <c r="M6" s="4" t="str">
        <f aca="false">IF($A6="","",IF(AND(D6+G6+J6&gt;0,SUMIFS(Recepciones!$C$5:$C$2000,Recepciones!$A$5:$A$2000,"&gt;"&amp;$A5,Recepciones!$A$5:$A$2000,"&lt;="&amp;$A6)=0),"Aumento de stock sin recepción registrada",IF(B6&gt;1,"Intervalo de "&amp;B6&amp;" días","")))</f>
        <v/>
      </c>
    </row>
    <row r="7" customFormat="false" ht="15" hidden="false" customHeight="false" outlineLevel="0" collapsed="false">
      <c r="A7" s="5" t="str">
        <f aca="false">IF(Stock_Diario!A7="","",Stock_Diario!A7)</f>
        <v/>
      </c>
      <c r="B7" s="4" t="str">
        <f aca="false">IF($A7="","",$A7-$A6)</f>
        <v/>
      </c>
      <c r="C7" s="24" t="str">
        <f aca="false">IF($A7="","",Stock_Diario!E7)</f>
        <v/>
      </c>
      <c r="D7" s="24" t="str">
        <f aca="false">IF($A7="","",IF(SUMIFS(Recepciones!$C$5:$C$2000,Recepciones!$B$5:$B$2000,Config!$A$23,Recepciones!$A$5:$A$2000,"&gt;"&amp;$A6,Recepciones!$A$5:$A$2000,"&lt;="&amp;$A7)&gt;0,SUMIFS(Recepciones!$C$5:$C$2000,Recepciones!$B$5:$B$2000,Config!$A$23,Recepciones!$A$5:$A$2000,"&gt;"&amp;$A6,Recepciones!$A$5:$A$2000,"&lt;="&amp;$A7),MAX(0,C7-C6)))</f>
        <v/>
      </c>
      <c r="E7" s="24" t="str">
        <f aca="false">IF($A7="","",MAX(0,C6+D7-C7))</f>
        <v/>
      </c>
      <c r="F7" s="24" t="str">
        <f aca="false">IF($A7="","",Stock_Diario!F7)</f>
        <v/>
      </c>
      <c r="G7" s="24" t="str">
        <f aca="false">IF($A7="","",IF(SUMIFS(Recepciones!$C$5:$C$2000,Recepciones!$B$5:$B$2000,Config!$A$24,Recepciones!$A$5:$A$2000,"&gt;"&amp;$A6,Recepciones!$A$5:$A$2000,"&lt;="&amp;$A7)&gt;0,SUMIFS(Recepciones!$C$5:$C$2000,Recepciones!$B$5:$B$2000,Config!$A$24,Recepciones!$A$5:$A$2000,"&gt;"&amp;$A6,Recepciones!$A$5:$A$2000,"&lt;="&amp;$A7),MAX(0,F7-F6)))</f>
        <v/>
      </c>
      <c r="H7" s="24" t="str">
        <f aca="false">IF($A7="","",MAX(0,F6+G7-F7))</f>
        <v/>
      </c>
      <c r="I7" s="24" t="str">
        <f aca="false">IF($A7="","",Stock_Diario!G7)</f>
        <v/>
      </c>
      <c r="J7" s="24" t="str">
        <f aca="false">IF($A7="","",IF(SUMIFS(Recepciones!$C$5:$C$2000,Recepciones!$B$5:$B$2000,Config!$A$25,Recepciones!$A$5:$A$2000,"&gt;"&amp;$A6,Recepciones!$A$5:$A$2000,"&lt;="&amp;$A7)&gt;0,SUMIFS(Recepciones!$C$5:$C$2000,Recepciones!$B$5:$B$2000,Config!$A$25,Recepciones!$A$5:$A$2000,"&gt;"&amp;$A6,Recepciones!$A$5:$A$2000,"&lt;="&amp;$A7),MAX(0,I7-I6)))</f>
        <v/>
      </c>
      <c r="K7" s="24" t="str">
        <f aca="false">IF($A7="","",MAX(0,I6+J7-I7))</f>
        <v/>
      </c>
      <c r="L7" s="24" t="str">
        <f aca="false">IF($A7="","",E7+H7+K7)</f>
        <v/>
      </c>
      <c r="M7" s="4" t="str">
        <f aca="false">IF($A7="","",IF(AND(D7+G7+J7&gt;0,SUMIFS(Recepciones!$C$5:$C$2000,Recepciones!$A$5:$A$2000,"&gt;"&amp;$A6,Recepciones!$A$5:$A$2000,"&lt;="&amp;$A7)=0),"Aumento de stock sin recepción registrada",IF(B7&gt;1,"Intervalo de "&amp;B7&amp;" días","")))</f>
        <v/>
      </c>
    </row>
    <row r="8" customFormat="false" ht="15" hidden="false" customHeight="false" outlineLevel="0" collapsed="false">
      <c r="A8" s="5" t="str">
        <f aca="false">IF(Stock_Diario!A8="","",Stock_Diario!A8)</f>
        <v/>
      </c>
      <c r="B8" s="4" t="str">
        <f aca="false">IF($A8="","",$A8-$A7)</f>
        <v/>
      </c>
      <c r="C8" s="24" t="str">
        <f aca="false">IF($A8="","",Stock_Diario!E8)</f>
        <v/>
      </c>
      <c r="D8" s="24" t="str">
        <f aca="false">IF($A8="","",IF(SUMIFS(Recepciones!$C$5:$C$2000,Recepciones!$B$5:$B$2000,Config!$A$23,Recepciones!$A$5:$A$2000,"&gt;"&amp;$A7,Recepciones!$A$5:$A$2000,"&lt;="&amp;$A8)&gt;0,SUMIFS(Recepciones!$C$5:$C$2000,Recepciones!$B$5:$B$2000,Config!$A$23,Recepciones!$A$5:$A$2000,"&gt;"&amp;$A7,Recepciones!$A$5:$A$2000,"&lt;="&amp;$A8),MAX(0,C8-C7)))</f>
        <v/>
      </c>
      <c r="E8" s="24" t="str">
        <f aca="false">IF($A8="","",MAX(0,C7+D8-C8))</f>
        <v/>
      </c>
      <c r="F8" s="24" t="str">
        <f aca="false">IF($A8="","",Stock_Diario!F8)</f>
        <v/>
      </c>
      <c r="G8" s="24" t="str">
        <f aca="false">IF($A8="","",IF(SUMIFS(Recepciones!$C$5:$C$2000,Recepciones!$B$5:$B$2000,Config!$A$24,Recepciones!$A$5:$A$2000,"&gt;"&amp;$A7,Recepciones!$A$5:$A$2000,"&lt;="&amp;$A8)&gt;0,SUMIFS(Recepciones!$C$5:$C$2000,Recepciones!$B$5:$B$2000,Config!$A$24,Recepciones!$A$5:$A$2000,"&gt;"&amp;$A7,Recepciones!$A$5:$A$2000,"&lt;="&amp;$A8),MAX(0,F8-F7)))</f>
        <v/>
      </c>
      <c r="H8" s="24" t="str">
        <f aca="false">IF($A8="","",MAX(0,F7+G8-F8))</f>
        <v/>
      </c>
      <c r="I8" s="24" t="str">
        <f aca="false">IF($A8="","",Stock_Diario!G8)</f>
        <v/>
      </c>
      <c r="J8" s="24" t="str">
        <f aca="false">IF($A8="","",IF(SUMIFS(Recepciones!$C$5:$C$2000,Recepciones!$B$5:$B$2000,Config!$A$25,Recepciones!$A$5:$A$2000,"&gt;"&amp;$A7,Recepciones!$A$5:$A$2000,"&lt;="&amp;$A8)&gt;0,SUMIFS(Recepciones!$C$5:$C$2000,Recepciones!$B$5:$B$2000,Config!$A$25,Recepciones!$A$5:$A$2000,"&gt;"&amp;$A7,Recepciones!$A$5:$A$2000,"&lt;="&amp;$A8),MAX(0,I8-I7)))</f>
        <v/>
      </c>
      <c r="K8" s="24" t="str">
        <f aca="false">IF($A8="","",MAX(0,I7+J8-I8))</f>
        <v/>
      </c>
      <c r="L8" s="24" t="str">
        <f aca="false">IF($A8="","",E8+H8+K8)</f>
        <v/>
      </c>
      <c r="M8" s="4" t="str">
        <f aca="false">IF($A8="","",IF(AND(D8+G8+J8&gt;0,SUMIFS(Recepciones!$C$5:$C$2000,Recepciones!$A$5:$A$2000,"&gt;"&amp;$A7,Recepciones!$A$5:$A$2000,"&lt;="&amp;$A8)=0),"Aumento de stock sin recepción registrada",IF(B8&gt;1,"Intervalo de "&amp;B8&amp;" días","")))</f>
        <v/>
      </c>
    </row>
    <row r="9" customFormat="false" ht="15" hidden="false" customHeight="false" outlineLevel="0" collapsed="false">
      <c r="A9" s="5" t="str">
        <f aca="false">IF(Stock_Diario!A9="","",Stock_Diario!A9)</f>
        <v/>
      </c>
      <c r="B9" s="4" t="str">
        <f aca="false">IF($A9="","",$A9-$A8)</f>
        <v/>
      </c>
      <c r="C9" s="24" t="str">
        <f aca="false">IF($A9="","",Stock_Diario!E9)</f>
        <v/>
      </c>
      <c r="D9" s="24" t="str">
        <f aca="false">IF($A9="","",IF(SUMIFS(Recepciones!$C$5:$C$2000,Recepciones!$B$5:$B$2000,Config!$A$23,Recepciones!$A$5:$A$2000,"&gt;"&amp;$A8,Recepciones!$A$5:$A$2000,"&lt;="&amp;$A9)&gt;0,SUMIFS(Recepciones!$C$5:$C$2000,Recepciones!$B$5:$B$2000,Config!$A$23,Recepciones!$A$5:$A$2000,"&gt;"&amp;$A8,Recepciones!$A$5:$A$2000,"&lt;="&amp;$A9),MAX(0,C9-C8)))</f>
        <v/>
      </c>
      <c r="E9" s="24" t="str">
        <f aca="false">IF($A9="","",MAX(0,C8+D9-C9))</f>
        <v/>
      </c>
      <c r="F9" s="24" t="str">
        <f aca="false">IF($A9="","",Stock_Diario!F9)</f>
        <v/>
      </c>
      <c r="G9" s="24" t="str">
        <f aca="false">IF($A9="","",IF(SUMIFS(Recepciones!$C$5:$C$2000,Recepciones!$B$5:$B$2000,Config!$A$24,Recepciones!$A$5:$A$2000,"&gt;"&amp;$A8,Recepciones!$A$5:$A$2000,"&lt;="&amp;$A9)&gt;0,SUMIFS(Recepciones!$C$5:$C$2000,Recepciones!$B$5:$B$2000,Config!$A$24,Recepciones!$A$5:$A$2000,"&gt;"&amp;$A8,Recepciones!$A$5:$A$2000,"&lt;="&amp;$A9),MAX(0,F9-F8)))</f>
        <v/>
      </c>
      <c r="H9" s="24" t="str">
        <f aca="false">IF($A9="","",MAX(0,F8+G9-F9))</f>
        <v/>
      </c>
      <c r="I9" s="24" t="str">
        <f aca="false">IF($A9="","",Stock_Diario!G9)</f>
        <v/>
      </c>
      <c r="J9" s="24" t="str">
        <f aca="false">IF($A9="","",IF(SUMIFS(Recepciones!$C$5:$C$2000,Recepciones!$B$5:$B$2000,Config!$A$25,Recepciones!$A$5:$A$2000,"&gt;"&amp;$A8,Recepciones!$A$5:$A$2000,"&lt;="&amp;$A9)&gt;0,SUMIFS(Recepciones!$C$5:$C$2000,Recepciones!$B$5:$B$2000,Config!$A$25,Recepciones!$A$5:$A$2000,"&gt;"&amp;$A8,Recepciones!$A$5:$A$2000,"&lt;="&amp;$A9),MAX(0,I9-I8)))</f>
        <v/>
      </c>
      <c r="K9" s="24" t="str">
        <f aca="false">IF($A9="","",MAX(0,I8+J9-I9))</f>
        <v/>
      </c>
      <c r="L9" s="24" t="str">
        <f aca="false">IF($A9="","",E9+H9+K9)</f>
        <v/>
      </c>
      <c r="M9" s="4" t="str">
        <f aca="false">IF($A9="","",IF(AND(D9+G9+J9&gt;0,SUMIFS(Recepciones!$C$5:$C$2000,Recepciones!$A$5:$A$2000,"&gt;"&amp;$A8,Recepciones!$A$5:$A$2000,"&lt;="&amp;$A9)=0),"Aumento de stock sin recepción registrada",IF(B9&gt;1,"Intervalo de "&amp;B9&amp;" días","")))</f>
        <v/>
      </c>
    </row>
    <row r="10" customFormat="false" ht="15" hidden="false" customHeight="false" outlineLevel="0" collapsed="false">
      <c r="A10" s="5" t="str">
        <f aca="false">IF(Stock_Diario!A10="","",Stock_Diario!A10)</f>
        <v/>
      </c>
      <c r="B10" s="4" t="str">
        <f aca="false">IF($A10="","",$A10-$A9)</f>
        <v/>
      </c>
      <c r="C10" s="24" t="str">
        <f aca="false">IF($A10="","",Stock_Diario!E10)</f>
        <v/>
      </c>
      <c r="D10" s="24" t="str">
        <f aca="false">IF($A10="","",IF(SUMIFS(Recepciones!$C$5:$C$2000,Recepciones!$B$5:$B$2000,Config!$A$23,Recepciones!$A$5:$A$2000,"&gt;"&amp;$A9,Recepciones!$A$5:$A$2000,"&lt;="&amp;$A10)&gt;0,SUMIFS(Recepciones!$C$5:$C$2000,Recepciones!$B$5:$B$2000,Config!$A$23,Recepciones!$A$5:$A$2000,"&gt;"&amp;$A9,Recepciones!$A$5:$A$2000,"&lt;="&amp;$A10),MAX(0,C10-C9)))</f>
        <v/>
      </c>
      <c r="E10" s="24" t="str">
        <f aca="false">IF($A10="","",MAX(0,C9+D10-C10))</f>
        <v/>
      </c>
      <c r="F10" s="24" t="str">
        <f aca="false">IF($A10="","",Stock_Diario!F10)</f>
        <v/>
      </c>
      <c r="G10" s="24" t="str">
        <f aca="false">IF($A10="","",IF(SUMIFS(Recepciones!$C$5:$C$2000,Recepciones!$B$5:$B$2000,Config!$A$24,Recepciones!$A$5:$A$2000,"&gt;"&amp;$A9,Recepciones!$A$5:$A$2000,"&lt;="&amp;$A10)&gt;0,SUMIFS(Recepciones!$C$5:$C$2000,Recepciones!$B$5:$B$2000,Config!$A$24,Recepciones!$A$5:$A$2000,"&gt;"&amp;$A9,Recepciones!$A$5:$A$2000,"&lt;="&amp;$A10),MAX(0,F10-F9)))</f>
        <v/>
      </c>
      <c r="H10" s="24" t="str">
        <f aca="false">IF($A10="","",MAX(0,F9+G10-F10))</f>
        <v/>
      </c>
      <c r="I10" s="24" t="str">
        <f aca="false">IF($A10="","",Stock_Diario!G10)</f>
        <v/>
      </c>
      <c r="J10" s="24" t="str">
        <f aca="false">IF($A10="","",IF(SUMIFS(Recepciones!$C$5:$C$2000,Recepciones!$B$5:$B$2000,Config!$A$25,Recepciones!$A$5:$A$2000,"&gt;"&amp;$A9,Recepciones!$A$5:$A$2000,"&lt;="&amp;$A10)&gt;0,SUMIFS(Recepciones!$C$5:$C$2000,Recepciones!$B$5:$B$2000,Config!$A$25,Recepciones!$A$5:$A$2000,"&gt;"&amp;$A9,Recepciones!$A$5:$A$2000,"&lt;="&amp;$A10),MAX(0,I10-I9)))</f>
        <v/>
      </c>
      <c r="K10" s="24" t="str">
        <f aca="false">IF($A10="","",MAX(0,I9+J10-I10))</f>
        <v/>
      </c>
      <c r="L10" s="24" t="str">
        <f aca="false">IF($A10="","",E10+H10+K10)</f>
        <v/>
      </c>
      <c r="M10" s="4" t="str">
        <f aca="false">IF($A10="","",IF(AND(D10+G10+J10&gt;0,SUMIFS(Recepciones!$C$5:$C$2000,Recepciones!$A$5:$A$2000,"&gt;"&amp;$A9,Recepciones!$A$5:$A$2000,"&lt;="&amp;$A10)=0),"Aumento de stock sin recepción registrada",IF(B10&gt;1,"Intervalo de "&amp;B10&amp;" días","")))</f>
        <v/>
      </c>
    </row>
    <row r="11" customFormat="false" ht="15" hidden="false" customHeight="false" outlineLevel="0" collapsed="false">
      <c r="A11" s="5" t="str">
        <f aca="false">IF(Stock_Diario!A11="","",Stock_Diario!A11)</f>
        <v/>
      </c>
      <c r="B11" s="4" t="str">
        <f aca="false">IF($A11="","",$A11-$A10)</f>
        <v/>
      </c>
      <c r="C11" s="24" t="str">
        <f aca="false">IF($A11="","",Stock_Diario!E11)</f>
        <v/>
      </c>
      <c r="D11" s="24" t="str">
        <f aca="false">IF($A11="","",IF(SUMIFS(Recepciones!$C$5:$C$2000,Recepciones!$B$5:$B$2000,Config!$A$23,Recepciones!$A$5:$A$2000,"&gt;"&amp;$A10,Recepciones!$A$5:$A$2000,"&lt;="&amp;$A11)&gt;0,SUMIFS(Recepciones!$C$5:$C$2000,Recepciones!$B$5:$B$2000,Config!$A$23,Recepciones!$A$5:$A$2000,"&gt;"&amp;$A10,Recepciones!$A$5:$A$2000,"&lt;="&amp;$A11),MAX(0,C11-C10)))</f>
        <v/>
      </c>
      <c r="E11" s="24" t="str">
        <f aca="false">IF($A11="","",MAX(0,C10+D11-C11))</f>
        <v/>
      </c>
      <c r="F11" s="24" t="str">
        <f aca="false">IF($A11="","",Stock_Diario!F11)</f>
        <v/>
      </c>
      <c r="G11" s="24" t="str">
        <f aca="false">IF($A11="","",IF(SUMIFS(Recepciones!$C$5:$C$2000,Recepciones!$B$5:$B$2000,Config!$A$24,Recepciones!$A$5:$A$2000,"&gt;"&amp;$A10,Recepciones!$A$5:$A$2000,"&lt;="&amp;$A11)&gt;0,SUMIFS(Recepciones!$C$5:$C$2000,Recepciones!$B$5:$B$2000,Config!$A$24,Recepciones!$A$5:$A$2000,"&gt;"&amp;$A10,Recepciones!$A$5:$A$2000,"&lt;="&amp;$A11),MAX(0,F11-F10)))</f>
        <v/>
      </c>
      <c r="H11" s="24" t="str">
        <f aca="false">IF($A11="","",MAX(0,F10+G11-F11))</f>
        <v/>
      </c>
      <c r="I11" s="24" t="str">
        <f aca="false">IF($A11="","",Stock_Diario!G11)</f>
        <v/>
      </c>
      <c r="J11" s="24" t="str">
        <f aca="false">IF($A11="","",IF(SUMIFS(Recepciones!$C$5:$C$2000,Recepciones!$B$5:$B$2000,Config!$A$25,Recepciones!$A$5:$A$2000,"&gt;"&amp;$A10,Recepciones!$A$5:$A$2000,"&lt;="&amp;$A11)&gt;0,SUMIFS(Recepciones!$C$5:$C$2000,Recepciones!$B$5:$B$2000,Config!$A$25,Recepciones!$A$5:$A$2000,"&gt;"&amp;$A10,Recepciones!$A$5:$A$2000,"&lt;="&amp;$A11),MAX(0,I11-I10)))</f>
        <v/>
      </c>
      <c r="K11" s="24" t="str">
        <f aca="false">IF($A11="","",MAX(0,I10+J11-I11))</f>
        <v/>
      </c>
      <c r="L11" s="24" t="str">
        <f aca="false">IF($A11="","",E11+H11+K11)</f>
        <v/>
      </c>
      <c r="M11" s="4" t="str">
        <f aca="false">IF($A11="","",IF(AND(D11+G11+J11&gt;0,SUMIFS(Recepciones!$C$5:$C$2000,Recepciones!$A$5:$A$2000,"&gt;"&amp;$A10,Recepciones!$A$5:$A$2000,"&lt;="&amp;$A11)=0),"Aumento de stock sin recepción registrada",IF(B11&gt;1,"Intervalo de "&amp;B11&amp;" días","")))</f>
        <v/>
      </c>
    </row>
    <row r="12" customFormat="false" ht="15" hidden="false" customHeight="false" outlineLevel="0" collapsed="false">
      <c r="A12" s="5" t="str">
        <f aca="false">IF(Stock_Diario!A12="","",Stock_Diario!A12)</f>
        <v/>
      </c>
      <c r="B12" s="4" t="str">
        <f aca="false">IF($A12="","",$A12-$A11)</f>
        <v/>
      </c>
      <c r="C12" s="24" t="str">
        <f aca="false">IF($A12="","",Stock_Diario!E12)</f>
        <v/>
      </c>
      <c r="D12" s="24" t="str">
        <f aca="false">IF($A12="","",IF(SUMIFS(Recepciones!$C$5:$C$2000,Recepciones!$B$5:$B$2000,Config!$A$23,Recepciones!$A$5:$A$2000,"&gt;"&amp;$A11,Recepciones!$A$5:$A$2000,"&lt;="&amp;$A12)&gt;0,SUMIFS(Recepciones!$C$5:$C$2000,Recepciones!$B$5:$B$2000,Config!$A$23,Recepciones!$A$5:$A$2000,"&gt;"&amp;$A11,Recepciones!$A$5:$A$2000,"&lt;="&amp;$A12),MAX(0,C12-C11)))</f>
        <v/>
      </c>
      <c r="E12" s="24" t="str">
        <f aca="false">IF($A12="","",MAX(0,C11+D12-C12))</f>
        <v/>
      </c>
      <c r="F12" s="24" t="str">
        <f aca="false">IF($A12="","",Stock_Diario!F12)</f>
        <v/>
      </c>
      <c r="G12" s="24" t="str">
        <f aca="false">IF($A12="","",IF(SUMIFS(Recepciones!$C$5:$C$2000,Recepciones!$B$5:$B$2000,Config!$A$24,Recepciones!$A$5:$A$2000,"&gt;"&amp;$A11,Recepciones!$A$5:$A$2000,"&lt;="&amp;$A12)&gt;0,SUMIFS(Recepciones!$C$5:$C$2000,Recepciones!$B$5:$B$2000,Config!$A$24,Recepciones!$A$5:$A$2000,"&gt;"&amp;$A11,Recepciones!$A$5:$A$2000,"&lt;="&amp;$A12),MAX(0,F12-F11)))</f>
        <v/>
      </c>
      <c r="H12" s="24" t="str">
        <f aca="false">IF($A12="","",MAX(0,F11+G12-F12))</f>
        <v/>
      </c>
      <c r="I12" s="24" t="str">
        <f aca="false">IF($A12="","",Stock_Diario!G12)</f>
        <v/>
      </c>
      <c r="J12" s="24" t="str">
        <f aca="false">IF($A12="","",IF(SUMIFS(Recepciones!$C$5:$C$2000,Recepciones!$B$5:$B$2000,Config!$A$25,Recepciones!$A$5:$A$2000,"&gt;"&amp;$A11,Recepciones!$A$5:$A$2000,"&lt;="&amp;$A12)&gt;0,SUMIFS(Recepciones!$C$5:$C$2000,Recepciones!$B$5:$B$2000,Config!$A$25,Recepciones!$A$5:$A$2000,"&gt;"&amp;$A11,Recepciones!$A$5:$A$2000,"&lt;="&amp;$A12),MAX(0,I12-I11)))</f>
        <v/>
      </c>
      <c r="K12" s="24" t="str">
        <f aca="false">IF($A12="","",MAX(0,I11+J12-I12))</f>
        <v/>
      </c>
      <c r="L12" s="24" t="str">
        <f aca="false">IF($A12="","",E12+H12+K12)</f>
        <v/>
      </c>
      <c r="M12" s="4" t="str">
        <f aca="false">IF($A12="","",IF(AND(D12+G12+J12&gt;0,SUMIFS(Recepciones!$C$5:$C$2000,Recepciones!$A$5:$A$2000,"&gt;"&amp;$A11,Recepciones!$A$5:$A$2000,"&lt;="&amp;$A12)=0),"Aumento de stock sin recepción registrada",IF(B12&gt;1,"Intervalo de "&amp;B12&amp;" días","")))</f>
        <v/>
      </c>
    </row>
    <row r="13" customFormat="false" ht="15" hidden="false" customHeight="false" outlineLevel="0" collapsed="false">
      <c r="A13" s="5" t="str">
        <f aca="false">IF(Stock_Diario!A13="","",Stock_Diario!A13)</f>
        <v/>
      </c>
      <c r="B13" s="4" t="str">
        <f aca="false">IF($A13="","",$A13-$A12)</f>
        <v/>
      </c>
      <c r="C13" s="24" t="str">
        <f aca="false">IF($A13="","",Stock_Diario!E13)</f>
        <v/>
      </c>
      <c r="D13" s="24" t="str">
        <f aca="false">IF($A13="","",IF(SUMIFS(Recepciones!$C$5:$C$2000,Recepciones!$B$5:$B$2000,Config!$A$23,Recepciones!$A$5:$A$2000,"&gt;"&amp;$A12,Recepciones!$A$5:$A$2000,"&lt;="&amp;$A13)&gt;0,SUMIFS(Recepciones!$C$5:$C$2000,Recepciones!$B$5:$B$2000,Config!$A$23,Recepciones!$A$5:$A$2000,"&gt;"&amp;$A12,Recepciones!$A$5:$A$2000,"&lt;="&amp;$A13),MAX(0,C13-C12)))</f>
        <v/>
      </c>
      <c r="E13" s="24" t="str">
        <f aca="false">IF($A13="","",MAX(0,C12+D13-C13))</f>
        <v/>
      </c>
      <c r="F13" s="24" t="str">
        <f aca="false">IF($A13="","",Stock_Diario!F13)</f>
        <v/>
      </c>
      <c r="G13" s="24" t="str">
        <f aca="false">IF($A13="","",IF(SUMIFS(Recepciones!$C$5:$C$2000,Recepciones!$B$5:$B$2000,Config!$A$24,Recepciones!$A$5:$A$2000,"&gt;"&amp;$A12,Recepciones!$A$5:$A$2000,"&lt;="&amp;$A13)&gt;0,SUMIFS(Recepciones!$C$5:$C$2000,Recepciones!$B$5:$B$2000,Config!$A$24,Recepciones!$A$5:$A$2000,"&gt;"&amp;$A12,Recepciones!$A$5:$A$2000,"&lt;="&amp;$A13),MAX(0,F13-F12)))</f>
        <v/>
      </c>
      <c r="H13" s="24" t="str">
        <f aca="false">IF($A13="","",MAX(0,F12+G13-F13))</f>
        <v/>
      </c>
      <c r="I13" s="24" t="str">
        <f aca="false">IF($A13="","",Stock_Diario!G13)</f>
        <v/>
      </c>
      <c r="J13" s="24" t="str">
        <f aca="false">IF($A13="","",IF(SUMIFS(Recepciones!$C$5:$C$2000,Recepciones!$B$5:$B$2000,Config!$A$25,Recepciones!$A$5:$A$2000,"&gt;"&amp;$A12,Recepciones!$A$5:$A$2000,"&lt;="&amp;$A13)&gt;0,SUMIFS(Recepciones!$C$5:$C$2000,Recepciones!$B$5:$B$2000,Config!$A$25,Recepciones!$A$5:$A$2000,"&gt;"&amp;$A12,Recepciones!$A$5:$A$2000,"&lt;="&amp;$A13),MAX(0,I13-I12)))</f>
        <v/>
      </c>
      <c r="K13" s="24" t="str">
        <f aca="false">IF($A13="","",MAX(0,I12+J13-I13))</f>
        <v/>
      </c>
      <c r="L13" s="24" t="str">
        <f aca="false">IF($A13="","",E13+H13+K13)</f>
        <v/>
      </c>
      <c r="M13" s="4" t="str">
        <f aca="false">IF($A13="","",IF(AND(D13+G13+J13&gt;0,SUMIFS(Recepciones!$C$5:$C$2000,Recepciones!$A$5:$A$2000,"&gt;"&amp;$A12,Recepciones!$A$5:$A$2000,"&lt;="&amp;$A13)=0),"Aumento de stock sin recepción registrada",IF(B13&gt;1,"Intervalo de "&amp;B13&amp;" días","")))</f>
        <v/>
      </c>
    </row>
    <row r="14" customFormat="false" ht="15" hidden="false" customHeight="false" outlineLevel="0" collapsed="false">
      <c r="A14" s="5" t="str">
        <f aca="false">IF(Stock_Diario!A14="","",Stock_Diario!A14)</f>
        <v/>
      </c>
      <c r="B14" s="4" t="str">
        <f aca="false">IF($A14="","",$A14-$A13)</f>
        <v/>
      </c>
      <c r="C14" s="24" t="str">
        <f aca="false">IF($A14="","",Stock_Diario!E14)</f>
        <v/>
      </c>
      <c r="D14" s="24" t="str">
        <f aca="false">IF($A14="","",IF(SUMIFS(Recepciones!$C$5:$C$2000,Recepciones!$B$5:$B$2000,Config!$A$23,Recepciones!$A$5:$A$2000,"&gt;"&amp;$A13,Recepciones!$A$5:$A$2000,"&lt;="&amp;$A14)&gt;0,SUMIFS(Recepciones!$C$5:$C$2000,Recepciones!$B$5:$B$2000,Config!$A$23,Recepciones!$A$5:$A$2000,"&gt;"&amp;$A13,Recepciones!$A$5:$A$2000,"&lt;="&amp;$A14),MAX(0,C14-C13)))</f>
        <v/>
      </c>
      <c r="E14" s="24" t="str">
        <f aca="false">IF($A14="","",MAX(0,C13+D14-C14))</f>
        <v/>
      </c>
      <c r="F14" s="24" t="str">
        <f aca="false">IF($A14="","",Stock_Diario!F14)</f>
        <v/>
      </c>
      <c r="G14" s="24" t="str">
        <f aca="false">IF($A14="","",IF(SUMIFS(Recepciones!$C$5:$C$2000,Recepciones!$B$5:$B$2000,Config!$A$24,Recepciones!$A$5:$A$2000,"&gt;"&amp;$A13,Recepciones!$A$5:$A$2000,"&lt;="&amp;$A14)&gt;0,SUMIFS(Recepciones!$C$5:$C$2000,Recepciones!$B$5:$B$2000,Config!$A$24,Recepciones!$A$5:$A$2000,"&gt;"&amp;$A13,Recepciones!$A$5:$A$2000,"&lt;="&amp;$A14),MAX(0,F14-F13)))</f>
        <v/>
      </c>
      <c r="H14" s="24" t="str">
        <f aca="false">IF($A14="","",MAX(0,F13+G14-F14))</f>
        <v/>
      </c>
      <c r="I14" s="24" t="str">
        <f aca="false">IF($A14="","",Stock_Diario!G14)</f>
        <v/>
      </c>
      <c r="J14" s="24" t="str">
        <f aca="false">IF($A14="","",IF(SUMIFS(Recepciones!$C$5:$C$2000,Recepciones!$B$5:$B$2000,Config!$A$25,Recepciones!$A$5:$A$2000,"&gt;"&amp;$A13,Recepciones!$A$5:$A$2000,"&lt;="&amp;$A14)&gt;0,SUMIFS(Recepciones!$C$5:$C$2000,Recepciones!$B$5:$B$2000,Config!$A$25,Recepciones!$A$5:$A$2000,"&gt;"&amp;$A13,Recepciones!$A$5:$A$2000,"&lt;="&amp;$A14),MAX(0,I14-I13)))</f>
        <v/>
      </c>
      <c r="K14" s="24" t="str">
        <f aca="false">IF($A14="","",MAX(0,I13+J14-I14))</f>
        <v/>
      </c>
      <c r="L14" s="24" t="str">
        <f aca="false">IF($A14="","",E14+H14+K14)</f>
        <v/>
      </c>
      <c r="M14" s="4" t="str">
        <f aca="false">IF($A14="","",IF(AND(D14+G14+J14&gt;0,SUMIFS(Recepciones!$C$5:$C$2000,Recepciones!$A$5:$A$2000,"&gt;"&amp;$A13,Recepciones!$A$5:$A$2000,"&lt;="&amp;$A14)=0),"Aumento de stock sin recepción registrada",IF(B14&gt;1,"Intervalo de "&amp;B14&amp;" días","")))</f>
        <v/>
      </c>
    </row>
    <row r="15" customFormat="false" ht="15" hidden="false" customHeight="false" outlineLevel="0" collapsed="false">
      <c r="A15" s="5" t="str">
        <f aca="false">IF(Stock_Diario!A15="","",Stock_Diario!A15)</f>
        <v/>
      </c>
      <c r="B15" s="4" t="str">
        <f aca="false">IF($A15="","",$A15-$A14)</f>
        <v/>
      </c>
      <c r="C15" s="24" t="str">
        <f aca="false">IF($A15="","",Stock_Diario!E15)</f>
        <v/>
      </c>
      <c r="D15" s="24" t="str">
        <f aca="false">IF($A15="","",IF(SUMIFS(Recepciones!$C$5:$C$2000,Recepciones!$B$5:$B$2000,Config!$A$23,Recepciones!$A$5:$A$2000,"&gt;"&amp;$A14,Recepciones!$A$5:$A$2000,"&lt;="&amp;$A15)&gt;0,SUMIFS(Recepciones!$C$5:$C$2000,Recepciones!$B$5:$B$2000,Config!$A$23,Recepciones!$A$5:$A$2000,"&gt;"&amp;$A14,Recepciones!$A$5:$A$2000,"&lt;="&amp;$A15),MAX(0,C15-C14)))</f>
        <v/>
      </c>
      <c r="E15" s="24" t="str">
        <f aca="false">IF($A15="","",MAX(0,C14+D15-C15))</f>
        <v/>
      </c>
      <c r="F15" s="24" t="str">
        <f aca="false">IF($A15="","",Stock_Diario!F15)</f>
        <v/>
      </c>
      <c r="G15" s="24" t="str">
        <f aca="false">IF($A15="","",IF(SUMIFS(Recepciones!$C$5:$C$2000,Recepciones!$B$5:$B$2000,Config!$A$24,Recepciones!$A$5:$A$2000,"&gt;"&amp;$A14,Recepciones!$A$5:$A$2000,"&lt;="&amp;$A15)&gt;0,SUMIFS(Recepciones!$C$5:$C$2000,Recepciones!$B$5:$B$2000,Config!$A$24,Recepciones!$A$5:$A$2000,"&gt;"&amp;$A14,Recepciones!$A$5:$A$2000,"&lt;="&amp;$A15),MAX(0,F15-F14)))</f>
        <v/>
      </c>
      <c r="H15" s="24" t="str">
        <f aca="false">IF($A15="","",MAX(0,F14+G15-F15))</f>
        <v/>
      </c>
      <c r="I15" s="24" t="str">
        <f aca="false">IF($A15="","",Stock_Diario!G15)</f>
        <v/>
      </c>
      <c r="J15" s="24" t="str">
        <f aca="false">IF($A15="","",IF(SUMIFS(Recepciones!$C$5:$C$2000,Recepciones!$B$5:$B$2000,Config!$A$25,Recepciones!$A$5:$A$2000,"&gt;"&amp;$A14,Recepciones!$A$5:$A$2000,"&lt;="&amp;$A15)&gt;0,SUMIFS(Recepciones!$C$5:$C$2000,Recepciones!$B$5:$B$2000,Config!$A$25,Recepciones!$A$5:$A$2000,"&gt;"&amp;$A14,Recepciones!$A$5:$A$2000,"&lt;="&amp;$A15),MAX(0,I15-I14)))</f>
        <v/>
      </c>
      <c r="K15" s="24" t="str">
        <f aca="false">IF($A15="","",MAX(0,I14+J15-I15))</f>
        <v/>
      </c>
      <c r="L15" s="24" t="str">
        <f aca="false">IF($A15="","",E15+H15+K15)</f>
        <v/>
      </c>
      <c r="M15" s="4" t="str">
        <f aca="false">IF($A15="","",IF(AND(D15+G15+J15&gt;0,SUMIFS(Recepciones!$C$5:$C$2000,Recepciones!$A$5:$A$2000,"&gt;"&amp;$A14,Recepciones!$A$5:$A$2000,"&lt;="&amp;$A15)=0),"Aumento de stock sin recepción registrada",IF(B15&gt;1,"Intervalo de "&amp;B15&amp;" días","")))</f>
        <v/>
      </c>
    </row>
    <row r="16" customFormat="false" ht="15" hidden="false" customHeight="false" outlineLevel="0" collapsed="false">
      <c r="A16" s="5" t="str">
        <f aca="false">IF(Stock_Diario!A16="","",Stock_Diario!A16)</f>
        <v/>
      </c>
      <c r="B16" s="4" t="str">
        <f aca="false">IF($A16="","",$A16-$A15)</f>
        <v/>
      </c>
      <c r="C16" s="24" t="str">
        <f aca="false">IF($A16="","",Stock_Diario!E16)</f>
        <v/>
      </c>
      <c r="D16" s="24" t="str">
        <f aca="false">IF($A16="","",IF(SUMIFS(Recepciones!$C$5:$C$2000,Recepciones!$B$5:$B$2000,Config!$A$23,Recepciones!$A$5:$A$2000,"&gt;"&amp;$A15,Recepciones!$A$5:$A$2000,"&lt;="&amp;$A16)&gt;0,SUMIFS(Recepciones!$C$5:$C$2000,Recepciones!$B$5:$B$2000,Config!$A$23,Recepciones!$A$5:$A$2000,"&gt;"&amp;$A15,Recepciones!$A$5:$A$2000,"&lt;="&amp;$A16),MAX(0,C16-C15)))</f>
        <v/>
      </c>
      <c r="E16" s="24" t="str">
        <f aca="false">IF($A16="","",MAX(0,C15+D16-C16))</f>
        <v/>
      </c>
      <c r="F16" s="24" t="str">
        <f aca="false">IF($A16="","",Stock_Diario!F16)</f>
        <v/>
      </c>
      <c r="G16" s="24" t="str">
        <f aca="false">IF($A16="","",IF(SUMIFS(Recepciones!$C$5:$C$2000,Recepciones!$B$5:$B$2000,Config!$A$24,Recepciones!$A$5:$A$2000,"&gt;"&amp;$A15,Recepciones!$A$5:$A$2000,"&lt;="&amp;$A16)&gt;0,SUMIFS(Recepciones!$C$5:$C$2000,Recepciones!$B$5:$B$2000,Config!$A$24,Recepciones!$A$5:$A$2000,"&gt;"&amp;$A15,Recepciones!$A$5:$A$2000,"&lt;="&amp;$A16),MAX(0,F16-F15)))</f>
        <v/>
      </c>
      <c r="H16" s="24" t="str">
        <f aca="false">IF($A16="","",MAX(0,F15+G16-F16))</f>
        <v/>
      </c>
      <c r="I16" s="24" t="str">
        <f aca="false">IF($A16="","",Stock_Diario!G16)</f>
        <v/>
      </c>
      <c r="J16" s="24" t="str">
        <f aca="false">IF($A16="","",IF(SUMIFS(Recepciones!$C$5:$C$2000,Recepciones!$B$5:$B$2000,Config!$A$25,Recepciones!$A$5:$A$2000,"&gt;"&amp;$A15,Recepciones!$A$5:$A$2000,"&lt;="&amp;$A16)&gt;0,SUMIFS(Recepciones!$C$5:$C$2000,Recepciones!$B$5:$B$2000,Config!$A$25,Recepciones!$A$5:$A$2000,"&gt;"&amp;$A15,Recepciones!$A$5:$A$2000,"&lt;="&amp;$A16),MAX(0,I16-I15)))</f>
        <v/>
      </c>
      <c r="K16" s="24" t="str">
        <f aca="false">IF($A16="","",MAX(0,I15+J16-I16))</f>
        <v/>
      </c>
      <c r="L16" s="24" t="str">
        <f aca="false">IF($A16="","",E16+H16+K16)</f>
        <v/>
      </c>
      <c r="M16" s="4" t="str">
        <f aca="false">IF($A16="","",IF(AND(D16+G16+J16&gt;0,SUMIFS(Recepciones!$C$5:$C$2000,Recepciones!$A$5:$A$2000,"&gt;"&amp;$A15,Recepciones!$A$5:$A$2000,"&lt;="&amp;$A16)=0),"Aumento de stock sin recepción registrada",IF(B16&gt;1,"Intervalo de "&amp;B16&amp;" días","")))</f>
        <v/>
      </c>
    </row>
    <row r="17" customFormat="false" ht="15" hidden="false" customHeight="false" outlineLevel="0" collapsed="false">
      <c r="A17" s="5" t="str">
        <f aca="false">IF(Stock_Diario!A17="","",Stock_Diario!A17)</f>
        <v/>
      </c>
      <c r="B17" s="4" t="str">
        <f aca="false">IF($A17="","",$A17-$A16)</f>
        <v/>
      </c>
      <c r="C17" s="24" t="str">
        <f aca="false">IF($A17="","",Stock_Diario!E17)</f>
        <v/>
      </c>
      <c r="D17" s="24" t="str">
        <f aca="false">IF($A17="","",IF(SUMIFS(Recepciones!$C$5:$C$2000,Recepciones!$B$5:$B$2000,Config!$A$23,Recepciones!$A$5:$A$2000,"&gt;"&amp;$A16,Recepciones!$A$5:$A$2000,"&lt;="&amp;$A17)&gt;0,SUMIFS(Recepciones!$C$5:$C$2000,Recepciones!$B$5:$B$2000,Config!$A$23,Recepciones!$A$5:$A$2000,"&gt;"&amp;$A16,Recepciones!$A$5:$A$2000,"&lt;="&amp;$A17),MAX(0,C17-C16)))</f>
        <v/>
      </c>
      <c r="E17" s="24" t="str">
        <f aca="false">IF($A17="","",MAX(0,C16+D17-C17))</f>
        <v/>
      </c>
      <c r="F17" s="24" t="str">
        <f aca="false">IF($A17="","",Stock_Diario!F17)</f>
        <v/>
      </c>
      <c r="G17" s="24" t="str">
        <f aca="false">IF($A17="","",IF(SUMIFS(Recepciones!$C$5:$C$2000,Recepciones!$B$5:$B$2000,Config!$A$24,Recepciones!$A$5:$A$2000,"&gt;"&amp;$A16,Recepciones!$A$5:$A$2000,"&lt;="&amp;$A17)&gt;0,SUMIFS(Recepciones!$C$5:$C$2000,Recepciones!$B$5:$B$2000,Config!$A$24,Recepciones!$A$5:$A$2000,"&gt;"&amp;$A16,Recepciones!$A$5:$A$2000,"&lt;="&amp;$A17),MAX(0,F17-F16)))</f>
        <v/>
      </c>
      <c r="H17" s="24" t="str">
        <f aca="false">IF($A17="","",MAX(0,F16+G17-F17))</f>
        <v/>
      </c>
      <c r="I17" s="24" t="str">
        <f aca="false">IF($A17="","",Stock_Diario!G17)</f>
        <v/>
      </c>
      <c r="J17" s="24" t="str">
        <f aca="false">IF($A17="","",IF(SUMIFS(Recepciones!$C$5:$C$2000,Recepciones!$B$5:$B$2000,Config!$A$25,Recepciones!$A$5:$A$2000,"&gt;"&amp;$A16,Recepciones!$A$5:$A$2000,"&lt;="&amp;$A17)&gt;0,SUMIFS(Recepciones!$C$5:$C$2000,Recepciones!$B$5:$B$2000,Config!$A$25,Recepciones!$A$5:$A$2000,"&gt;"&amp;$A16,Recepciones!$A$5:$A$2000,"&lt;="&amp;$A17),MAX(0,I17-I16)))</f>
        <v/>
      </c>
      <c r="K17" s="24" t="str">
        <f aca="false">IF($A17="","",MAX(0,I16+J17-I17))</f>
        <v/>
      </c>
      <c r="L17" s="24" t="str">
        <f aca="false">IF($A17="","",E17+H17+K17)</f>
        <v/>
      </c>
      <c r="M17" s="4" t="str">
        <f aca="false">IF($A17="","",IF(AND(D17+G17+J17&gt;0,SUMIFS(Recepciones!$C$5:$C$2000,Recepciones!$A$5:$A$2000,"&gt;"&amp;$A16,Recepciones!$A$5:$A$2000,"&lt;="&amp;$A17)=0),"Aumento de stock sin recepción registrada",IF(B17&gt;1,"Intervalo de "&amp;B17&amp;" días","")))</f>
        <v/>
      </c>
    </row>
    <row r="18" customFormat="false" ht="15" hidden="false" customHeight="false" outlineLevel="0" collapsed="false">
      <c r="A18" s="5" t="str">
        <f aca="false">IF(Stock_Diario!A18="","",Stock_Diario!A18)</f>
        <v/>
      </c>
      <c r="B18" s="4" t="str">
        <f aca="false">IF($A18="","",$A18-$A17)</f>
        <v/>
      </c>
      <c r="C18" s="24" t="str">
        <f aca="false">IF($A18="","",Stock_Diario!E18)</f>
        <v/>
      </c>
      <c r="D18" s="24" t="str">
        <f aca="false">IF($A18="","",IF(SUMIFS(Recepciones!$C$5:$C$2000,Recepciones!$B$5:$B$2000,Config!$A$23,Recepciones!$A$5:$A$2000,"&gt;"&amp;$A17,Recepciones!$A$5:$A$2000,"&lt;="&amp;$A18)&gt;0,SUMIFS(Recepciones!$C$5:$C$2000,Recepciones!$B$5:$B$2000,Config!$A$23,Recepciones!$A$5:$A$2000,"&gt;"&amp;$A17,Recepciones!$A$5:$A$2000,"&lt;="&amp;$A18),MAX(0,C18-C17)))</f>
        <v/>
      </c>
      <c r="E18" s="24" t="str">
        <f aca="false">IF($A18="","",MAX(0,C17+D18-C18))</f>
        <v/>
      </c>
      <c r="F18" s="24" t="str">
        <f aca="false">IF($A18="","",Stock_Diario!F18)</f>
        <v/>
      </c>
      <c r="G18" s="24" t="str">
        <f aca="false">IF($A18="","",IF(SUMIFS(Recepciones!$C$5:$C$2000,Recepciones!$B$5:$B$2000,Config!$A$24,Recepciones!$A$5:$A$2000,"&gt;"&amp;$A17,Recepciones!$A$5:$A$2000,"&lt;="&amp;$A18)&gt;0,SUMIFS(Recepciones!$C$5:$C$2000,Recepciones!$B$5:$B$2000,Config!$A$24,Recepciones!$A$5:$A$2000,"&gt;"&amp;$A17,Recepciones!$A$5:$A$2000,"&lt;="&amp;$A18),MAX(0,F18-F17)))</f>
        <v/>
      </c>
      <c r="H18" s="24" t="str">
        <f aca="false">IF($A18="","",MAX(0,F17+G18-F18))</f>
        <v/>
      </c>
      <c r="I18" s="24" t="str">
        <f aca="false">IF($A18="","",Stock_Diario!G18)</f>
        <v/>
      </c>
      <c r="J18" s="24" t="str">
        <f aca="false">IF($A18="","",IF(SUMIFS(Recepciones!$C$5:$C$2000,Recepciones!$B$5:$B$2000,Config!$A$25,Recepciones!$A$5:$A$2000,"&gt;"&amp;$A17,Recepciones!$A$5:$A$2000,"&lt;="&amp;$A18)&gt;0,SUMIFS(Recepciones!$C$5:$C$2000,Recepciones!$B$5:$B$2000,Config!$A$25,Recepciones!$A$5:$A$2000,"&gt;"&amp;$A17,Recepciones!$A$5:$A$2000,"&lt;="&amp;$A18),MAX(0,I18-I17)))</f>
        <v/>
      </c>
      <c r="K18" s="24" t="str">
        <f aca="false">IF($A18="","",MAX(0,I17+J18-I18))</f>
        <v/>
      </c>
      <c r="L18" s="24" t="str">
        <f aca="false">IF($A18="","",E18+H18+K18)</f>
        <v/>
      </c>
      <c r="M18" s="4" t="str">
        <f aca="false">IF($A18="","",IF(AND(D18+G18+J18&gt;0,SUMIFS(Recepciones!$C$5:$C$2000,Recepciones!$A$5:$A$2000,"&gt;"&amp;$A17,Recepciones!$A$5:$A$2000,"&lt;="&amp;$A18)=0),"Aumento de stock sin recepción registrada",IF(B18&gt;1,"Intervalo de "&amp;B18&amp;" días","")))</f>
        <v/>
      </c>
    </row>
    <row r="19" customFormat="false" ht="15" hidden="false" customHeight="false" outlineLevel="0" collapsed="false">
      <c r="A19" s="5" t="str">
        <f aca="false">IF(Stock_Diario!A19="","",Stock_Diario!A19)</f>
        <v/>
      </c>
      <c r="B19" s="4" t="str">
        <f aca="false">IF($A19="","",$A19-$A18)</f>
        <v/>
      </c>
      <c r="C19" s="24" t="str">
        <f aca="false">IF($A19="","",Stock_Diario!E19)</f>
        <v/>
      </c>
      <c r="D19" s="24" t="str">
        <f aca="false">IF($A19="","",IF(SUMIFS(Recepciones!$C$5:$C$2000,Recepciones!$B$5:$B$2000,Config!$A$23,Recepciones!$A$5:$A$2000,"&gt;"&amp;$A18,Recepciones!$A$5:$A$2000,"&lt;="&amp;$A19)&gt;0,SUMIFS(Recepciones!$C$5:$C$2000,Recepciones!$B$5:$B$2000,Config!$A$23,Recepciones!$A$5:$A$2000,"&gt;"&amp;$A18,Recepciones!$A$5:$A$2000,"&lt;="&amp;$A19),MAX(0,C19-C18)))</f>
        <v/>
      </c>
      <c r="E19" s="24" t="str">
        <f aca="false">IF($A19="","",MAX(0,C18+D19-C19))</f>
        <v/>
      </c>
      <c r="F19" s="24" t="str">
        <f aca="false">IF($A19="","",Stock_Diario!F19)</f>
        <v/>
      </c>
      <c r="G19" s="24" t="str">
        <f aca="false">IF($A19="","",IF(SUMIFS(Recepciones!$C$5:$C$2000,Recepciones!$B$5:$B$2000,Config!$A$24,Recepciones!$A$5:$A$2000,"&gt;"&amp;$A18,Recepciones!$A$5:$A$2000,"&lt;="&amp;$A19)&gt;0,SUMIFS(Recepciones!$C$5:$C$2000,Recepciones!$B$5:$B$2000,Config!$A$24,Recepciones!$A$5:$A$2000,"&gt;"&amp;$A18,Recepciones!$A$5:$A$2000,"&lt;="&amp;$A19),MAX(0,F19-F18)))</f>
        <v/>
      </c>
      <c r="H19" s="24" t="str">
        <f aca="false">IF($A19="","",MAX(0,F18+G19-F19))</f>
        <v/>
      </c>
      <c r="I19" s="24" t="str">
        <f aca="false">IF($A19="","",Stock_Diario!G19)</f>
        <v/>
      </c>
      <c r="J19" s="24" t="str">
        <f aca="false">IF($A19="","",IF(SUMIFS(Recepciones!$C$5:$C$2000,Recepciones!$B$5:$B$2000,Config!$A$25,Recepciones!$A$5:$A$2000,"&gt;"&amp;$A18,Recepciones!$A$5:$A$2000,"&lt;="&amp;$A19)&gt;0,SUMIFS(Recepciones!$C$5:$C$2000,Recepciones!$B$5:$B$2000,Config!$A$25,Recepciones!$A$5:$A$2000,"&gt;"&amp;$A18,Recepciones!$A$5:$A$2000,"&lt;="&amp;$A19),MAX(0,I19-I18)))</f>
        <v/>
      </c>
      <c r="K19" s="24" t="str">
        <f aca="false">IF($A19="","",MAX(0,I18+J19-I19))</f>
        <v/>
      </c>
      <c r="L19" s="24" t="str">
        <f aca="false">IF($A19="","",E19+H19+K19)</f>
        <v/>
      </c>
      <c r="M19" s="4" t="str">
        <f aca="false">IF($A19="","",IF(AND(D19+G19+J19&gt;0,SUMIFS(Recepciones!$C$5:$C$2000,Recepciones!$A$5:$A$2000,"&gt;"&amp;$A18,Recepciones!$A$5:$A$2000,"&lt;="&amp;$A19)=0),"Aumento de stock sin recepción registrada",IF(B19&gt;1,"Intervalo de "&amp;B19&amp;" días","")))</f>
        <v/>
      </c>
    </row>
    <row r="20" customFormat="false" ht="15" hidden="false" customHeight="false" outlineLevel="0" collapsed="false">
      <c r="A20" s="5" t="str">
        <f aca="false">IF(Stock_Diario!A20="","",Stock_Diario!A20)</f>
        <v/>
      </c>
      <c r="B20" s="4" t="str">
        <f aca="false">IF($A20="","",$A20-$A19)</f>
        <v/>
      </c>
      <c r="C20" s="24" t="str">
        <f aca="false">IF($A20="","",Stock_Diario!E20)</f>
        <v/>
      </c>
      <c r="D20" s="24" t="str">
        <f aca="false">IF($A20="","",IF(SUMIFS(Recepciones!$C$5:$C$2000,Recepciones!$B$5:$B$2000,Config!$A$23,Recepciones!$A$5:$A$2000,"&gt;"&amp;$A19,Recepciones!$A$5:$A$2000,"&lt;="&amp;$A20)&gt;0,SUMIFS(Recepciones!$C$5:$C$2000,Recepciones!$B$5:$B$2000,Config!$A$23,Recepciones!$A$5:$A$2000,"&gt;"&amp;$A19,Recepciones!$A$5:$A$2000,"&lt;="&amp;$A20),MAX(0,C20-C19)))</f>
        <v/>
      </c>
      <c r="E20" s="24" t="str">
        <f aca="false">IF($A20="","",MAX(0,C19+D20-C20))</f>
        <v/>
      </c>
      <c r="F20" s="24" t="str">
        <f aca="false">IF($A20="","",Stock_Diario!F20)</f>
        <v/>
      </c>
      <c r="G20" s="24" t="str">
        <f aca="false">IF($A20="","",IF(SUMIFS(Recepciones!$C$5:$C$2000,Recepciones!$B$5:$B$2000,Config!$A$24,Recepciones!$A$5:$A$2000,"&gt;"&amp;$A19,Recepciones!$A$5:$A$2000,"&lt;="&amp;$A20)&gt;0,SUMIFS(Recepciones!$C$5:$C$2000,Recepciones!$B$5:$B$2000,Config!$A$24,Recepciones!$A$5:$A$2000,"&gt;"&amp;$A19,Recepciones!$A$5:$A$2000,"&lt;="&amp;$A20),MAX(0,F20-F19)))</f>
        <v/>
      </c>
      <c r="H20" s="24" t="str">
        <f aca="false">IF($A20="","",MAX(0,F19+G20-F20))</f>
        <v/>
      </c>
      <c r="I20" s="24" t="str">
        <f aca="false">IF($A20="","",Stock_Diario!G20)</f>
        <v/>
      </c>
      <c r="J20" s="24" t="str">
        <f aca="false">IF($A20="","",IF(SUMIFS(Recepciones!$C$5:$C$2000,Recepciones!$B$5:$B$2000,Config!$A$25,Recepciones!$A$5:$A$2000,"&gt;"&amp;$A19,Recepciones!$A$5:$A$2000,"&lt;="&amp;$A20)&gt;0,SUMIFS(Recepciones!$C$5:$C$2000,Recepciones!$B$5:$B$2000,Config!$A$25,Recepciones!$A$5:$A$2000,"&gt;"&amp;$A19,Recepciones!$A$5:$A$2000,"&lt;="&amp;$A20),MAX(0,I20-I19)))</f>
        <v/>
      </c>
      <c r="K20" s="24" t="str">
        <f aca="false">IF($A20="","",MAX(0,I19+J20-I20))</f>
        <v/>
      </c>
      <c r="L20" s="24" t="str">
        <f aca="false">IF($A20="","",E20+H20+K20)</f>
        <v/>
      </c>
      <c r="M20" s="4" t="str">
        <f aca="false">IF($A20="","",IF(AND(D20+G20+J20&gt;0,SUMIFS(Recepciones!$C$5:$C$2000,Recepciones!$A$5:$A$2000,"&gt;"&amp;$A19,Recepciones!$A$5:$A$2000,"&lt;="&amp;$A20)=0),"Aumento de stock sin recepción registrada",IF(B20&gt;1,"Intervalo de "&amp;B20&amp;" días","")))</f>
        <v/>
      </c>
    </row>
    <row r="21" customFormat="false" ht="15" hidden="false" customHeight="false" outlineLevel="0" collapsed="false">
      <c r="A21" s="5" t="str">
        <f aca="false">IF(Stock_Diario!A21="","",Stock_Diario!A21)</f>
        <v/>
      </c>
      <c r="B21" s="4" t="str">
        <f aca="false">IF($A21="","",$A21-$A20)</f>
        <v/>
      </c>
      <c r="C21" s="24" t="str">
        <f aca="false">IF($A21="","",Stock_Diario!E21)</f>
        <v/>
      </c>
      <c r="D21" s="24" t="str">
        <f aca="false">IF($A21="","",IF(SUMIFS(Recepciones!$C$5:$C$2000,Recepciones!$B$5:$B$2000,Config!$A$23,Recepciones!$A$5:$A$2000,"&gt;"&amp;$A20,Recepciones!$A$5:$A$2000,"&lt;="&amp;$A21)&gt;0,SUMIFS(Recepciones!$C$5:$C$2000,Recepciones!$B$5:$B$2000,Config!$A$23,Recepciones!$A$5:$A$2000,"&gt;"&amp;$A20,Recepciones!$A$5:$A$2000,"&lt;="&amp;$A21),MAX(0,C21-C20)))</f>
        <v/>
      </c>
      <c r="E21" s="24" t="str">
        <f aca="false">IF($A21="","",MAX(0,C20+D21-C21))</f>
        <v/>
      </c>
      <c r="F21" s="24" t="str">
        <f aca="false">IF($A21="","",Stock_Diario!F21)</f>
        <v/>
      </c>
      <c r="G21" s="24" t="str">
        <f aca="false">IF($A21="","",IF(SUMIFS(Recepciones!$C$5:$C$2000,Recepciones!$B$5:$B$2000,Config!$A$24,Recepciones!$A$5:$A$2000,"&gt;"&amp;$A20,Recepciones!$A$5:$A$2000,"&lt;="&amp;$A21)&gt;0,SUMIFS(Recepciones!$C$5:$C$2000,Recepciones!$B$5:$B$2000,Config!$A$24,Recepciones!$A$5:$A$2000,"&gt;"&amp;$A20,Recepciones!$A$5:$A$2000,"&lt;="&amp;$A21),MAX(0,F21-F20)))</f>
        <v/>
      </c>
      <c r="H21" s="24" t="str">
        <f aca="false">IF($A21="","",MAX(0,F20+G21-F21))</f>
        <v/>
      </c>
      <c r="I21" s="24" t="str">
        <f aca="false">IF($A21="","",Stock_Diario!G21)</f>
        <v/>
      </c>
      <c r="J21" s="24" t="str">
        <f aca="false">IF($A21="","",IF(SUMIFS(Recepciones!$C$5:$C$2000,Recepciones!$B$5:$B$2000,Config!$A$25,Recepciones!$A$5:$A$2000,"&gt;"&amp;$A20,Recepciones!$A$5:$A$2000,"&lt;="&amp;$A21)&gt;0,SUMIFS(Recepciones!$C$5:$C$2000,Recepciones!$B$5:$B$2000,Config!$A$25,Recepciones!$A$5:$A$2000,"&gt;"&amp;$A20,Recepciones!$A$5:$A$2000,"&lt;="&amp;$A21),MAX(0,I21-I20)))</f>
        <v/>
      </c>
      <c r="K21" s="24" t="str">
        <f aca="false">IF($A21="","",MAX(0,I20+J21-I21))</f>
        <v/>
      </c>
      <c r="L21" s="24" t="str">
        <f aca="false">IF($A21="","",E21+H21+K21)</f>
        <v/>
      </c>
      <c r="M21" s="4" t="str">
        <f aca="false">IF($A21="","",IF(AND(D21+G21+J21&gt;0,SUMIFS(Recepciones!$C$5:$C$2000,Recepciones!$A$5:$A$2000,"&gt;"&amp;$A20,Recepciones!$A$5:$A$2000,"&lt;="&amp;$A21)=0),"Aumento de stock sin recepción registrada",IF(B21&gt;1,"Intervalo de "&amp;B21&amp;" días","")))</f>
        <v/>
      </c>
    </row>
    <row r="22" customFormat="false" ht="15" hidden="false" customHeight="false" outlineLevel="0" collapsed="false">
      <c r="A22" s="5" t="str">
        <f aca="false">IF(Stock_Diario!A22="","",Stock_Diario!A22)</f>
        <v/>
      </c>
      <c r="B22" s="4" t="str">
        <f aca="false">IF($A22="","",$A22-$A21)</f>
        <v/>
      </c>
      <c r="C22" s="24" t="str">
        <f aca="false">IF($A22="","",Stock_Diario!E22)</f>
        <v/>
      </c>
      <c r="D22" s="24" t="str">
        <f aca="false">IF($A22="","",IF(SUMIFS(Recepciones!$C$5:$C$2000,Recepciones!$B$5:$B$2000,Config!$A$23,Recepciones!$A$5:$A$2000,"&gt;"&amp;$A21,Recepciones!$A$5:$A$2000,"&lt;="&amp;$A22)&gt;0,SUMIFS(Recepciones!$C$5:$C$2000,Recepciones!$B$5:$B$2000,Config!$A$23,Recepciones!$A$5:$A$2000,"&gt;"&amp;$A21,Recepciones!$A$5:$A$2000,"&lt;="&amp;$A22),MAX(0,C22-C21)))</f>
        <v/>
      </c>
      <c r="E22" s="24" t="str">
        <f aca="false">IF($A22="","",MAX(0,C21+D22-C22))</f>
        <v/>
      </c>
      <c r="F22" s="24" t="str">
        <f aca="false">IF($A22="","",Stock_Diario!F22)</f>
        <v/>
      </c>
      <c r="G22" s="24" t="str">
        <f aca="false">IF($A22="","",IF(SUMIFS(Recepciones!$C$5:$C$2000,Recepciones!$B$5:$B$2000,Config!$A$24,Recepciones!$A$5:$A$2000,"&gt;"&amp;$A21,Recepciones!$A$5:$A$2000,"&lt;="&amp;$A22)&gt;0,SUMIFS(Recepciones!$C$5:$C$2000,Recepciones!$B$5:$B$2000,Config!$A$24,Recepciones!$A$5:$A$2000,"&gt;"&amp;$A21,Recepciones!$A$5:$A$2000,"&lt;="&amp;$A22),MAX(0,F22-F21)))</f>
        <v/>
      </c>
      <c r="H22" s="24" t="str">
        <f aca="false">IF($A22="","",MAX(0,F21+G22-F22))</f>
        <v/>
      </c>
      <c r="I22" s="24" t="str">
        <f aca="false">IF($A22="","",Stock_Diario!G22)</f>
        <v/>
      </c>
      <c r="J22" s="24" t="str">
        <f aca="false">IF($A22="","",IF(SUMIFS(Recepciones!$C$5:$C$2000,Recepciones!$B$5:$B$2000,Config!$A$25,Recepciones!$A$5:$A$2000,"&gt;"&amp;$A21,Recepciones!$A$5:$A$2000,"&lt;="&amp;$A22)&gt;0,SUMIFS(Recepciones!$C$5:$C$2000,Recepciones!$B$5:$B$2000,Config!$A$25,Recepciones!$A$5:$A$2000,"&gt;"&amp;$A21,Recepciones!$A$5:$A$2000,"&lt;="&amp;$A22),MAX(0,I22-I21)))</f>
        <v/>
      </c>
      <c r="K22" s="24" t="str">
        <f aca="false">IF($A22="","",MAX(0,I21+J22-I22))</f>
        <v/>
      </c>
      <c r="L22" s="24" t="str">
        <f aca="false">IF($A22="","",E22+H22+K22)</f>
        <v/>
      </c>
      <c r="M22" s="4" t="str">
        <f aca="false">IF($A22="","",IF(AND(D22+G22+J22&gt;0,SUMIFS(Recepciones!$C$5:$C$2000,Recepciones!$A$5:$A$2000,"&gt;"&amp;$A21,Recepciones!$A$5:$A$2000,"&lt;="&amp;$A22)=0),"Aumento de stock sin recepción registrada",IF(B22&gt;1,"Intervalo de "&amp;B22&amp;" días","")))</f>
        <v/>
      </c>
    </row>
    <row r="23" customFormat="false" ht="15" hidden="false" customHeight="false" outlineLevel="0" collapsed="false">
      <c r="A23" s="5" t="str">
        <f aca="false">IF(Stock_Diario!A23="","",Stock_Diario!A23)</f>
        <v/>
      </c>
      <c r="B23" s="4" t="str">
        <f aca="false">IF($A23="","",$A23-$A22)</f>
        <v/>
      </c>
      <c r="C23" s="24" t="str">
        <f aca="false">IF($A23="","",Stock_Diario!E23)</f>
        <v/>
      </c>
      <c r="D23" s="24" t="str">
        <f aca="false">IF($A23="","",IF(SUMIFS(Recepciones!$C$5:$C$2000,Recepciones!$B$5:$B$2000,Config!$A$23,Recepciones!$A$5:$A$2000,"&gt;"&amp;$A22,Recepciones!$A$5:$A$2000,"&lt;="&amp;$A23)&gt;0,SUMIFS(Recepciones!$C$5:$C$2000,Recepciones!$B$5:$B$2000,Config!$A$23,Recepciones!$A$5:$A$2000,"&gt;"&amp;$A22,Recepciones!$A$5:$A$2000,"&lt;="&amp;$A23),MAX(0,C23-C22)))</f>
        <v/>
      </c>
      <c r="E23" s="24" t="str">
        <f aca="false">IF($A23="","",MAX(0,C22+D23-C23))</f>
        <v/>
      </c>
      <c r="F23" s="24" t="str">
        <f aca="false">IF($A23="","",Stock_Diario!F23)</f>
        <v/>
      </c>
      <c r="G23" s="24" t="str">
        <f aca="false">IF($A23="","",IF(SUMIFS(Recepciones!$C$5:$C$2000,Recepciones!$B$5:$B$2000,Config!$A$24,Recepciones!$A$5:$A$2000,"&gt;"&amp;$A22,Recepciones!$A$5:$A$2000,"&lt;="&amp;$A23)&gt;0,SUMIFS(Recepciones!$C$5:$C$2000,Recepciones!$B$5:$B$2000,Config!$A$24,Recepciones!$A$5:$A$2000,"&gt;"&amp;$A22,Recepciones!$A$5:$A$2000,"&lt;="&amp;$A23),MAX(0,F23-F22)))</f>
        <v/>
      </c>
      <c r="H23" s="24" t="str">
        <f aca="false">IF($A23="","",MAX(0,F22+G23-F23))</f>
        <v/>
      </c>
      <c r="I23" s="24" t="str">
        <f aca="false">IF($A23="","",Stock_Diario!G23)</f>
        <v/>
      </c>
      <c r="J23" s="24" t="str">
        <f aca="false">IF($A23="","",IF(SUMIFS(Recepciones!$C$5:$C$2000,Recepciones!$B$5:$B$2000,Config!$A$25,Recepciones!$A$5:$A$2000,"&gt;"&amp;$A22,Recepciones!$A$5:$A$2000,"&lt;="&amp;$A23)&gt;0,SUMIFS(Recepciones!$C$5:$C$2000,Recepciones!$B$5:$B$2000,Config!$A$25,Recepciones!$A$5:$A$2000,"&gt;"&amp;$A22,Recepciones!$A$5:$A$2000,"&lt;="&amp;$A23),MAX(0,I23-I22)))</f>
        <v/>
      </c>
      <c r="K23" s="24" t="str">
        <f aca="false">IF($A23="","",MAX(0,I22+J23-I23))</f>
        <v/>
      </c>
      <c r="L23" s="24" t="str">
        <f aca="false">IF($A23="","",E23+H23+K23)</f>
        <v/>
      </c>
      <c r="M23" s="4" t="str">
        <f aca="false">IF($A23="","",IF(AND(D23+G23+J23&gt;0,SUMIFS(Recepciones!$C$5:$C$2000,Recepciones!$A$5:$A$2000,"&gt;"&amp;$A22,Recepciones!$A$5:$A$2000,"&lt;="&amp;$A23)=0),"Aumento de stock sin recepción registrada",IF(B23&gt;1,"Intervalo de "&amp;B23&amp;" días","")))</f>
        <v/>
      </c>
    </row>
    <row r="24" customFormat="false" ht="15" hidden="false" customHeight="false" outlineLevel="0" collapsed="false">
      <c r="A24" s="5" t="str">
        <f aca="false">IF(Stock_Diario!A24="","",Stock_Diario!A24)</f>
        <v/>
      </c>
      <c r="B24" s="4" t="str">
        <f aca="false">IF($A24="","",$A24-$A23)</f>
        <v/>
      </c>
      <c r="C24" s="24" t="str">
        <f aca="false">IF($A24="","",Stock_Diario!E24)</f>
        <v/>
      </c>
      <c r="D24" s="24" t="str">
        <f aca="false">IF($A24="","",IF(SUMIFS(Recepciones!$C$5:$C$2000,Recepciones!$B$5:$B$2000,Config!$A$23,Recepciones!$A$5:$A$2000,"&gt;"&amp;$A23,Recepciones!$A$5:$A$2000,"&lt;="&amp;$A24)&gt;0,SUMIFS(Recepciones!$C$5:$C$2000,Recepciones!$B$5:$B$2000,Config!$A$23,Recepciones!$A$5:$A$2000,"&gt;"&amp;$A23,Recepciones!$A$5:$A$2000,"&lt;="&amp;$A24),MAX(0,C24-C23)))</f>
        <v/>
      </c>
      <c r="E24" s="24" t="str">
        <f aca="false">IF($A24="","",MAX(0,C23+D24-C24))</f>
        <v/>
      </c>
      <c r="F24" s="24" t="str">
        <f aca="false">IF($A24="","",Stock_Diario!F24)</f>
        <v/>
      </c>
      <c r="G24" s="24" t="str">
        <f aca="false">IF($A24="","",IF(SUMIFS(Recepciones!$C$5:$C$2000,Recepciones!$B$5:$B$2000,Config!$A$24,Recepciones!$A$5:$A$2000,"&gt;"&amp;$A23,Recepciones!$A$5:$A$2000,"&lt;="&amp;$A24)&gt;0,SUMIFS(Recepciones!$C$5:$C$2000,Recepciones!$B$5:$B$2000,Config!$A$24,Recepciones!$A$5:$A$2000,"&gt;"&amp;$A23,Recepciones!$A$5:$A$2000,"&lt;="&amp;$A24),MAX(0,F24-F23)))</f>
        <v/>
      </c>
      <c r="H24" s="24" t="str">
        <f aca="false">IF($A24="","",MAX(0,F23+G24-F24))</f>
        <v/>
      </c>
      <c r="I24" s="24" t="str">
        <f aca="false">IF($A24="","",Stock_Diario!G24)</f>
        <v/>
      </c>
      <c r="J24" s="24" t="str">
        <f aca="false">IF($A24="","",IF(SUMIFS(Recepciones!$C$5:$C$2000,Recepciones!$B$5:$B$2000,Config!$A$25,Recepciones!$A$5:$A$2000,"&gt;"&amp;$A23,Recepciones!$A$5:$A$2000,"&lt;="&amp;$A24)&gt;0,SUMIFS(Recepciones!$C$5:$C$2000,Recepciones!$B$5:$B$2000,Config!$A$25,Recepciones!$A$5:$A$2000,"&gt;"&amp;$A23,Recepciones!$A$5:$A$2000,"&lt;="&amp;$A24),MAX(0,I24-I23)))</f>
        <v/>
      </c>
      <c r="K24" s="24" t="str">
        <f aca="false">IF($A24="","",MAX(0,I23+J24-I24))</f>
        <v/>
      </c>
      <c r="L24" s="24" t="str">
        <f aca="false">IF($A24="","",E24+H24+K24)</f>
        <v/>
      </c>
      <c r="M24" s="4" t="str">
        <f aca="false">IF($A24="","",IF(AND(D24+G24+J24&gt;0,SUMIFS(Recepciones!$C$5:$C$2000,Recepciones!$A$5:$A$2000,"&gt;"&amp;$A23,Recepciones!$A$5:$A$2000,"&lt;="&amp;$A24)=0),"Aumento de stock sin recepción registrada",IF(B24&gt;1,"Intervalo de "&amp;B24&amp;" días","")))</f>
        <v/>
      </c>
    </row>
    <row r="25" customFormat="false" ht="15" hidden="false" customHeight="false" outlineLevel="0" collapsed="false">
      <c r="A25" s="5" t="str">
        <f aca="false">IF(Stock_Diario!A25="","",Stock_Diario!A25)</f>
        <v/>
      </c>
      <c r="B25" s="4" t="str">
        <f aca="false">IF($A25="","",$A25-$A24)</f>
        <v/>
      </c>
      <c r="C25" s="24" t="str">
        <f aca="false">IF($A25="","",Stock_Diario!E25)</f>
        <v/>
      </c>
      <c r="D25" s="24" t="str">
        <f aca="false">IF($A25="","",IF(SUMIFS(Recepciones!$C$5:$C$2000,Recepciones!$B$5:$B$2000,Config!$A$23,Recepciones!$A$5:$A$2000,"&gt;"&amp;$A24,Recepciones!$A$5:$A$2000,"&lt;="&amp;$A25)&gt;0,SUMIFS(Recepciones!$C$5:$C$2000,Recepciones!$B$5:$B$2000,Config!$A$23,Recepciones!$A$5:$A$2000,"&gt;"&amp;$A24,Recepciones!$A$5:$A$2000,"&lt;="&amp;$A25),MAX(0,C25-C24)))</f>
        <v/>
      </c>
      <c r="E25" s="24" t="str">
        <f aca="false">IF($A25="","",MAX(0,C24+D25-C25))</f>
        <v/>
      </c>
      <c r="F25" s="24" t="str">
        <f aca="false">IF($A25="","",Stock_Diario!F25)</f>
        <v/>
      </c>
      <c r="G25" s="24" t="str">
        <f aca="false">IF($A25="","",IF(SUMIFS(Recepciones!$C$5:$C$2000,Recepciones!$B$5:$B$2000,Config!$A$24,Recepciones!$A$5:$A$2000,"&gt;"&amp;$A24,Recepciones!$A$5:$A$2000,"&lt;="&amp;$A25)&gt;0,SUMIFS(Recepciones!$C$5:$C$2000,Recepciones!$B$5:$B$2000,Config!$A$24,Recepciones!$A$5:$A$2000,"&gt;"&amp;$A24,Recepciones!$A$5:$A$2000,"&lt;="&amp;$A25),MAX(0,F25-F24)))</f>
        <v/>
      </c>
      <c r="H25" s="24" t="str">
        <f aca="false">IF($A25="","",MAX(0,F24+G25-F25))</f>
        <v/>
      </c>
      <c r="I25" s="24" t="str">
        <f aca="false">IF($A25="","",Stock_Diario!G25)</f>
        <v/>
      </c>
      <c r="J25" s="24" t="str">
        <f aca="false">IF($A25="","",IF(SUMIFS(Recepciones!$C$5:$C$2000,Recepciones!$B$5:$B$2000,Config!$A$25,Recepciones!$A$5:$A$2000,"&gt;"&amp;$A24,Recepciones!$A$5:$A$2000,"&lt;="&amp;$A25)&gt;0,SUMIFS(Recepciones!$C$5:$C$2000,Recepciones!$B$5:$B$2000,Config!$A$25,Recepciones!$A$5:$A$2000,"&gt;"&amp;$A24,Recepciones!$A$5:$A$2000,"&lt;="&amp;$A25),MAX(0,I25-I24)))</f>
        <v/>
      </c>
      <c r="K25" s="24" t="str">
        <f aca="false">IF($A25="","",MAX(0,I24+J25-I25))</f>
        <v/>
      </c>
      <c r="L25" s="24" t="str">
        <f aca="false">IF($A25="","",E25+H25+K25)</f>
        <v/>
      </c>
      <c r="M25" s="4" t="str">
        <f aca="false">IF($A25="","",IF(AND(D25+G25+J25&gt;0,SUMIFS(Recepciones!$C$5:$C$2000,Recepciones!$A$5:$A$2000,"&gt;"&amp;$A24,Recepciones!$A$5:$A$2000,"&lt;="&amp;$A25)=0),"Aumento de stock sin recepción registrada",IF(B25&gt;1,"Intervalo de "&amp;B25&amp;" días","")))</f>
        <v/>
      </c>
    </row>
    <row r="26" customFormat="false" ht="15" hidden="false" customHeight="false" outlineLevel="0" collapsed="false">
      <c r="A26" s="5" t="str">
        <f aca="false">IF(Stock_Diario!A26="","",Stock_Diario!A26)</f>
        <v/>
      </c>
      <c r="B26" s="4" t="str">
        <f aca="false">IF($A26="","",$A26-$A25)</f>
        <v/>
      </c>
      <c r="C26" s="24" t="str">
        <f aca="false">IF($A26="","",Stock_Diario!E26)</f>
        <v/>
      </c>
      <c r="D26" s="24" t="str">
        <f aca="false">IF($A26="","",IF(SUMIFS(Recepciones!$C$5:$C$2000,Recepciones!$B$5:$B$2000,Config!$A$23,Recepciones!$A$5:$A$2000,"&gt;"&amp;$A25,Recepciones!$A$5:$A$2000,"&lt;="&amp;$A26)&gt;0,SUMIFS(Recepciones!$C$5:$C$2000,Recepciones!$B$5:$B$2000,Config!$A$23,Recepciones!$A$5:$A$2000,"&gt;"&amp;$A25,Recepciones!$A$5:$A$2000,"&lt;="&amp;$A26),MAX(0,C26-C25)))</f>
        <v/>
      </c>
      <c r="E26" s="24" t="str">
        <f aca="false">IF($A26="","",MAX(0,C25+D26-C26))</f>
        <v/>
      </c>
      <c r="F26" s="24" t="str">
        <f aca="false">IF($A26="","",Stock_Diario!F26)</f>
        <v/>
      </c>
      <c r="G26" s="24" t="str">
        <f aca="false">IF($A26="","",IF(SUMIFS(Recepciones!$C$5:$C$2000,Recepciones!$B$5:$B$2000,Config!$A$24,Recepciones!$A$5:$A$2000,"&gt;"&amp;$A25,Recepciones!$A$5:$A$2000,"&lt;="&amp;$A26)&gt;0,SUMIFS(Recepciones!$C$5:$C$2000,Recepciones!$B$5:$B$2000,Config!$A$24,Recepciones!$A$5:$A$2000,"&gt;"&amp;$A25,Recepciones!$A$5:$A$2000,"&lt;="&amp;$A26),MAX(0,F26-F25)))</f>
        <v/>
      </c>
      <c r="H26" s="24" t="str">
        <f aca="false">IF($A26="","",MAX(0,F25+G26-F26))</f>
        <v/>
      </c>
      <c r="I26" s="24" t="str">
        <f aca="false">IF($A26="","",Stock_Diario!G26)</f>
        <v/>
      </c>
      <c r="J26" s="24" t="str">
        <f aca="false">IF($A26="","",IF(SUMIFS(Recepciones!$C$5:$C$2000,Recepciones!$B$5:$B$2000,Config!$A$25,Recepciones!$A$5:$A$2000,"&gt;"&amp;$A25,Recepciones!$A$5:$A$2000,"&lt;="&amp;$A26)&gt;0,SUMIFS(Recepciones!$C$5:$C$2000,Recepciones!$B$5:$B$2000,Config!$A$25,Recepciones!$A$5:$A$2000,"&gt;"&amp;$A25,Recepciones!$A$5:$A$2000,"&lt;="&amp;$A26),MAX(0,I26-I25)))</f>
        <v/>
      </c>
      <c r="K26" s="24" t="str">
        <f aca="false">IF($A26="","",MAX(0,I25+J26-I26))</f>
        <v/>
      </c>
      <c r="L26" s="24" t="str">
        <f aca="false">IF($A26="","",E26+H26+K26)</f>
        <v/>
      </c>
      <c r="M26" s="4" t="str">
        <f aca="false">IF($A26="","",IF(AND(D26+G26+J26&gt;0,SUMIFS(Recepciones!$C$5:$C$2000,Recepciones!$A$5:$A$2000,"&gt;"&amp;$A25,Recepciones!$A$5:$A$2000,"&lt;="&amp;$A26)=0),"Aumento de stock sin recepción registrada",IF(B26&gt;1,"Intervalo de "&amp;B26&amp;" días","")))</f>
        <v/>
      </c>
    </row>
    <row r="27" customFormat="false" ht="15" hidden="false" customHeight="false" outlineLevel="0" collapsed="false">
      <c r="A27" s="5" t="str">
        <f aca="false">IF(Stock_Diario!A27="","",Stock_Diario!A27)</f>
        <v/>
      </c>
      <c r="B27" s="4" t="str">
        <f aca="false">IF($A27="","",$A27-$A26)</f>
        <v/>
      </c>
      <c r="C27" s="24" t="str">
        <f aca="false">IF($A27="","",Stock_Diario!E27)</f>
        <v/>
      </c>
      <c r="D27" s="24" t="str">
        <f aca="false">IF($A27="","",IF(SUMIFS(Recepciones!$C$5:$C$2000,Recepciones!$B$5:$B$2000,Config!$A$23,Recepciones!$A$5:$A$2000,"&gt;"&amp;$A26,Recepciones!$A$5:$A$2000,"&lt;="&amp;$A27)&gt;0,SUMIFS(Recepciones!$C$5:$C$2000,Recepciones!$B$5:$B$2000,Config!$A$23,Recepciones!$A$5:$A$2000,"&gt;"&amp;$A26,Recepciones!$A$5:$A$2000,"&lt;="&amp;$A27),MAX(0,C27-C26)))</f>
        <v/>
      </c>
      <c r="E27" s="24" t="str">
        <f aca="false">IF($A27="","",MAX(0,C26+D27-C27))</f>
        <v/>
      </c>
      <c r="F27" s="24" t="str">
        <f aca="false">IF($A27="","",Stock_Diario!F27)</f>
        <v/>
      </c>
      <c r="G27" s="24" t="str">
        <f aca="false">IF($A27="","",IF(SUMIFS(Recepciones!$C$5:$C$2000,Recepciones!$B$5:$B$2000,Config!$A$24,Recepciones!$A$5:$A$2000,"&gt;"&amp;$A26,Recepciones!$A$5:$A$2000,"&lt;="&amp;$A27)&gt;0,SUMIFS(Recepciones!$C$5:$C$2000,Recepciones!$B$5:$B$2000,Config!$A$24,Recepciones!$A$5:$A$2000,"&gt;"&amp;$A26,Recepciones!$A$5:$A$2000,"&lt;="&amp;$A27),MAX(0,F27-F26)))</f>
        <v/>
      </c>
      <c r="H27" s="24" t="str">
        <f aca="false">IF($A27="","",MAX(0,F26+G27-F27))</f>
        <v/>
      </c>
      <c r="I27" s="24" t="str">
        <f aca="false">IF($A27="","",Stock_Diario!G27)</f>
        <v/>
      </c>
      <c r="J27" s="24" t="str">
        <f aca="false">IF($A27="","",IF(SUMIFS(Recepciones!$C$5:$C$2000,Recepciones!$B$5:$B$2000,Config!$A$25,Recepciones!$A$5:$A$2000,"&gt;"&amp;$A26,Recepciones!$A$5:$A$2000,"&lt;="&amp;$A27)&gt;0,SUMIFS(Recepciones!$C$5:$C$2000,Recepciones!$B$5:$B$2000,Config!$A$25,Recepciones!$A$5:$A$2000,"&gt;"&amp;$A26,Recepciones!$A$5:$A$2000,"&lt;="&amp;$A27),MAX(0,I27-I26)))</f>
        <v/>
      </c>
      <c r="K27" s="24" t="str">
        <f aca="false">IF($A27="","",MAX(0,I26+J27-I27))</f>
        <v/>
      </c>
      <c r="L27" s="24" t="str">
        <f aca="false">IF($A27="","",E27+H27+K27)</f>
        <v/>
      </c>
      <c r="M27" s="4" t="str">
        <f aca="false">IF($A27="","",IF(AND(D27+G27+J27&gt;0,SUMIFS(Recepciones!$C$5:$C$2000,Recepciones!$A$5:$A$2000,"&gt;"&amp;$A26,Recepciones!$A$5:$A$2000,"&lt;="&amp;$A27)=0),"Aumento de stock sin recepción registrada",IF(B27&gt;1,"Intervalo de "&amp;B27&amp;" días","")))</f>
        <v/>
      </c>
    </row>
    <row r="28" customFormat="false" ht="15" hidden="false" customHeight="false" outlineLevel="0" collapsed="false">
      <c r="A28" s="5" t="str">
        <f aca="false">IF(Stock_Diario!A28="","",Stock_Diario!A28)</f>
        <v/>
      </c>
      <c r="B28" s="4" t="str">
        <f aca="false">IF($A28="","",$A28-$A27)</f>
        <v/>
      </c>
      <c r="C28" s="24" t="str">
        <f aca="false">IF($A28="","",Stock_Diario!E28)</f>
        <v/>
      </c>
      <c r="D28" s="24" t="str">
        <f aca="false">IF($A28="","",IF(SUMIFS(Recepciones!$C$5:$C$2000,Recepciones!$B$5:$B$2000,Config!$A$23,Recepciones!$A$5:$A$2000,"&gt;"&amp;$A27,Recepciones!$A$5:$A$2000,"&lt;="&amp;$A28)&gt;0,SUMIFS(Recepciones!$C$5:$C$2000,Recepciones!$B$5:$B$2000,Config!$A$23,Recepciones!$A$5:$A$2000,"&gt;"&amp;$A27,Recepciones!$A$5:$A$2000,"&lt;="&amp;$A28),MAX(0,C28-C27)))</f>
        <v/>
      </c>
      <c r="E28" s="24" t="str">
        <f aca="false">IF($A28="","",MAX(0,C27+D28-C28))</f>
        <v/>
      </c>
      <c r="F28" s="24" t="str">
        <f aca="false">IF($A28="","",Stock_Diario!F28)</f>
        <v/>
      </c>
      <c r="G28" s="24" t="str">
        <f aca="false">IF($A28="","",IF(SUMIFS(Recepciones!$C$5:$C$2000,Recepciones!$B$5:$B$2000,Config!$A$24,Recepciones!$A$5:$A$2000,"&gt;"&amp;$A27,Recepciones!$A$5:$A$2000,"&lt;="&amp;$A28)&gt;0,SUMIFS(Recepciones!$C$5:$C$2000,Recepciones!$B$5:$B$2000,Config!$A$24,Recepciones!$A$5:$A$2000,"&gt;"&amp;$A27,Recepciones!$A$5:$A$2000,"&lt;="&amp;$A28),MAX(0,F28-F27)))</f>
        <v/>
      </c>
      <c r="H28" s="24" t="str">
        <f aca="false">IF($A28="","",MAX(0,F27+G28-F28))</f>
        <v/>
      </c>
      <c r="I28" s="24" t="str">
        <f aca="false">IF($A28="","",Stock_Diario!G28)</f>
        <v/>
      </c>
      <c r="J28" s="24" t="str">
        <f aca="false">IF($A28="","",IF(SUMIFS(Recepciones!$C$5:$C$2000,Recepciones!$B$5:$B$2000,Config!$A$25,Recepciones!$A$5:$A$2000,"&gt;"&amp;$A27,Recepciones!$A$5:$A$2000,"&lt;="&amp;$A28)&gt;0,SUMIFS(Recepciones!$C$5:$C$2000,Recepciones!$B$5:$B$2000,Config!$A$25,Recepciones!$A$5:$A$2000,"&gt;"&amp;$A27,Recepciones!$A$5:$A$2000,"&lt;="&amp;$A28),MAX(0,I28-I27)))</f>
        <v/>
      </c>
      <c r="K28" s="24" t="str">
        <f aca="false">IF($A28="","",MAX(0,I27+J28-I28))</f>
        <v/>
      </c>
      <c r="L28" s="24" t="str">
        <f aca="false">IF($A28="","",E28+H28+K28)</f>
        <v/>
      </c>
      <c r="M28" s="4" t="str">
        <f aca="false">IF($A28="","",IF(AND(D28+G28+J28&gt;0,SUMIFS(Recepciones!$C$5:$C$2000,Recepciones!$A$5:$A$2000,"&gt;"&amp;$A27,Recepciones!$A$5:$A$2000,"&lt;="&amp;$A28)=0),"Aumento de stock sin recepción registrada",IF(B28&gt;1,"Intervalo de "&amp;B28&amp;" días","")))</f>
        <v/>
      </c>
    </row>
    <row r="29" customFormat="false" ht="15" hidden="false" customHeight="false" outlineLevel="0" collapsed="false">
      <c r="A29" s="5" t="str">
        <f aca="false">IF(Stock_Diario!A29="","",Stock_Diario!A29)</f>
        <v/>
      </c>
      <c r="B29" s="4" t="str">
        <f aca="false">IF($A29="","",$A29-$A28)</f>
        <v/>
      </c>
      <c r="C29" s="24" t="str">
        <f aca="false">IF($A29="","",Stock_Diario!E29)</f>
        <v/>
      </c>
      <c r="D29" s="24" t="str">
        <f aca="false">IF($A29="","",IF(SUMIFS(Recepciones!$C$5:$C$2000,Recepciones!$B$5:$B$2000,Config!$A$23,Recepciones!$A$5:$A$2000,"&gt;"&amp;$A28,Recepciones!$A$5:$A$2000,"&lt;="&amp;$A29)&gt;0,SUMIFS(Recepciones!$C$5:$C$2000,Recepciones!$B$5:$B$2000,Config!$A$23,Recepciones!$A$5:$A$2000,"&gt;"&amp;$A28,Recepciones!$A$5:$A$2000,"&lt;="&amp;$A29),MAX(0,C29-C28)))</f>
        <v/>
      </c>
      <c r="E29" s="24" t="str">
        <f aca="false">IF($A29="","",MAX(0,C28+D29-C29))</f>
        <v/>
      </c>
      <c r="F29" s="24" t="str">
        <f aca="false">IF($A29="","",Stock_Diario!F29)</f>
        <v/>
      </c>
      <c r="G29" s="24" t="str">
        <f aca="false">IF($A29="","",IF(SUMIFS(Recepciones!$C$5:$C$2000,Recepciones!$B$5:$B$2000,Config!$A$24,Recepciones!$A$5:$A$2000,"&gt;"&amp;$A28,Recepciones!$A$5:$A$2000,"&lt;="&amp;$A29)&gt;0,SUMIFS(Recepciones!$C$5:$C$2000,Recepciones!$B$5:$B$2000,Config!$A$24,Recepciones!$A$5:$A$2000,"&gt;"&amp;$A28,Recepciones!$A$5:$A$2000,"&lt;="&amp;$A29),MAX(0,F29-F28)))</f>
        <v/>
      </c>
      <c r="H29" s="24" t="str">
        <f aca="false">IF($A29="","",MAX(0,F28+G29-F29))</f>
        <v/>
      </c>
      <c r="I29" s="24" t="str">
        <f aca="false">IF($A29="","",Stock_Diario!G29)</f>
        <v/>
      </c>
      <c r="J29" s="24" t="str">
        <f aca="false">IF($A29="","",IF(SUMIFS(Recepciones!$C$5:$C$2000,Recepciones!$B$5:$B$2000,Config!$A$25,Recepciones!$A$5:$A$2000,"&gt;"&amp;$A28,Recepciones!$A$5:$A$2000,"&lt;="&amp;$A29)&gt;0,SUMIFS(Recepciones!$C$5:$C$2000,Recepciones!$B$5:$B$2000,Config!$A$25,Recepciones!$A$5:$A$2000,"&gt;"&amp;$A28,Recepciones!$A$5:$A$2000,"&lt;="&amp;$A29),MAX(0,I29-I28)))</f>
        <v/>
      </c>
      <c r="K29" s="24" t="str">
        <f aca="false">IF($A29="","",MAX(0,I28+J29-I29))</f>
        <v/>
      </c>
      <c r="L29" s="24" t="str">
        <f aca="false">IF($A29="","",E29+H29+K29)</f>
        <v/>
      </c>
      <c r="M29" s="4" t="str">
        <f aca="false">IF($A29="","",IF(AND(D29+G29+J29&gt;0,SUMIFS(Recepciones!$C$5:$C$2000,Recepciones!$A$5:$A$2000,"&gt;"&amp;$A28,Recepciones!$A$5:$A$2000,"&lt;="&amp;$A29)=0),"Aumento de stock sin recepción registrada",IF(B29&gt;1,"Intervalo de "&amp;B29&amp;" días","")))</f>
        <v/>
      </c>
    </row>
    <row r="30" customFormat="false" ht="15" hidden="false" customHeight="false" outlineLevel="0" collapsed="false">
      <c r="A30" s="5" t="str">
        <f aca="false">IF(Stock_Diario!A30="","",Stock_Diario!A30)</f>
        <v/>
      </c>
      <c r="B30" s="4" t="str">
        <f aca="false">IF($A30="","",$A30-$A29)</f>
        <v/>
      </c>
      <c r="C30" s="24" t="str">
        <f aca="false">IF($A30="","",Stock_Diario!E30)</f>
        <v/>
      </c>
      <c r="D30" s="24" t="str">
        <f aca="false">IF($A30="","",IF(SUMIFS(Recepciones!$C$5:$C$2000,Recepciones!$B$5:$B$2000,Config!$A$23,Recepciones!$A$5:$A$2000,"&gt;"&amp;$A29,Recepciones!$A$5:$A$2000,"&lt;="&amp;$A30)&gt;0,SUMIFS(Recepciones!$C$5:$C$2000,Recepciones!$B$5:$B$2000,Config!$A$23,Recepciones!$A$5:$A$2000,"&gt;"&amp;$A29,Recepciones!$A$5:$A$2000,"&lt;="&amp;$A30),MAX(0,C30-C29)))</f>
        <v/>
      </c>
      <c r="E30" s="24" t="str">
        <f aca="false">IF($A30="","",MAX(0,C29+D30-C30))</f>
        <v/>
      </c>
      <c r="F30" s="24" t="str">
        <f aca="false">IF($A30="","",Stock_Diario!F30)</f>
        <v/>
      </c>
      <c r="G30" s="24" t="str">
        <f aca="false">IF($A30="","",IF(SUMIFS(Recepciones!$C$5:$C$2000,Recepciones!$B$5:$B$2000,Config!$A$24,Recepciones!$A$5:$A$2000,"&gt;"&amp;$A29,Recepciones!$A$5:$A$2000,"&lt;="&amp;$A30)&gt;0,SUMIFS(Recepciones!$C$5:$C$2000,Recepciones!$B$5:$B$2000,Config!$A$24,Recepciones!$A$5:$A$2000,"&gt;"&amp;$A29,Recepciones!$A$5:$A$2000,"&lt;="&amp;$A30),MAX(0,F30-F29)))</f>
        <v/>
      </c>
      <c r="H30" s="24" t="str">
        <f aca="false">IF($A30="","",MAX(0,F29+G30-F30))</f>
        <v/>
      </c>
      <c r="I30" s="24" t="str">
        <f aca="false">IF($A30="","",Stock_Diario!G30)</f>
        <v/>
      </c>
      <c r="J30" s="24" t="str">
        <f aca="false">IF($A30="","",IF(SUMIFS(Recepciones!$C$5:$C$2000,Recepciones!$B$5:$B$2000,Config!$A$25,Recepciones!$A$5:$A$2000,"&gt;"&amp;$A29,Recepciones!$A$5:$A$2000,"&lt;="&amp;$A30)&gt;0,SUMIFS(Recepciones!$C$5:$C$2000,Recepciones!$B$5:$B$2000,Config!$A$25,Recepciones!$A$5:$A$2000,"&gt;"&amp;$A29,Recepciones!$A$5:$A$2000,"&lt;="&amp;$A30),MAX(0,I30-I29)))</f>
        <v/>
      </c>
      <c r="K30" s="24" t="str">
        <f aca="false">IF($A30="","",MAX(0,I29+J30-I30))</f>
        <v/>
      </c>
      <c r="L30" s="24" t="str">
        <f aca="false">IF($A30="","",E30+H30+K30)</f>
        <v/>
      </c>
      <c r="M30" s="4" t="str">
        <f aca="false">IF($A30="","",IF(AND(D30+G30+J30&gt;0,SUMIFS(Recepciones!$C$5:$C$2000,Recepciones!$A$5:$A$2000,"&gt;"&amp;$A29,Recepciones!$A$5:$A$2000,"&lt;="&amp;$A30)=0),"Aumento de stock sin recepción registrada",IF(B30&gt;1,"Intervalo de "&amp;B30&amp;" días","")))</f>
        <v/>
      </c>
    </row>
    <row r="31" customFormat="false" ht="15" hidden="false" customHeight="false" outlineLevel="0" collapsed="false">
      <c r="A31" s="5" t="str">
        <f aca="false">IF(Stock_Diario!A31="","",Stock_Diario!A31)</f>
        <v/>
      </c>
      <c r="B31" s="4" t="str">
        <f aca="false">IF($A31="","",$A31-$A30)</f>
        <v/>
      </c>
      <c r="C31" s="24" t="str">
        <f aca="false">IF($A31="","",Stock_Diario!E31)</f>
        <v/>
      </c>
      <c r="D31" s="24" t="str">
        <f aca="false">IF($A31="","",IF(SUMIFS(Recepciones!$C$5:$C$2000,Recepciones!$B$5:$B$2000,Config!$A$23,Recepciones!$A$5:$A$2000,"&gt;"&amp;$A30,Recepciones!$A$5:$A$2000,"&lt;="&amp;$A31)&gt;0,SUMIFS(Recepciones!$C$5:$C$2000,Recepciones!$B$5:$B$2000,Config!$A$23,Recepciones!$A$5:$A$2000,"&gt;"&amp;$A30,Recepciones!$A$5:$A$2000,"&lt;="&amp;$A31),MAX(0,C31-C30)))</f>
        <v/>
      </c>
      <c r="E31" s="24" t="str">
        <f aca="false">IF($A31="","",MAX(0,C30+D31-C31))</f>
        <v/>
      </c>
      <c r="F31" s="24" t="str">
        <f aca="false">IF($A31="","",Stock_Diario!F31)</f>
        <v/>
      </c>
      <c r="G31" s="24" t="str">
        <f aca="false">IF($A31="","",IF(SUMIFS(Recepciones!$C$5:$C$2000,Recepciones!$B$5:$B$2000,Config!$A$24,Recepciones!$A$5:$A$2000,"&gt;"&amp;$A30,Recepciones!$A$5:$A$2000,"&lt;="&amp;$A31)&gt;0,SUMIFS(Recepciones!$C$5:$C$2000,Recepciones!$B$5:$B$2000,Config!$A$24,Recepciones!$A$5:$A$2000,"&gt;"&amp;$A30,Recepciones!$A$5:$A$2000,"&lt;="&amp;$A31),MAX(0,F31-F30)))</f>
        <v/>
      </c>
      <c r="H31" s="24" t="str">
        <f aca="false">IF($A31="","",MAX(0,F30+G31-F31))</f>
        <v/>
      </c>
      <c r="I31" s="24" t="str">
        <f aca="false">IF($A31="","",Stock_Diario!G31)</f>
        <v/>
      </c>
      <c r="J31" s="24" t="str">
        <f aca="false">IF($A31="","",IF(SUMIFS(Recepciones!$C$5:$C$2000,Recepciones!$B$5:$B$2000,Config!$A$25,Recepciones!$A$5:$A$2000,"&gt;"&amp;$A30,Recepciones!$A$5:$A$2000,"&lt;="&amp;$A31)&gt;0,SUMIFS(Recepciones!$C$5:$C$2000,Recepciones!$B$5:$B$2000,Config!$A$25,Recepciones!$A$5:$A$2000,"&gt;"&amp;$A30,Recepciones!$A$5:$A$2000,"&lt;="&amp;$A31),MAX(0,I31-I30)))</f>
        <v/>
      </c>
      <c r="K31" s="24" t="str">
        <f aca="false">IF($A31="","",MAX(0,I30+J31-I31))</f>
        <v/>
      </c>
      <c r="L31" s="24" t="str">
        <f aca="false">IF($A31="","",E31+H31+K31)</f>
        <v/>
      </c>
      <c r="M31" s="4" t="str">
        <f aca="false">IF($A31="","",IF(AND(D31+G31+J31&gt;0,SUMIFS(Recepciones!$C$5:$C$2000,Recepciones!$A$5:$A$2000,"&gt;"&amp;$A30,Recepciones!$A$5:$A$2000,"&lt;="&amp;$A31)=0),"Aumento de stock sin recepción registrada",IF(B31&gt;1,"Intervalo de "&amp;B31&amp;" días","")))</f>
        <v/>
      </c>
    </row>
    <row r="32" customFormat="false" ht="15" hidden="false" customHeight="false" outlineLevel="0" collapsed="false">
      <c r="A32" s="5" t="str">
        <f aca="false">IF(Stock_Diario!A32="","",Stock_Diario!A32)</f>
        <v/>
      </c>
      <c r="B32" s="4" t="str">
        <f aca="false">IF($A32="","",$A32-$A31)</f>
        <v/>
      </c>
      <c r="C32" s="24" t="str">
        <f aca="false">IF($A32="","",Stock_Diario!E32)</f>
        <v/>
      </c>
      <c r="D32" s="24" t="str">
        <f aca="false">IF($A32="","",IF(SUMIFS(Recepciones!$C$5:$C$2000,Recepciones!$B$5:$B$2000,Config!$A$23,Recepciones!$A$5:$A$2000,"&gt;"&amp;$A31,Recepciones!$A$5:$A$2000,"&lt;="&amp;$A32)&gt;0,SUMIFS(Recepciones!$C$5:$C$2000,Recepciones!$B$5:$B$2000,Config!$A$23,Recepciones!$A$5:$A$2000,"&gt;"&amp;$A31,Recepciones!$A$5:$A$2000,"&lt;="&amp;$A32),MAX(0,C32-C31)))</f>
        <v/>
      </c>
      <c r="E32" s="24" t="str">
        <f aca="false">IF($A32="","",MAX(0,C31+D32-C32))</f>
        <v/>
      </c>
      <c r="F32" s="24" t="str">
        <f aca="false">IF($A32="","",Stock_Diario!F32)</f>
        <v/>
      </c>
      <c r="G32" s="24" t="str">
        <f aca="false">IF($A32="","",IF(SUMIFS(Recepciones!$C$5:$C$2000,Recepciones!$B$5:$B$2000,Config!$A$24,Recepciones!$A$5:$A$2000,"&gt;"&amp;$A31,Recepciones!$A$5:$A$2000,"&lt;="&amp;$A32)&gt;0,SUMIFS(Recepciones!$C$5:$C$2000,Recepciones!$B$5:$B$2000,Config!$A$24,Recepciones!$A$5:$A$2000,"&gt;"&amp;$A31,Recepciones!$A$5:$A$2000,"&lt;="&amp;$A32),MAX(0,F32-F31)))</f>
        <v/>
      </c>
      <c r="H32" s="24" t="str">
        <f aca="false">IF($A32="","",MAX(0,F31+G32-F32))</f>
        <v/>
      </c>
      <c r="I32" s="24" t="str">
        <f aca="false">IF($A32="","",Stock_Diario!G32)</f>
        <v/>
      </c>
      <c r="J32" s="24" t="str">
        <f aca="false">IF($A32="","",IF(SUMIFS(Recepciones!$C$5:$C$2000,Recepciones!$B$5:$B$2000,Config!$A$25,Recepciones!$A$5:$A$2000,"&gt;"&amp;$A31,Recepciones!$A$5:$A$2000,"&lt;="&amp;$A32)&gt;0,SUMIFS(Recepciones!$C$5:$C$2000,Recepciones!$B$5:$B$2000,Config!$A$25,Recepciones!$A$5:$A$2000,"&gt;"&amp;$A31,Recepciones!$A$5:$A$2000,"&lt;="&amp;$A32),MAX(0,I32-I31)))</f>
        <v/>
      </c>
      <c r="K32" s="24" t="str">
        <f aca="false">IF($A32="","",MAX(0,I31+J32-I32))</f>
        <v/>
      </c>
      <c r="L32" s="24" t="str">
        <f aca="false">IF($A32="","",E32+H32+K32)</f>
        <v/>
      </c>
      <c r="M32" s="4" t="str">
        <f aca="false">IF($A32="","",IF(AND(D32+G32+J32&gt;0,SUMIFS(Recepciones!$C$5:$C$2000,Recepciones!$A$5:$A$2000,"&gt;"&amp;$A31,Recepciones!$A$5:$A$2000,"&lt;="&amp;$A32)=0),"Aumento de stock sin recepción registrada",IF(B32&gt;1,"Intervalo de "&amp;B32&amp;" días","")))</f>
        <v/>
      </c>
    </row>
    <row r="33" customFormat="false" ht="15" hidden="false" customHeight="false" outlineLevel="0" collapsed="false">
      <c r="A33" s="5" t="str">
        <f aca="false">IF(Stock_Diario!A33="","",Stock_Diario!A33)</f>
        <v/>
      </c>
      <c r="B33" s="4" t="str">
        <f aca="false">IF($A33="","",$A33-$A32)</f>
        <v/>
      </c>
      <c r="C33" s="24" t="str">
        <f aca="false">IF($A33="","",Stock_Diario!E33)</f>
        <v/>
      </c>
      <c r="D33" s="24" t="str">
        <f aca="false">IF($A33="","",IF(SUMIFS(Recepciones!$C$5:$C$2000,Recepciones!$B$5:$B$2000,Config!$A$23,Recepciones!$A$5:$A$2000,"&gt;"&amp;$A32,Recepciones!$A$5:$A$2000,"&lt;="&amp;$A33)&gt;0,SUMIFS(Recepciones!$C$5:$C$2000,Recepciones!$B$5:$B$2000,Config!$A$23,Recepciones!$A$5:$A$2000,"&gt;"&amp;$A32,Recepciones!$A$5:$A$2000,"&lt;="&amp;$A33),MAX(0,C33-C32)))</f>
        <v/>
      </c>
      <c r="E33" s="24" t="str">
        <f aca="false">IF($A33="","",MAX(0,C32+D33-C33))</f>
        <v/>
      </c>
      <c r="F33" s="24" t="str">
        <f aca="false">IF($A33="","",Stock_Diario!F33)</f>
        <v/>
      </c>
      <c r="G33" s="24" t="str">
        <f aca="false">IF($A33="","",IF(SUMIFS(Recepciones!$C$5:$C$2000,Recepciones!$B$5:$B$2000,Config!$A$24,Recepciones!$A$5:$A$2000,"&gt;"&amp;$A32,Recepciones!$A$5:$A$2000,"&lt;="&amp;$A33)&gt;0,SUMIFS(Recepciones!$C$5:$C$2000,Recepciones!$B$5:$B$2000,Config!$A$24,Recepciones!$A$5:$A$2000,"&gt;"&amp;$A32,Recepciones!$A$5:$A$2000,"&lt;="&amp;$A33),MAX(0,F33-F32)))</f>
        <v/>
      </c>
      <c r="H33" s="24" t="str">
        <f aca="false">IF($A33="","",MAX(0,F32+G33-F33))</f>
        <v/>
      </c>
      <c r="I33" s="24" t="str">
        <f aca="false">IF($A33="","",Stock_Diario!G33)</f>
        <v/>
      </c>
      <c r="J33" s="24" t="str">
        <f aca="false">IF($A33="","",IF(SUMIFS(Recepciones!$C$5:$C$2000,Recepciones!$B$5:$B$2000,Config!$A$25,Recepciones!$A$5:$A$2000,"&gt;"&amp;$A32,Recepciones!$A$5:$A$2000,"&lt;="&amp;$A33)&gt;0,SUMIFS(Recepciones!$C$5:$C$2000,Recepciones!$B$5:$B$2000,Config!$A$25,Recepciones!$A$5:$A$2000,"&gt;"&amp;$A32,Recepciones!$A$5:$A$2000,"&lt;="&amp;$A33),MAX(0,I33-I32)))</f>
        <v/>
      </c>
      <c r="K33" s="24" t="str">
        <f aca="false">IF($A33="","",MAX(0,I32+J33-I33))</f>
        <v/>
      </c>
      <c r="L33" s="24" t="str">
        <f aca="false">IF($A33="","",E33+H33+K33)</f>
        <v/>
      </c>
      <c r="M33" s="4" t="str">
        <f aca="false">IF($A33="","",IF(AND(D33+G33+J33&gt;0,SUMIFS(Recepciones!$C$5:$C$2000,Recepciones!$A$5:$A$2000,"&gt;"&amp;$A32,Recepciones!$A$5:$A$2000,"&lt;="&amp;$A33)=0),"Aumento de stock sin recepción registrada",IF(B33&gt;1,"Intervalo de "&amp;B33&amp;" días","")))</f>
        <v/>
      </c>
    </row>
    <row r="34" customFormat="false" ht="15" hidden="false" customHeight="false" outlineLevel="0" collapsed="false">
      <c r="A34" s="5" t="str">
        <f aca="false">IF(Stock_Diario!A34="","",Stock_Diario!A34)</f>
        <v/>
      </c>
      <c r="B34" s="4" t="str">
        <f aca="false">IF($A34="","",$A34-$A33)</f>
        <v/>
      </c>
      <c r="C34" s="24" t="str">
        <f aca="false">IF($A34="","",Stock_Diario!E34)</f>
        <v/>
      </c>
      <c r="D34" s="24" t="str">
        <f aca="false">IF($A34="","",IF(SUMIFS(Recepciones!$C$5:$C$2000,Recepciones!$B$5:$B$2000,Config!$A$23,Recepciones!$A$5:$A$2000,"&gt;"&amp;$A33,Recepciones!$A$5:$A$2000,"&lt;="&amp;$A34)&gt;0,SUMIFS(Recepciones!$C$5:$C$2000,Recepciones!$B$5:$B$2000,Config!$A$23,Recepciones!$A$5:$A$2000,"&gt;"&amp;$A33,Recepciones!$A$5:$A$2000,"&lt;="&amp;$A34),MAX(0,C34-C33)))</f>
        <v/>
      </c>
      <c r="E34" s="24" t="str">
        <f aca="false">IF($A34="","",MAX(0,C33+D34-C34))</f>
        <v/>
      </c>
      <c r="F34" s="24" t="str">
        <f aca="false">IF($A34="","",Stock_Diario!F34)</f>
        <v/>
      </c>
      <c r="G34" s="24" t="str">
        <f aca="false">IF($A34="","",IF(SUMIFS(Recepciones!$C$5:$C$2000,Recepciones!$B$5:$B$2000,Config!$A$24,Recepciones!$A$5:$A$2000,"&gt;"&amp;$A33,Recepciones!$A$5:$A$2000,"&lt;="&amp;$A34)&gt;0,SUMIFS(Recepciones!$C$5:$C$2000,Recepciones!$B$5:$B$2000,Config!$A$24,Recepciones!$A$5:$A$2000,"&gt;"&amp;$A33,Recepciones!$A$5:$A$2000,"&lt;="&amp;$A34),MAX(0,F34-F33)))</f>
        <v/>
      </c>
      <c r="H34" s="24" t="str">
        <f aca="false">IF($A34="","",MAX(0,F33+G34-F34))</f>
        <v/>
      </c>
      <c r="I34" s="24" t="str">
        <f aca="false">IF($A34="","",Stock_Diario!G34)</f>
        <v/>
      </c>
      <c r="J34" s="24" t="str">
        <f aca="false">IF($A34="","",IF(SUMIFS(Recepciones!$C$5:$C$2000,Recepciones!$B$5:$B$2000,Config!$A$25,Recepciones!$A$5:$A$2000,"&gt;"&amp;$A33,Recepciones!$A$5:$A$2000,"&lt;="&amp;$A34)&gt;0,SUMIFS(Recepciones!$C$5:$C$2000,Recepciones!$B$5:$B$2000,Config!$A$25,Recepciones!$A$5:$A$2000,"&gt;"&amp;$A33,Recepciones!$A$5:$A$2000,"&lt;="&amp;$A34),MAX(0,I34-I33)))</f>
        <v/>
      </c>
      <c r="K34" s="24" t="str">
        <f aca="false">IF($A34="","",MAX(0,I33+J34-I34))</f>
        <v/>
      </c>
      <c r="L34" s="24" t="str">
        <f aca="false">IF($A34="","",E34+H34+K34)</f>
        <v/>
      </c>
      <c r="M34" s="4" t="str">
        <f aca="false">IF($A34="","",IF(AND(D34+G34+J34&gt;0,SUMIFS(Recepciones!$C$5:$C$2000,Recepciones!$A$5:$A$2000,"&gt;"&amp;$A33,Recepciones!$A$5:$A$2000,"&lt;="&amp;$A34)=0),"Aumento de stock sin recepción registrada",IF(B34&gt;1,"Intervalo de "&amp;B34&amp;" días","")))</f>
        <v/>
      </c>
    </row>
    <row r="35" customFormat="false" ht="15" hidden="false" customHeight="false" outlineLevel="0" collapsed="false">
      <c r="A35" s="5" t="str">
        <f aca="false">IF(Stock_Diario!A35="","",Stock_Diario!A35)</f>
        <v/>
      </c>
      <c r="B35" s="4" t="str">
        <f aca="false">IF($A35="","",$A35-$A34)</f>
        <v/>
      </c>
      <c r="C35" s="24" t="str">
        <f aca="false">IF($A35="","",Stock_Diario!E35)</f>
        <v/>
      </c>
      <c r="D35" s="24" t="str">
        <f aca="false">IF($A35="","",IF(SUMIFS(Recepciones!$C$5:$C$2000,Recepciones!$B$5:$B$2000,Config!$A$23,Recepciones!$A$5:$A$2000,"&gt;"&amp;$A34,Recepciones!$A$5:$A$2000,"&lt;="&amp;$A35)&gt;0,SUMIFS(Recepciones!$C$5:$C$2000,Recepciones!$B$5:$B$2000,Config!$A$23,Recepciones!$A$5:$A$2000,"&gt;"&amp;$A34,Recepciones!$A$5:$A$2000,"&lt;="&amp;$A35),MAX(0,C35-C34)))</f>
        <v/>
      </c>
      <c r="E35" s="24" t="str">
        <f aca="false">IF($A35="","",MAX(0,C34+D35-C35))</f>
        <v/>
      </c>
      <c r="F35" s="24" t="str">
        <f aca="false">IF($A35="","",Stock_Diario!F35)</f>
        <v/>
      </c>
      <c r="G35" s="24" t="str">
        <f aca="false">IF($A35="","",IF(SUMIFS(Recepciones!$C$5:$C$2000,Recepciones!$B$5:$B$2000,Config!$A$24,Recepciones!$A$5:$A$2000,"&gt;"&amp;$A34,Recepciones!$A$5:$A$2000,"&lt;="&amp;$A35)&gt;0,SUMIFS(Recepciones!$C$5:$C$2000,Recepciones!$B$5:$B$2000,Config!$A$24,Recepciones!$A$5:$A$2000,"&gt;"&amp;$A34,Recepciones!$A$5:$A$2000,"&lt;="&amp;$A35),MAX(0,F35-F34)))</f>
        <v/>
      </c>
      <c r="H35" s="24" t="str">
        <f aca="false">IF($A35="","",MAX(0,F34+G35-F35))</f>
        <v/>
      </c>
      <c r="I35" s="24" t="str">
        <f aca="false">IF($A35="","",Stock_Diario!G35)</f>
        <v/>
      </c>
      <c r="J35" s="24" t="str">
        <f aca="false">IF($A35="","",IF(SUMIFS(Recepciones!$C$5:$C$2000,Recepciones!$B$5:$B$2000,Config!$A$25,Recepciones!$A$5:$A$2000,"&gt;"&amp;$A34,Recepciones!$A$5:$A$2000,"&lt;="&amp;$A35)&gt;0,SUMIFS(Recepciones!$C$5:$C$2000,Recepciones!$B$5:$B$2000,Config!$A$25,Recepciones!$A$5:$A$2000,"&gt;"&amp;$A34,Recepciones!$A$5:$A$2000,"&lt;="&amp;$A35),MAX(0,I35-I34)))</f>
        <v/>
      </c>
      <c r="K35" s="24" t="str">
        <f aca="false">IF($A35="","",MAX(0,I34+J35-I35))</f>
        <v/>
      </c>
      <c r="L35" s="24" t="str">
        <f aca="false">IF($A35="","",E35+H35+K35)</f>
        <v/>
      </c>
      <c r="M35" s="4" t="str">
        <f aca="false">IF($A35="","",IF(AND(D35+G35+J35&gt;0,SUMIFS(Recepciones!$C$5:$C$2000,Recepciones!$A$5:$A$2000,"&gt;"&amp;$A34,Recepciones!$A$5:$A$2000,"&lt;="&amp;$A35)=0),"Aumento de stock sin recepción registrada",IF(B35&gt;1,"Intervalo de "&amp;B35&amp;" días","")))</f>
        <v/>
      </c>
    </row>
    <row r="36" customFormat="false" ht="15" hidden="false" customHeight="false" outlineLevel="0" collapsed="false">
      <c r="A36" s="5" t="str">
        <f aca="false">IF(Stock_Diario!A36="","",Stock_Diario!A36)</f>
        <v/>
      </c>
      <c r="B36" s="4" t="str">
        <f aca="false">IF($A36="","",$A36-$A35)</f>
        <v/>
      </c>
      <c r="C36" s="24" t="str">
        <f aca="false">IF($A36="","",Stock_Diario!E36)</f>
        <v/>
      </c>
      <c r="D36" s="24" t="str">
        <f aca="false">IF($A36="","",IF(SUMIFS(Recepciones!$C$5:$C$2000,Recepciones!$B$5:$B$2000,Config!$A$23,Recepciones!$A$5:$A$2000,"&gt;"&amp;$A35,Recepciones!$A$5:$A$2000,"&lt;="&amp;$A36)&gt;0,SUMIFS(Recepciones!$C$5:$C$2000,Recepciones!$B$5:$B$2000,Config!$A$23,Recepciones!$A$5:$A$2000,"&gt;"&amp;$A35,Recepciones!$A$5:$A$2000,"&lt;="&amp;$A36),MAX(0,C36-C35)))</f>
        <v/>
      </c>
      <c r="E36" s="24" t="str">
        <f aca="false">IF($A36="","",MAX(0,C35+D36-C36))</f>
        <v/>
      </c>
      <c r="F36" s="24" t="str">
        <f aca="false">IF($A36="","",Stock_Diario!F36)</f>
        <v/>
      </c>
      <c r="G36" s="24" t="str">
        <f aca="false">IF($A36="","",IF(SUMIFS(Recepciones!$C$5:$C$2000,Recepciones!$B$5:$B$2000,Config!$A$24,Recepciones!$A$5:$A$2000,"&gt;"&amp;$A35,Recepciones!$A$5:$A$2000,"&lt;="&amp;$A36)&gt;0,SUMIFS(Recepciones!$C$5:$C$2000,Recepciones!$B$5:$B$2000,Config!$A$24,Recepciones!$A$5:$A$2000,"&gt;"&amp;$A35,Recepciones!$A$5:$A$2000,"&lt;="&amp;$A36),MAX(0,F36-F35)))</f>
        <v/>
      </c>
      <c r="H36" s="24" t="str">
        <f aca="false">IF($A36="","",MAX(0,F35+G36-F36))</f>
        <v/>
      </c>
      <c r="I36" s="24" t="str">
        <f aca="false">IF($A36="","",Stock_Diario!G36)</f>
        <v/>
      </c>
      <c r="J36" s="24" t="str">
        <f aca="false">IF($A36="","",IF(SUMIFS(Recepciones!$C$5:$C$2000,Recepciones!$B$5:$B$2000,Config!$A$25,Recepciones!$A$5:$A$2000,"&gt;"&amp;$A35,Recepciones!$A$5:$A$2000,"&lt;="&amp;$A36)&gt;0,SUMIFS(Recepciones!$C$5:$C$2000,Recepciones!$B$5:$B$2000,Config!$A$25,Recepciones!$A$5:$A$2000,"&gt;"&amp;$A35,Recepciones!$A$5:$A$2000,"&lt;="&amp;$A36),MAX(0,I36-I35)))</f>
        <v/>
      </c>
      <c r="K36" s="24" t="str">
        <f aca="false">IF($A36="","",MAX(0,I35+J36-I36))</f>
        <v/>
      </c>
      <c r="L36" s="24" t="str">
        <f aca="false">IF($A36="","",E36+H36+K36)</f>
        <v/>
      </c>
      <c r="M36" s="4" t="str">
        <f aca="false">IF($A36="","",IF(AND(D36+G36+J36&gt;0,SUMIFS(Recepciones!$C$5:$C$2000,Recepciones!$A$5:$A$2000,"&gt;"&amp;$A35,Recepciones!$A$5:$A$2000,"&lt;="&amp;$A36)=0),"Aumento de stock sin recepción registrada",IF(B36&gt;1,"Intervalo de "&amp;B36&amp;" días","")))</f>
        <v/>
      </c>
    </row>
    <row r="37" customFormat="false" ht="15" hidden="false" customHeight="false" outlineLevel="0" collapsed="false">
      <c r="A37" s="5" t="str">
        <f aca="false">IF(Stock_Diario!A37="","",Stock_Diario!A37)</f>
        <v/>
      </c>
      <c r="B37" s="4" t="str">
        <f aca="false">IF($A37="","",$A37-$A36)</f>
        <v/>
      </c>
      <c r="C37" s="24" t="str">
        <f aca="false">IF($A37="","",Stock_Diario!E37)</f>
        <v/>
      </c>
      <c r="D37" s="24" t="str">
        <f aca="false">IF($A37="","",IF(SUMIFS(Recepciones!$C$5:$C$2000,Recepciones!$B$5:$B$2000,Config!$A$23,Recepciones!$A$5:$A$2000,"&gt;"&amp;$A36,Recepciones!$A$5:$A$2000,"&lt;="&amp;$A37)&gt;0,SUMIFS(Recepciones!$C$5:$C$2000,Recepciones!$B$5:$B$2000,Config!$A$23,Recepciones!$A$5:$A$2000,"&gt;"&amp;$A36,Recepciones!$A$5:$A$2000,"&lt;="&amp;$A37),MAX(0,C37-C36)))</f>
        <v/>
      </c>
      <c r="E37" s="24" t="str">
        <f aca="false">IF($A37="","",MAX(0,C36+D37-C37))</f>
        <v/>
      </c>
      <c r="F37" s="24" t="str">
        <f aca="false">IF($A37="","",Stock_Diario!F37)</f>
        <v/>
      </c>
      <c r="G37" s="24" t="str">
        <f aca="false">IF($A37="","",IF(SUMIFS(Recepciones!$C$5:$C$2000,Recepciones!$B$5:$B$2000,Config!$A$24,Recepciones!$A$5:$A$2000,"&gt;"&amp;$A36,Recepciones!$A$5:$A$2000,"&lt;="&amp;$A37)&gt;0,SUMIFS(Recepciones!$C$5:$C$2000,Recepciones!$B$5:$B$2000,Config!$A$24,Recepciones!$A$5:$A$2000,"&gt;"&amp;$A36,Recepciones!$A$5:$A$2000,"&lt;="&amp;$A37),MAX(0,F37-F36)))</f>
        <v/>
      </c>
      <c r="H37" s="24" t="str">
        <f aca="false">IF($A37="","",MAX(0,F36+G37-F37))</f>
        <v/>
      </c>
      <c r="I37" s="24" t="str">
        <f aca="false">IF($A37="","",Stock_Diario!G37)</f>
        <v/>
      </c>
      <c r="J37" s="24" t="str">
        <f aca="false">IF($A37="","",IF(SUMIFS(Recepciones!$C$5:$C$2000,Recepciones!$B$5:$B$2000,Config!$A$25,Recepciones!$A$5:$A$2000,"&gt;"&amp;$A36,Recepciones!$A$5:$A$2000,"&lt;="&amp;$A37)&gt;0,SUMIFS(Recepciones!$C$5:$C$2000,Recepciones!$B$5:$B$2000,Config!$A$25,Recepciones!$A$5:$A$2000,"&gt;"&amp;$A36,Recepciones!$A$5:$A$2000,"&lt;="&amp;$A37),MAX(0,I37-I36)))</f>
        <v/>
      </c>
      <c r="K37" s="24" t="str">
        <f aca="false">IF($A37="","",MAX(0,I36+J37-I37))</f>
        <v/>
      </c>
      <c r="L37" s="24" t="str">
        <f aca="false">IF($A37="","",E37+H37+K37)</f>
        <v/>
      </c>
      <c r="M37" s="4" t="str">
        <f aca="false">IF($A37="","",IF(AND(D37+G37+J37&gt;0,SUMIFS(Recepciones!$C$5:$C$2000,Recepciones!$A$5:$A$2000,"&gt;"&amp;$A36,Recepciones!$A$5:$A$2000,"&lt;="&amp;$A37)=0),"Aumento de stock sin recepción registrada",IF(B37&gt;1,"Intervalo de "&amp;B37&amp;" días","")))</f>
        <v/>
      </c>
    </row>
    <row r="38" customFormat="false" ht="15" hidden="false" customHeight="false" outlineLevel="0" collapsed="false">
      <c r="A38" s="5" t="str">
        <f aca="false">IF(Stock_Diario!A38="","",Stock_Diario!A38)</f>
        <v/>
      </c>
      <c r="B38" s="4" t="str">
        <f aca="false">IF($A38="","",$A38-$A37)</f>
        <v/>
      </c>
      <c r="C38" s="24" t="str">
        <f aca="false">IF($A38="","",Stock_Diario!E38)</f>
        <v/>
      </c>
      <c r="D38" s="24" t="str">
        <f aca="false">IF($A38="","",IF(SUMIFS(Recepciones!$C$5:$C$2000,Recepciones!$B$5:$B$2000,Config!$A$23,Recepciones!$A$5:$A$2000,"&gt;"&amp;$A37,Recepciones!$A$5:$A$2000,"&lt;="&amp;$A38)&gt;0,SUMIFS(Recepciones!$C$5:$C$2000,Recepciones!$B$5:$B$2000,Config!$A$23,Recepciones!$A$5:$A$2000,"&gt;"&amp;$A37,Recepciones!$A$5:$A$2000,"&lt;="&amp;$A38),MAX(0,C38-C37)))</f>
        <v/>
      </c>
      <c r="E38" s="24" t="str">
        <f aca="false">IF($A38="","",MAX(0,C37+D38-C38))</f>
        <v/>
      </c>
      <c r="F38" s="24" t="str">
        <f aca="false">IF($A38="","",Stock_Diario!F38)</f>
        <v/>
      </c>
      <c r="G38" s="24" t="str">
        <f aca="false">IF($A38="","",IF(SUMIFS(Recepciones!$C$5:$C$2000,Recepciones!$B$5:$B$2000,Config!$A$24,Recepciones!$A$5:$A$2000,"&gt;"&amp;$A37,Recepciones!$A$5:$A$2000,"&lt;="&amp;$A38)&gt;0,SUMIFS(Recepciones!$C$5:$C$2000,Recepciones!$B$5:$B$2000,Config!$A$24,Recepciones!$A$5:$A$2000,"&gt;"&amp;$A37,Recepciones!$A$5:$A$2000,"&lt;="&amp;$A38),MAX(0,F38-F37)))</f>
        <v/>
      </c>
      <c r="H38" s="24" t="str">
        <f aca="false">IF($A38="","",MAX(0,F37+G38-F38))</f>
        <v/>
      </c>
      <c r="I38" s="24" t="str">
        <f aca="false">IF($A38="","",Stock_Diario!G38)</f>
        <v/>
      </c>
      <c r="J38" s="24" t="str">
        <f aca="false">IF($A38="","",IF(SUMIFS(Recepciones!$C$5:$C$2000,Recepciones!$B$5:$B$2000,Config!$A$25,Recepciones!$A$5:$A$2000,"&gt;"&amp;$A37,Recepciones!$A$5:$A$2000,"&lt;="&amp;$A38)&gt;0,SUMIFS(Recepciones!$C$5:$C$2000,Recepciones!$B$5:$B$2000,Config!$A$25,Recepciones!$A$5:$A$2000,"&gt;"&amp;$A37,Recepciones!$A$5:$A$2000,"&lt;="&amp;$A38),MAX(0,I38-I37)))</f>
        <v/>
      </c>
      <c r="K38" s="24" t="str">
        <f aca="false">IF($A38="","",MAX(0,I37+J38-I38))</f>
        <v/>
      </c>
      <c r="L38" s="24" t="str">
        <f aca="false">IF($A38="","",E38+H38+K38)</f>
        <v/>
      </c>
      <c r="M38" s="4" t="str">
        <f aca="false">IF($A38="","",IF(AND(D38+G38+J38&gt;0,SUMIFS(Recepciones!$C$5:$C$2000,Recepciones!$A$5:$A$2000,"&gt;"&amp;$A37,Recepciones!$A$5:$A$2000,"&lt;="&amp;$A38)=0),"Aumento de stock sin recepción registrada",IF(B38&gt;1,"Intervalo de "&amp;B38&amp;" días","")))</f>
        <v/>
      </c>
    </row>
    <row r="39" customFormat="false" ht="15" hidden="false" customHeight="false" outlineLevel="0" collapsed="false">
      <c r="A39" s="5" t="str">
        <f aca="false">IF(Stock_Diario!A39="","",Stock_Diario!A39)</f>
        <v/>
      </c>
      <c r="B39" s="4" t="str">
        <f aca="false">IF($A39="","",$A39-$A38)</f>
        <v/>
      </c>
      <c r="C39" s="24" t="str">
        <f aca="false">IF($A39="","",Stock_Diario!E39)</f>
        <v/>
      </c>
      <c r="D39" s="24" t="str">
        <f aca="false">IF($A39="","",IF(SUMIFS(Recepciones!$C$5:$C$2000,Recepciones!$B$5:$B$2000,Config!$A$23,Recepciones!$A$5:$A$2000,"&gt;"&amp;$A38,Recepciones!$A$5:$A$2000,"&lt;="&amp;$A39)&gt;0,SUMIFS(Recepciones!$C$5:$C$2000,Recepciones!$B$5:$B$2000,Config!$A$23,Recepciones!$A$5:$A$2000,"&gt;"&amp;$A38,Recepciones!$A$5:$A$2000,"&lt;="&amp;$A39),MAX(0,C39-C38)))</f>
        <v/>
      </c>
      <c r="E39" s="24" t="str">
        <f aca="false">IF($A39="","",MAX(0,C38+D39-C39))</f>
        <v/>
      </c>
      <c r="F39" s="24" t="str">
        <f aca="false">IF($A39="","",Stock_Diario!F39)</f>
        <v/>
      </c>
      <c r="G39" s="24" t="str">
        <f aca="false">IF($A39="","",IF(SUMIFS(Recepciones!$C$5:$C$2000,Recepciones!$B$5:$B$2000,Config!$A$24,Recepciones!$A$5:$A$2000,"&gt;"&amp;$A38,Recepciones!$A$5:$A$2000,"&lt;="&amp;$A39)&gt;0,SUMIFS(Recepciones!$C$5:$C$2000,Recepciones!$B$5:$B$2000,Config!$A$24,Recepciones!$A$5:$A$2000,"&gt;"&amp;$A38,Recepciones!$A$5:$A$2000,"&lt;="&amp;$A39),MAX(0,F39-F38)))</f>
        <v/>
      </c>
      <c r="H39" s="24" t="str">
        <f aca="false">IF($A39="","",MAX(0,F38+G39-F39))</f>
        <v/>
      </c>
      <c r="I39" s="24" t="str">
        <f aca="false">IF($A39="","",Stock_Diario!G39)</f>
        <v/>
      </c>
      <c r="J39" s="24" t="str">
        <f aca="false">IF($A39="","",IF(SUMIFS(Recepciones!$C$5:$C$2000,Recepciones!$B$5:$B$2000,Config!$A$25,Recepciones!$A$5:$A$2000,"&gt;"&amp;$A38,Recepciones!$A$5:$A$2000,"&lt;="&amp;$A39)&gt;0,SUMIFS(Recepciones!$C$5:$C$2000,Recepciones!$B$5:$B$2000,Config!$A$25,Recepciones!$A$5:$A$2000,"&gt;"&amp;$A38,Recepciones!$A$5:$A$2000,"&lt;="&amp;$A39),MAX(0,I39-I38)))</f>
        <v/>
      </c>
      <c r="K39" s="24" t="str">
        <f aca="false">IF($A39="","",MAX(0,I38+J39-I39))</f>
        <v/>
      </c>
      <c r="L39" s="24" t="str">
        <f aca="false">IF($A39="","",E39+H39+K39)</f>
        <v/>
      </c>
      <c r="M39" s="4" t="str">
        <f aca="false">IF($A39="","",IF(AND(D39+G39+J39&gt;0,SUMIFS(Recepciones!$C$5:$C$2000,Recepciones!$A$5:$A$2000,"&gt;"&amp;$A38,Recepciones!$A$5:$A$2000,"&lt;="&amp;$A39)=0),"Aumento de stock sin recepción registrada",IF(B39&gt;1,"Intervalo de "&amp;B39&amp;" días","")))</f>
        <v/>
      </c>
    </row>
    <row r="40" customFormat="false" ht="15" hidden="false" customHeight="false" outlineLevel="0" collapsed="false">
      <c r="A40" s="5" t="str">
        <f aca="false">IF(Stock_Diario!A40="","",Stock_Diario!A40)</f>
        <v/>
      </c>
      <c r="B40" s="4" t="str">
        <f aca="false">IF($A40="","",$A40-$A39)</f>
        <v/>
      </c>
      <c r="C40" s="24" t="str">
        <f aca="false">IF($A40="","",Stock_Diario!E40)</f>
        <v/>
      </c>
      <c r="D40" s="24" t="str">
        <f aca="false">IF($A40="","",IF(SUMIFS(Recepciones!$C$5:$C$2000,Recepciones!$B$5:$B$2000,Config!$A$23,Recepciones!$A$5:$A$2000,"&gt;"&amp;$A39,Recepciones!$A$5:$A$2000,"&lt;="&amp;$A40)&gt;0,SUMIFS(Recepciones!$C$5:$C$2000,Recepciones!$B$5:$B$2000,Config!$A$23,Recepciones!$A$5:$A$2000,"&gt;"&amp;$A39,Recepciones!$A$5:$A$2000,"&lt;="&amp;$A40),MAX(0,C40-C39)))</f>
        <v/>
      </c>
      <c r="E40" s="24" t="str">
        <f aca="false">IF($A40="","",MAX(0,C39+D40-C40))</f>
        <v/>
      </c>
      <c r="F40" s="24" t="str">
        <f aca="false">IF($A40="","",Stock_Diario!F40)</f>
        <v/>
      </c>
      <c r="G40" s="24" t="str">
        <f aca="false">IF($A40="","",IF(SUMIFS(Recepciones!$C$5:$C$2000,Recepciones!$B$5:$B$2000,Config!$A$24,Recepciones!$A$5:$A$2000,"&gt;"&amp;$A39,Recepciones!$A$5:$A$2000,"&lt;="&amp;$A40)&gt;0,SUMIFS(Recepciones!$C$5:$C$2000,Recepciones!$B$5:$B$2000,Config!$A$24,Recepciones!$A$5:$A$2000,"&gt;"&amp;$A39,Recepciones!$A$5:$A$2000,"&lt;="&amp;$A40),MAX(0,F40-F39)))</f>
        <v/>
      </c>
      <c r="H40" s="24" t="str">
        <f aca="false">IF($A40="","",MAX(0,F39+G40-F40))</f>
        <v/>
      </c>
      <c r="I40" s="24" t="str">
        <f aca="false">IF($A40="","",Stock_Diario!G40)</f>
        <v/>
      </c>
      <c r="J40" s="24" t="str">
        <f aca="false">IF($A40="","",IF(SUMIFS(Recepciones!$C$5:$C$2000,Recepciones!$B$5:$B$2000,Config!$A$25,Recepciones!$A$5:$A$2000,"&gt;"&amp;$A39,Recepciones!$A$5:$A$2000,"&lt;="&amp;$A40)&gt;0,SUMIFS(Recepciones!$C$5:$C$2000,Recepciones!$B$5:$B$2000,Config!$A$25,Recepciones!$A$5:$A$2000,"&gt;"&amp;$A39,Recepciones!$A$5:$A$2000,"&lt;="&amp;$A40),MAX(0,I40-I39)))</f>
        <v/>
      </c>
      <c r="K40" s="24" t="str">
        <f aca="false">IF($A40="","",MAX(0,I39+J40-I40))</f>
        <v/>
      </c>
      <c r="L40" s="24" t="str">
        <f aca="false">IF($A40="","",E40+H40+K40)</f>
        <v/>
      </c>
      <c r="M40" s="4" t="str">
        <f aca="false">IF($A40="","",IF(AND(D40+G40+J40&gt;0,SUMIFS(Recepciones!$C$5:$C$2000,Recepciones!$A$5:$A$2000,"&gt;"&amp;$A39,Recepciones!$A$5:$A$2000,"&lt;="&amp;$A40)=0),"Aumento de stock sin recepción registrada",IF(B40&gt;1,"Intervalo de "&amp;B40&amp;" días","")))</f>
        <v/>
      </c>
    </row>
    <row r="41" customFormat="false" ht="15" hidden="false" customHeight="false" outlineLevel="0" collapsed="false">
      <c r="A41" s="5" t="str">
        <f aca="false">IF(Stock_Diario!A41="","",Stock_Diario!A41)</f>
        <v/>
      </c>
      <c r="B41" s="4" t="str">
        <f aca="false">IF($A41="","",$A41-$A40)</f>
        <v/>
      </c>
      <c r="C41" s="24" t="str">
        <f aca="false">IF($A41="","",Stock_Diario!E41)</f>
        <v/>
      </c>
      <c r="D41" s="24" t="str">
        <f aca="false">IF($A41="","",IF(SUMIFS(Recepciones!$C$5:$C$2000,Recepciones!$B$5:$B$2000,Config!$A$23,Recepciones!$A$5:$A$2000,"&gt;"&amp;$A40,Recepciones!$A$5:$A$2000,"&lt;="&amp;$A41)&gt;0,SUMIFS(Recepciones!$C$5:$C$2000,Recepciones!$B$5:$B$2000,Config!$A$23,Recepciones!$A$5:$A$2000,"&gt;"&amp;$A40,Recepciones!$A$5:$A$2000,"&lt;="&amp;$A41),MAX(0,C41-C40)))</f>
        <v/>
      </c>
      <c r="E41" s="24" t="str">
        <f aca="false">IF($A41="","",MAX(0,C40+D41-C41))</f>
        <v/>
      </c>
      <c r="F41" s="24" t="str">
        <f aca="false">IF($A41="","",Stock_Diario!F41)</f>
        <v/>
      </c>
      <c r="G41" s="24" t="str">
        <f aca="false">IF($A41="","",IF(SUMIFS(Recepciones!$C$5:$C$2000,Recepciones!$B$5:$B$2000,Config!$A$24,Recepciones!$A$5:$A$2000,"&gt;"&amp;$A40,Recepciones!$A$5:$A$2000,"&lt;="&amp;$A41)&gt;0,SUMIFS(Recepciones!$C$5:$C$2000,Recepciones!$B$5:$B$2000,Config!$A$24,Recepciones!$A$5:$A$2000,"&gt;"&amp;$A40,Recepciones!$A$5:$A$2000,"&lt;="&amp;$A41),MAX(0,F41-F40)))</f>
        <v/>
      </c>
      <c r="H41" s="24" t="str">
        <f aca="false">IF($A41="","",MAX(0,F40+G41-F41))</f>
        <v/>
      </c>
      <c r="I41" s="24" t="str">
        <f aca="false">IF($A41="","",Stock_Diario!G41)</f>
        <v/>
      </c>
      <c r="J41" s="24" t="str">
        <f aca="false">IF($A41="","",IF(SUMIFS(Recepciones!$C$5:$C$2000,Recepciones!$B$5:$B$2000,Config!$A$25,Recepciones!$A$5:$A$2000,"&gt;"&amp;$A40,Recepciones!$A$5:$A$2000,"&lt;="&amp;$A41)&gt;0,SUMIFS(Recepciones!$C$5:$C$2000,Recepciones!$B$5:$B$2000,Config!$A$25,Recepciones!$A$5:$A$2000,"&gt;"&amp;$A40,Recepciones!$A$5:$A$2000,"&lt;="&amp;$A41),MAX(0,I41-I40)))</f>
        <v/>
      </c>
      <c r="K41" s="24" t="str">
        <f aca="false">IF($A41="","",MAX(0,I40+J41-I41))</f>
        <v/>
      </c>
      <c r="L41" s="24" t="str">
        <f aca="false">IF($A41="","",E41+H41+K41)</f>
        <v/>
      </c>
      <c r="M41" s="4" t="str">
        <f aca="false">IF($A41="","",IF(AND(D41+G41+J41&gt;0,SUMIFS(Recepciones!$C$5:$C$2000,Recepciones!$A$5:$A$2000,"&gt;"&amp;$A40,Recepciones!$A$5:$A$2000,"&lt;="&amp;$A41)=0),"Aumento de stock sin recepción registrada",IF(B41&gt;1,"Intervalo de "&amp;B41&amp;" días","")))</f>
        <v/>
      </c>
    </row>
    <row r="42" customFormat="false" ht="15" hidden="false" customHeight="false" outlineLevel="0" collapsed="false">
      <c r="A42" s="5" t="str">
        <f aca="false">IF(Stock_Diario!A42="","",Stock_Diario!A42)</f>
        <v/>
      </c>
      <c r="B42" s="4" t="str">
        <f aca="false">IF($A42="","",$A42-$A41)</f>
        <v/>
      </c>
      <c r="C42" s="24" t="str">
        <f aca="false">IF($A42="","",Stock_Diario!E42)</f>
        <v/>
      </c>
      <c r="D42" s="24" t="str">
        <f aca="false">IF($A42="","",IF(SUMIFS(Recepciones!$C$5:$C$2000,Recepciones!$B$5:$B$2000,Config!$A$23,Recepciones!$A$5:$A$2000,"&gt;"&amp;$A41,Recepciones!$A$5:$A$2000,"&lt;="&amp;$A42)&gt;0,SUMIFS(Recepciones!$C$5:$C$2000,Recepciones!$B$5:$B$2000,Config!$A$23,Recepciones!$A$5:$A$2000,"&gt;"&amp;$A41,Recepciones!$A$5:$A$2000,"&lt;="&amp;$A42),MAX(0,C42-C41)))</f>
        <v/>
      </c>
      <c r="E42" s="24" t="str">
        <f aca="false">IF($A42="","",MAX(0,C41+D42-C42))</f>
        <v/>
      </c>
      <c r="F42" s="24" t="str">
        <f aca="false">IF($A42="","",Stock_Diario!F42)</f>
        <v/>
      </c>
      <c r="G42" s="24" t="str">
        <f aca="false">IF($A42="","",IF(SUMIFS(Recepciones!$C$5:$C$2000,Recepciones!$B$5:$B$2000,Config!$A$24,Recepciones!$A$5:$A$2000,"&gt;"&amp;$A41,Recepciones!$A$5:$A$2000,"&lt;="&amp;$A42)&gt;0,SUMIFS(Recepciones!$C$5:$C$2000,Recepciones!$B$5:$B$2000,Config!$A$24,Recepciones!$A$5:$A$2000,"&gt;"&amp;$A41,Recepciones!$A$5:$A$2000,"&lt;="&amp;$A42),MAX(0,F42-F41)))</f>
        <v/>
      </c>
      <c r="H42" s="24" t="str">
        <f aca="false">IF($A42="","",MAX(0,F41+G42-F42))</f>
        <v/>
      </c>
      <c r="I42" s="24" t="str">
        <f aca="false">IF($A42="","",Stock_Diario!G42)</f>
        <v/>
      </c>
      <c r="J42" s="24" t="str">
        <f aca="false">IF($A42="","",IF(SUMIFS(Recepciones!$C$5:$C$2000,Recepciones!$B$5:$B$2000,Config!$A$25,Recepciones!$A$5:$A$2000,"&gt;"&amp;$A41,Recepciones!$A$5:$A$2000,"&lt;="&amp;$A42)&gt;0,SUMIFS(Recepciones!$C$5:$C$2000,Recepciones!$B$5:$B$2000,Config!$A$25,Recepciones!$A$5:$A$2000,"&gt;"&amp;$A41,Recepciones!$A$5:$A$2000,"&lt;="&amp;$A42),MAX(0,I42-I41)))</f>
        <v/>
      </c>
      <c r="K42" s="24" t="str">
        <f aca="false">IF($A42="","",MAX(0,I41+J42-I42))</f>
        <v/>
      </c>
      <c r="L42" s="24" t="str">
        <f aca="false">IF($A42="","",E42+H42+K42)</f>
        <v/>
      </c>
      <c r="M42" s="4" t="str">
        <f aca="false">IF($A42="","",IF(AND(D42+G42+J42&gt;0,SUMIFS(Recepciones!$C$5:$C$2000,Recepciones!$A$5:$A$2000,"&gt;"&amp;$A41,Recepciones!$A$5:$A$2000,"&lt;="&amp;$A42)=0),"Aumento de stock sin recepción registrada",IF(B42&gt;1,"Intervalo de "&amp;B42&amp;" días","")))</f>
        <v/>
      </c>
    </row>
    <row r="43" customFormat="false" ht="15" hidden="false" customHeight="false" outlineLevel="0" collapsed="false">
      <c r="A43" s="5" t="str">
        <f aca="false">IF(Stock_Diario!A43="","",Stock_Diario!A43)</f>
        <v/>
      </c>
      <c r="B43" s="4" t="str">
        <f aca="false">IF($A43="","",$A43-$A42)</f>
        <v/>
      </c>
      <c r="C43" s="24" t="str">
        <f aca="false">IF($A43="","",Stock_Diario!E43)</f>
        <v/>
      </c>
      <c r="D43" s="24" t="str">
        <f aca="false">IF($A43="","",IF(SUMIFS(Recepciones!$C$5:$C$2000,Recepciones!$B$5:$B$2000,Config!$A$23,Recepciones!$A$5:$A$2000,"&gt;"&amp;$A42,Recepciones!$A$5:$A$2000,"&lt;="&amp;$A43)&gt;0,SUMIFS(Recepciones!$C$5:$C$2000,Recepciones!$B$5:$B$2000,Config!$A$23,Recepciones!$A$5:$A$2000,"&gt;"&amp;$A42,Recepciones!$A$5:$A$2000,"&lt;="&amp;$A43),MAX(0,C43-C42)))</f>
        <v/>
      </c>
      <c r="E43" s="24" t="str">
        <f aca="false">IF($A43="","",MAX(0,C42+D43-C43))</f>
        <v/>
      </c>
      <c r="F43" s="24" t="str">
        <f aca="false">IF($A43="","",Stock_Diario!F43)</f>
        <v/>
      </c>
      <c r="G43" s="24" t="str">
        <f aca="false">IF($A43="","",IF(SUMIFS(Recepciones!$C$5:$C$2000,Recepciones!$B$5:$B$2000,Config!$A$24,Recepciones!$A$5:$A$2000,"&gt;"&amp;$A42,Recepciones!$A$5:$A$2000,"&lt;="&amp;$A43)&gt;0,SUMIFS(Recepciones!$C$5:$C$2000,Recepciones!$B$5:$B$2000,Config!$A$24,Recepciones!$A$5:$A$2000,"&gt;"&amp;$A42,Recepciones!$A$5:$A$2000,"&lt;="&amp;$A43),MAX(0,F43-F42)))</f>
        <v/>
      </c>
      <c r="H43" s="24" t="str">
        <f aca="false">IF($A43="","",MAX(0,F42+G43-F43))</f>
        <v/>
      </c>
      <c r="I43" s="24" t="str">
        <f aca="false">IF($A43="","",Stock_Diario!G43)</f>
        <v/>
      </c>
      <c r="J43" s="24" t="str">
        <f aca="false">IF($A43="","",IF(SUMIFS(Recepciones!$C$5:$C$2000,Recepciones!$B$5:$B$2000,Config!$A$25,Recepciones!$A$5:$A$2000,"&gt;"&amp;$A42,Recepciones!$A$5:$A$2000,"&lt;="&amp;$A43)&gt;0,SUMIFS(Recepciones!$C$5:$C$2000,Recepciones!$B$5:$B$2000,Config!$A$25,Recepciones!$A$5:$A$2000,"&gt;"&amp;$A42,Recepciones!$A$5:$A$2000,"&lt;="&amp;$A43),MAX(0,I43-I42)))</f>
        <v/>
      </c>
      <c r="K43" s="24" t="str">
        <f aca="false">IF($A43="","",MAX(0,I42+J43-I43))</f>
        <v/>
      </c>
      <c r="L43" s="24" t="str">
        <f aca="false">IF($A43="","",E43+H43+K43)</f>
        <v/>
      </c>
      <c r="M43" s="4" t="str">
        <f aca="false">IF($A43="","",IF(AND(D43+G43+J43&gt;0,SUMIFS(Recepciones!$C$5:$C$2000,Recepciones!$A$5:$A$2000,"&gt;"&amp;$A42,Recepciones!$A$5:$A$2000,"&lt;="&amp;$A43)=0),"Aumento de stock sin recepción registrada",IF(B43&gt;1,"Intervalo de "&amp;B43&amp;" días","")))</f>
        <v/>
      </c>
    </row>
    <row r="44" customFormat="false" ht="15" hidden="false" customHeight="false" outlineLevel="0" collapsed="false">
      <c r="A44" s="5" t="str">
        <f aca="false">IF(Stock_Diario!A44="","",Stock_Diario!A44)</f>
        <v/>
      </c>
      <c r="B44" s="4" t="str">
        <f aca="false">IF($A44="","",$A44-$A43)</f>
        <v/>
      </c>
      <c r="C44" s="24" t="str">
        <f aca="false">IF($A44="","",Stock_Diario!E44)</f>
        <v/>
      </c>
      <c r="D44" s="24" t="str">
        <f aca="false">IF($A44="","",IF(SUMIFS(Recepciones!$C$5:$C$2000,Recepciones!$B$5:$B$2000,Config!$A$23,Recepciones!$A$5:$A$2000,"&gt;"&amp;$A43,Recepciones!$A$5:$A$2000,"&lt;="&amp;$A44)&gt;0,SUMIFS(Recepciones!$C$5:$C$2000,Recepciones!$B$5:$B$2000,Config!$A$23,Recepciones!$A$5:$A$2000,"&gt;"&amp;$A43,Recepciones!$A$5:$A$2000,"&lt;="&amp;$A44),MAX(0,C44-C43)))</f>
        <v/>
      </c>
      <c r="E44" s="24" t="str">
        <f aca="false">IF($A44="","",MAX(0,C43+D44-C44))</f>
        <v/>
      </c>
      <c r="F44" s="24" t="str">
        <f aca="false">IF($A44="","",Stock_Diario!F44)</f>
        <v/>
      </c>
      <c r="G44" s="24" t="str">
        <f aca="false">IF($A44="","",IF(SUMIFS(Recepciones!$C$5:$C$2000,Recepciones!$B$5:$B$2000,Config!$A$24,Recepciones!$A$5:$A$2000,"&gt;"&amp;$A43,Recepciones!$A$5:$A$2000,"&lt;="&amp;$A44)&gt;0,SUMIFS(Recepciones!$C$5:$C$2000,Recepciones!$B$5:$B$2000,Config!$A$24,Recepciones!$A$5:$A$2000,"&gt;"&amp;$A43,Recepciones!$A$5:$A$2000,"&lt;="&amp;$A44),MAX(0,F44-F43)))</f>
        <v/>
      </c>
      <c r="H44" s="24" t="str">
        <f aca="false">IF($A44="","",MAX(0,F43+G44-F44))</f>
        <v/>
      </c>
      <c r="I44" s="24" t="str">
        <f aca="false">IF($A44="","",Stock_Diario!G44)</f>
        <v/>
      </c>
      <c r="J44" s="24" t="str">
        <f aca="false">IF($A44="","",IF(SUMIFS(Recepciones!$C$5:$C$2000,Recepciones!$B$5:$B$2000,Config!$A$25,Recepciones!$A$5:$A$2000,"&gt;"&amp;$A43,Recepciones!$A$5:$A$2000,"&lt;="&amp;$A44)&gt;0,SUMIFS(Recepciones!$C$5:$C$2000,Recepciones!$B$5:$B$2000,Config!$A$25,Recepciones!$A$5:$A$2000,"&gt;"&amp;$A43,Recepciones!$A$5:$A$2000,"&lt;="&amp;$A44),MAX(0,I44-I43)))</f>
        <v/>
      </c>
      <c r="K44" s="24" t="str">
        <f aca="false">IF($A44="","",MAX(0,I43+J44-I44))</f>
        <v/>
      </c>
      <c r="L44" s="24" t="str">
        <f aca="false">IF($A44="","",E44+H44+K44)</f>
        <v/>
      </c>
      <c r="M44" s="4" t="str">
        <f aca="false">IF($A44="","",IF(AND(D44+G44+J44&gt;0,SUMIFS(Recepciones!$C$5:$C$2000,Recepciones!$A$5:$A$2000,"&gt;"&amp;$A43,Recepciones!$A$5:$A$2000,"&lt;="&amp;$A44)=0),"Aumento de stock sin recepción registrada",IF(B44&gt;1,"Intervalo de "&amp;B44&amp;" días","")))</f>
        <v/>
      </c>
    </row>
    <row r="45" customFormat="false" ht="15" hidden="false" customHeight="false" outlineLevel="0" collapsed="false">
      <c r="A45" s="5" t="str">
        <f aca="false">IF(Stock_Diario!A45="","",Stock_Diario!A45)</f>
        <v/>
      </c>
      <c r="B45" s="4" t="str">
        <f aca="false">IF($A45="","",$A45-$A44)</f>
        <v/>
      </c>
      <c r="C45" s="24" t="str">
        <f aca="false">IF($A45="","",Stock_Diario!E45)</f>
        <v/>
      </c>
      <c r="D45" s="24" t="str">
        <f aca="false">IF($A45="","",IF(SUMIFS(Recepciones!$C$5:$C$2000,Recepciones!$B$5:$B$2000,Config!$A$23,Recepciones!$A$5:$A$2000,"&gt;"&amp;$A44,Recepciones!$A$5:$A$2000,"&lt;="&amp;$A45)&gt;0,SUMIFS(Recepciones!$C$5:$C$2000,Recepciones!$B$5:$B$2000,Config!$A$23,Recepciones!$A$5:$A$2000,"&gt;"&amp;$A44,Recepciones!$A$5:$A$2000,"&lt;="&amp;$A45),MAX(0,C45-C44)))</f>
        <v/>
      </c>
      <c r="E45" s="24" t="str">
        <f aca="false">IF($A45="","",MAX(0,C44+D45-C45))</f>
        <v/>
      </c>
      <c r="F45" s="24" t="str">
        <f aca="false">IF($A45="","",Stock_Diario!F45)</f>
        <v/>
      </c>
      <c r="G45" s="24" t="str">
        <f aca="false">IF($A45="","",IF(SUMIFS(Recepciones!$C$5:$C$2000,Recepciones!$B$5:$B$2000,Config!$A$24,Recepciones!$A$5:$A$2000,"&gt;"&amp;$A44,Recepciones!$A$5:$A$2000,"&lt;="&amp;$A45)&gt;0,SUMIFS(Recepciones!$C$5:$C$2000,Recepciones!$B$5:$B$2000,Config!$A$24,Recepciones!$A$5:$A$2000,"&gt;"&amp;$A44,Recepciones!$A$5:$A$2000,"&lt;="&amp;$A45),MAX(0,F45-F44)))</f>
        <v/>
      </c>
      <c r="H45" s="24" t="str">
        <f aca="false">IF($A45="","",MAX(0,F44+G45-F45))</f>
        <v/>
      </c>
      <c r="I45" s="24" t="str">
        <f aca="false">IF($A45="","",Stock_Diario!G45)</f>
        <v/>
      </c>
      <c r="J45" s="24" t="str">
        <f aca="false">IF($A45="","",IF(SUMIFS(Recepciones!$C$5:$C$2000,Recepciones!$B$5:$B$2000,Config!$A$25,Recepciones!$A$5:$A$2000,"&gt;"&amp;$A44,Recepciones!$A$5:$A$2000,"&lt;="&amp;$A45)&gt;0,SUMIFS(Recepciones!$C$5:$C$2000,Recepciones!$B$5:$B$2000,Config!$A$25,Recepciones!$A$5:$A$2000,"&gt;"&amp;$A44,Recepciones!$A$5:$A$2000,"&lt;="&amp;$A45),MAX(0,I45-I44)))</f>
        <v/>
      </c>
      <c r="K45" s="24" t="str">
        <f aca="false">IF($A45="","",MAX(0,I44+J45-I45))</f>
        <v/>
      </c>
      <c r="L45" s="24" t="str">
        <f aca="false">IF($A45="","",E45+H45+K45)</f>
        <v/>
      </c>
      <c r="M45" s="4" t="str">
        <f aca="false">IF($A45="","",IF(AND(D45+G45+J45&gt;0,SUMIFS(Recepciones!$C$5:$C$2000,Recepciones!$A$5:$A$2000,"&gt;"&amp;$A44,Recepciones!$A$5:$A$2000,"&lt;="&amp;$A45)=0),"Aumento de stock sin recepción registrada",IF(B45&gt;1,"Intervalo de "&amp;B45&amp;" días","")))</f>
        <v/>
      </c>
    </row>
    <row r="46" customFormat="false" ht="15" hidden="false" customHeight="false" outlineLevel="0" collapsed="false">
      <c r="A46" s="5" t="str">
        <f aca="false">IF(Stock_Diario!A46="","",Stock_Diario!A46)</f>
        <v/>
      </c>
      <c r="B46" s="4" t="str">
        <f aca="false">IF($A46="","",$A46-$A45)</f>
        <v/>
      </c>
      <c r="C46" s="24" t="str">
        <f aca="false">IF($A46="","",Stock_Diario!E46)</f>
        <v/>
      </c>
      <c r="D46" s="24" t="str">
        <f aca="false">IF($A46="","",IF(SUMIFS(Recepciones!$C$5:$C$2000,Recepciones!$B$5:$B$2000,Config!$A$23,Recepciones!$A$5:$A$2000,"&gt;"&amp;$A45,Recepciones!$A$5:$A$2000,"&lt;="&amp;$A46)&gt;0,SUMIFS(Recepciones!$C$5:$C$2000,Recepciones!$B$5:$B$2000,Config!$A$23,Recepciones!$A$5:$A$2000,"&gt;"&amp;$A45,Recepciones!$A$5:$A$2000,"&lt;="&amp;$A46),MAX(0,C46-C45)))</f>
        <v/>
      </c>
      <c r="E46" s="24" t="str">
        <f aca="false">IF($A46="","",MAX(0,C45+D46-C46))</f>
        <v/>
      </c>
      <c r="F46" s="24" t="str">
        <f aca="false">IF($A46="","",Stock_Diario!F46)</f>
        <v/>
      </c>
      <c r="G46" s="24" t="str">
        <f aca="false">IF($A46="","",IF(SUMIFS(Recepciones!$C$5:$C$2000,Recepciones!$B$5:$B$2000,Config!$A$24,Recepciones!$A$5:$A$2000,"&gt;"&amp;$A45,Recepciones!$A$5:$A$2000,"&lt;="&amp;$A46)&gt;0,SUMIFS(Recepciones!$C$5:$C$2000,Recepciones!$B$5:$B$2000,Config!$A$24,Recepciones!$A$5:$A$2000,"&gt;"&amp;$A45,Recepciones!$A$5:$A$2000,"&lt;="&amp;$A46),MAX(0,F46-F45)))</f>
        <v/>
      </c>
      <c r="H46" s="24" t="str">
        <f aca="false">IF($A46="","",MAX(0,F45+G46-F46))</f>
        <v/>
      </c>
      <c r="I46" s="24" t="str">
        <f aca="false">IF($A46="","",Stock_Diario!G46)</f>
        <v/>
      </c>
      <c r="J46" s="24" t="str">
        <f aca="false">IF($A46="","",IF(SUMIFS(Recepciones!$C$5:$C$2000,Recepciones!$B$5:$B$2000,Config!$A$25,Recepciones!$A$5:$A$2000,"&gt;"&amp;$A45,Recepciones!$A$5:$A$2000,"&lt;="&amp;$A46)&gt;0,SUMIFS(Recepciones!$C$5:$C$2000,Recepciones!$B$5:$B$2000,Config!$A$25,Recepciones!$A$5:$A$2000,"&gt;"&amp;$A45,Recepciones!$A$5:$A$2000,"&lt;="&amp;$A46),MAX(0,I46-I45)))</f>
        <v/>
      </c>
      <c r="K46" s="24" t="str">
        <f aca="false">IF($A46="","",MAX(0,I45+J46-I46))</f>
        <v/>
      </c>
      <c r="L46" s="24" t="str">
        <f aca="false">IF($A46="","",E46+H46+K46)</f>
        <v/>
      </c>
      <c r="M46" s="4" t="str">
        <f aca="false">IF($A46="","",IF(AND(D46+G46+J46&gt;0,SUMIFS(Recepciones!$C$5:$C$2000,Recepciones!$A$5:$A$2000,"&gt;"&amp;$A45,Recepciones!$A$5:$A$2000,"&lt;="&amp;$A46)=0),"Aumento de stock sin recepción registrada",IF(B46&gt;1,"Intervalo de "&amp;B46&amp;" días","")))</f>
        <v/>
      </c>
    </row>
    <row r="47" customFormat="false" ht="15" hidden="false" customHeight="false" outlineLevel="0" collapsed="false">
      <c r="A47" s="5" t="str">
        <f aca="false">IF(Stock_Diario!A47="","",Stock_Diario!A47)</f>
        <v/>
      </c>
      <c r="B47" s="4" t="str">
        <f aca="false">IF($A47="","",$A47-$A46)</f>
        <v/>
      </c>
      <c r="C47" s="24" t="str">
        <f aca="false">IF($A47="","",Stock_Diario!E47)</f>
        <v/>
      </c>
      <c r="D47" s="24" t="str">
        <f aca="false">IF($A47="","",IF(SUMIFS(Recepciones!$C$5:$C$2000,Recepciones!$B$5:$B$2000,Config!$A$23,Recepciones!$A$5:$A$2000,"&gt;"&amp;$A46,Recepciones!$A$5:$A$2000,"&lt;="&amp;$A47)&gt;0,SUMIFS(Recepciones!$C$5:$C$2000,Recepciones!$B$5:$B$2000,Config!$A$23,Recepciones!$A$5:$A$2000,"&gt;"&amp;$A46,Recepciones!$A$5:$A$2000,"&lt;="&amp;$A47),MAX(0,C47-C46)))</f>
        <v/>
      </c>
      <c r="E47" s="24" t="str">
        <f aca="false">IF($A47="","",MAX(0,C46+D47-C47))</f>
        <v/>
      </c>
      <c r="F47" s="24" t="str">
        <f aca="false">IF($A47="","",Stock_Diario!F47)</f>
        <v/>
      </c>
      <c r="G47" s="24" t="str">
        <f aca="false">IF($A47="","",IF(SUMIFS(Recepciones!$C$5:$C$2000,Recepciones!$B$5:$B$2000,Config!$A$24,Recepciones!$A$5:$A$2000,"&gt;"&amp;$A46,Recepciones!$A$5:$A$2000,"&lt;="&amp;$A47)&gt;0,SUMIFS(Recepciones!$C$5:$C$2000,Recepciones!$B$5:$B$2000,Config!$A$24,Recepciones!$A$5:$A$2000,"&gt;"&amp;$A46,Recepciones!$A$5:$A$2000,"&lt;="&amp;$A47),MAX(0,F47-F46)))</f>
        <v/>
      </c>
      <c r="H47" s="24" t="str">
        <f aca="false">IF($A47="","",MAX(0,F46+G47-F47))</f>
        <v/>
      </c>
      <c r="I47" s="24" t="str">
        <f aca="false">IF($A47="","",Stock_Diario!G47)</f>
        <v/>
      </c>
      <c r="J47" s="24" t="str">
        <f aca="false">IF($A47="","",IF(SUMIFS(Recepciones!$C$5:$C$2000,Recepciones!$B$5:$B$2000,Config!$A$25,Recepciones!$A$5:$A$2000,"&gt;"&amp;$A46,Recepciones!$A$5:$A$2000,"&lt;="&amp;$A47)&gt;0,SUMIFS(Recepciones!$C$5:$C$2000,Recepciones!$B$5:$B$2000,Config!$A$25,Recepciones!$A$5:$A$2000,"&gt;"&amp;$A46,Recepciones!$A$5:$A$2000,"&lt;="&amp;$A47),MAX(0,I47-I46)))</f>
        <v/>
      </c>
      <c r="K47" s="24" t="str">
        <f aca="false">IF($A47="","",MAX(0,I46+J47-I47))</f>
        <v/>
      </c>
      <c r="L47" s="24" t="str">
        <f aca="false">IF($A47="","",E47+H47+K47)</f>
        <v/>
      </c>
      <c r="M47" s="4" t="str">
        <f aca="false">IF($A47="","",IF(AND(D47+G47+J47&gt;0,SUMIFS(Recepciones!$C$5:$C$2000,Recepciones!$A$5:$A$2000,"&gt;"&amp;$A46,Recepciones!$A$5:$A$2000,"&lt;="&amp;$A47)=0),"Aumento de stock sin recepción registrada",IF(B47&gt;1,"Intervalo de "&amp;B47&amp;" días","")))</f>
        <v/>
      </c>
    </row>
    <row r="48" customFormat="false" ht="15" hidden="false" customHeight="false" outlineLevel="0" collapsed="false">
      <c r="A48" s="5" t="str">
        <f aca="false">IF(Stock_Diario!A48="","",Stock_Diario!A48)</f>
        <v/>
      </c>
      <c r="B48" s="4" t="str">
        <f aca="false">IF($A48="","",$A48-$A47)</f>
        <v/>
      </c>
      <c r="C48" s="24" t="str">
        <f aca="false">IF($A48="","",Stock_Diario!E48)</f>
        <v/>
      </c>
      <c r="D48" s="24" t="str">
        <f aca="false">IF($A48="","",IF(SUMIFS(Recepciones!$C$5:$C$2000,Recepciones!$B$5:$B$2000,Config!$A$23,Recepciones!$A$5:$A$2000,"&gt;"&amp;$A47,Recepciones!$A$5:$A$2000,"&lt;="&amp;$A48)&gt;0,SUMIFS(Recepciones!$C$5:$C$2000,Recepciones!$B$5:$B$2000,Config!$A$23,Recepciones!$A$5:$A$2000,"&gt;"&amp;$A47,Recepciones!$A$5:$A$2000,"&lt;="&amp;$A48),MAX(0,C48-C47)))</f>
        <v/>
      </c>
      <c r="E48" s="24" t="str">
        <f aca="false">IF($A48="","",MAX(0,C47+D48-C48))</f>
        <v/>
      </c>
      <c r="F48" s="24" t="str">
        <f aca="false">IF($A48="","",Stock_Diario!F48)</f>
        <v/>
      </c>
      <c r="G48" s="24" t="str">
        <f aca="false">IF($A48="","",IF(SUMIFS(Recepciones!$C$5:$C$2000,Recepciones!$B$5:$B$2000,Config!$A$24,Recepciones!$A$5:$A$2000,"&gt;"&amp;$A47,Recepciones!$A$5:$A$2000,"&lt;="&amp;$A48)&gt;0,SUMIFS(Recepciones!$C$5:$C$2000,Recepciones!$B$5:$B$2000,Config!$A$24,Recepciones!$A$5:$A$2000,"&gt;"&amp;$A47,Recepciones!$A$5:$A$2000,"&lt;="&amp;$A48),MAX(0,F48-F47)))</f>
        <v/>
      </c>
      <c r="H48" s="24" t="str">
        <f aca="false">IF($A48="","",MAX(0,F47+G48-F48))</f>
        <v/>
      </c>
      <c r="I48" s="24" t="str">
        <f aca="false">IF($A48="","",Stock_Diario!G48)</f>
        <v/>
      </c>
      <c r="J48" s="24" t="str">
        <f aca="false">IF($A48="","",IF(SUMIFS(Recepciones!$C$5:$C$2000,Recepciones!$B$5:$B$2000,Config!$A$25,Recepciones!$A$5:$A$2000,"&gt;"&amp;$A47,Recepciones!$A$5:$A$2000,"&lt;="&amp;$A48)&gt;0,SUMIFS(Recepciones!$C$5:$C$2000,Recepciones!$B$5:$B$2000,Config!$A$25,Recepciones!$A$5:$A$2000,"&gt;"&amp;$A47,Recepciones!$A$5:$A$2000,"&lt;="&amp;$A48),MAX(0,I48-I47)))</f>
        <v/>
      </c>
      <c r="K48" s="24" t="str">
        <f aca="false">IF($A48="","",MAX(0,I47+J48-I48))</f>
        <v/>
      </c>
      <c r="L48" s="24" t="str">
        <f aca="false">IF($A48="","",E48+H48+K48)</f>
        <v/>
      </c>
      <c r="M48" s="4" t="str">
        <f aca="false">IF($A48="","",IF(AND(D48+G48+J48&gt;0,SUMIFS(Recepciones!$C$5:$C$2000,Recepciones!$A$5:$A$2000,"&gt;"&amp;$A47,Recepciones!$A$5:$A$2000,"&lt;="&amp;$A48)=0),"Aumento de stock sin recepción registrada",IF(B48&gt;1,"Intervalo de "&amp;B48&amp;" días","")))</f>
        <v/>
      </c>
    </row>
    <row r="49" customFormat="false" ht="15" hidden="false" customHeight="false" outlineLevel="0" collapsed="false">
      <c r="A49" s="5" t="str">
        <f aca="false">IF(Stock_Diario!A49="","",Stock_Diario!A49)</f>
        <v/>
      </c>
      <c r="B49" s="4" t="str">
        <f aca="false">IF($A49="","",$A49-$A48)</f>
        <v/>
      </c>
      <c r="C49" s="24" t="str">
        <f aca="false">IF($A49="","",Stock_Diario!E49)</f>
        <v/>
      </c>
      <c r="D49" s="24" t="str">
        <f aca="false">IF($A49="","",IF(SUMIFS(Recepciones!$C$5:$C$2000,Recepciones!$B$5:$B$2000,Config!$A$23,Recepciones!$A$5:$A$2000,"&gt;"&amp;$A48,Recepciones!$A$5:$A$2000,"&lt;="&amp;$A49)&gt;0,SUMIFS(Recepciones!$C$5:$C$2000,Recepciones!$B$5:$B$2000,Config!$A$23,Recepciones!$A$5:$A$2000,"&gt;"&amp;$A48,Recepciones!$A$5:$A$2000,"&lt;="&amp;$A49),MAX(0,C49-C48)))</f>
        <v/>
      </c>
      <c r="E49" s="24" t="str">
        <f aca="false">IF($A49="","",MAX(0,C48+D49-C49))</f>
        <v/>
      </c>
      <c r="F49" s="24" t="str">
        <f aca="false">IF($A49="","",Stock_Diario!F49)</f>
        <v/>
      </c>
      <c r="G49" s="24" t="str">
        <f aca="false">IF($A49="","",IF(SUMIFS(Recepciones!$C$5:$C$2000,Recepciones!$B$5:$B$2000,Config!$A$24,Recepciones!$A$5:$A$2000,"&gt;"&amp;$A48,Recepciones!$A$5:$A$2000,"&lt;="&amp;$A49)&gt;0,SUMIFS(Recepciones!$C$5:$C$2000,Recepciones!$B$5:$B$2000,Config!$A$24,Recepciones!$A$5:$A$2000,"&gt;"&amp;$A48,Recepciones!$A$5:$A$2000,"&lt;="&amp;$A49),MAX(0,F49-F48)))</f>
        <v/>
      </c>
      <c r="H49" s="24" t="str">
        <f aca="false">IF($A49="","",MAX(0,F48+G49-F49))</f>
        <v/>
      </c>
      <c r="I49" s="24" t="str">
        <f aca="false">IF($A49="","",Stock_Diario!G49)</f>
        <v/>
      </c>
      <c r="J49" s="24" t="str">
        <f aca="false">IF($A49="","",IF(SUMIFS(Recepciones!$C$5:$C$2000,Recepciones!$B$5:$B$2000,Config!$A$25,Recepciones!$A$5:$A$2000,"&gt;"&amp;$A48,Recepciones!$A$5:$A$2000,"&lt;="&amp;$A49)&gt;0,SUMIFS(Recepciones!$C$5:$C$2000,Recepciones!$B$5:$B$2000,Config!$A$25,Recepciones!$A$5:$A$2000,"&gt;"&amp;$A48,Recepciones!$A$5:$A$2000,"&lt;="&amp;$A49),MAX(0,I49-I48)))</f>
        <v/>
      </c>
      <c r="K49" s="24" t="str">
        <f aca="false">IF($A49="","",MAX(0,I48+J49-I49))</f>
        <v/>
      </c>
      <c r="L49" s="24" t="str">
        <f aca="false">IF($A49="","",E49+H49+K49)</f>
        <v/>
      </c>
      <c r="M49" s="4" t="str">
        <f aca="false">IF($A49="","",IF(AND(D49+G49+J49&gt;0,SUMIFS(Recepciones!$C$5:$C$2000,Recepciones!$A$5:$A$2000,"&gt;"&amp;$A48,Recepciones!$A$5:$A$2000,"&lt;="&amp;$A49)=0),"Aumento de stock sin recepción registrada",IF(B49&gt;1,"Intervalo de "&amp;B49&amp;" días","")))</f>
        <v/>
      </c>
    </row>
    <row r="50" customFormat="false" ht="15" hidden="false" customHeight="false" outlineLevel="0" collapsed="false">
      <c r="A50" s="5" t="str">
        <f aca="false">IF(Stock_Diario!A50="","",Stock_Diario!A50)</f>
        <v/>
      </c>
      <c r="B50" s="4" t="str">
        <f aca="false">IF($A50="","",$A50-$A49)</f>
        <v/>
      </c>
      <c r="C50" s="24" t="str">
        <f aca="false">IF($A50="","",Stock_Diario!E50)</f>
        <v/>
      </c>
      <c r="D50" s="24" t="str">
        <f aca="false">IF($A50="","",IF(SUMIFS(Recepciones!$C$5:$C$2000,Recepciones!$B$5:$B$2000,Config!$A$23,Recepciones!$A$5:$A$2000,"&gt;"&amp;$A49,Recepciones!$A$5:$A$2000,"&lt;="&amp;$A50)&gt;0,SUMIFS(Recepciones!$C$5:$C$2000,Recepciones!$B$5:$B$2000,Config!$A$23,Recepciones!$A$5:$A$2000,"&gt;"&amp;$A49,Recepciones!$A$5:$A$2000,"&lt;="&amp;$A50),MAX(0,C50-C49)))</f>
        <v/>
      </c>
      <c r="E50" s="24" t="str">
        <f aca="false">IF($A50="","",MAX(0,C49+D50-C50))</f>
        <v/>
      </c>
      <c r="F50" s="24" t="str">
        <f aca="false">IF($A50="","",Stock_Diario!F50)</f>
        <v/>
      </c>
      <c r="G50" s="24" t="str">
        <f aca="false">IF($A50="","",IF(SUMIFS(Recepciones!$C$5:$C$2000,Recepciones!$B$5:$B$2000,Config!$A$24,Recepciones!$A$5:$A$2000,"&gt;"&amp;$A49,Recepciones!$A$5:$A$2000,"&lt;="&amp;$A50)&gt;0,SUMIFS(Recepciones!$C$5:$C$2000,Recepciones!$B$5:$B$2000,Config!$A$24,Recepciones!$A$5:$A$2000,"&gt;"&amp;$A49,Recepciones!$A$5:$A$2000,"&lt;="&amp;$A50),MAX(0,F50-F49)))</f>
        <v/>
      </c>
      <c r="H50" s="24" t="str">
        <f aca="false">IF($A50="","",MAX(0,F49+G50-F50))</f>
        <v/>
      </c>
      <c r="I50" s="24" t="str">
        <f aca="false">IF($A50="","",Stock_Diario!G50)</f>
        <v/>
      </c>
      <c r="J50" s="24" t="str">
        <f aca="false">IF($A50="","",IF(SUMIFS(Recepciones!$C$5:$C$2000,Recepciones!$B$5:$B$2000,Config!$A$25,Recepciones!$A$5:$A$2000,"&gt;"&amp;$A49,Recepciones!$A$5:$A$2000,"&lt;="&amp;$A50)&gt;0,SUMIFS(Recepciones!$C$5:$C$2000,Recepciones!$B$5:$B$2000,Config!$A$25,Recepciones!$A$5:$A$2000,"&gt;"&amp;$A49,Recepciones!$A$5:$A$2000,"&lt;="&amp;$A50),MAX(0,I50-I49)))</f>
        <v/>
      </c>
      <c r="K50" s="24" t="str">
        <f aca="false">IF($A50="","",MAX(0,I49+J50-I50))</f>
        <v/>
      </c>
      <c r="L50" s="24" t="str">
        <f aca="false">IF($A50="","",E50+H50+K50)</f>
        <v/>
      </c>
      <c r="M50" s="4" t="str">
        <f aca="false">IF($A50="","",IF(AND(D50+G50+J50&gt;0,SUMIFS(Recepciones!$C$5:$C$2000,Recepciones!$A$5:$A$2000,"&gt;"&amp;$A49,Recepciones!$A$5:$A$2000,"&lt;="&amp;$A50)=0),"Aumento de stock sin recepción registrada",IF(B50&gt;1,"Intervalo de "&amp;B50&amp;" días","")))</f>
        <v/>
      </c>
    </row>
    <row r="51" customFormat="false" ht="15" hidden="false" customHeight="false" outlineLevel="0" collapsed="false">
      <c r="A51" s="5" t="str">
        <f aca="false">IF(Stock_Diario!A51="","",Stock_Diario!A51)</f>
        <v/>
      </c>
      <c r="B51" s="4" t="str">
        <f aca="false">IF($A51="","",$A51-$A50)</f>
        <v/>
      </c>
      <c r="C51" s="24" t="str">
        <f aca="false">IF($A51="","",Stock_Diario!E51)</f>
        <v/>
      </c>
      <c r="D51" s="24" t="str">
        <f aca="false">IF($A51="","",IF(SUMIFS(Recepciones!$C$5:$C$2000,Recepciones!$B$5:$B$2000,Config!$A$23,Recepciones!$A$5:$A$2000,"&gt;"&amp;$A50,Recepciones!$A$5:$A$2000,"&lt;="&amp;$A51)&gt;0,SUMIFS(Recepciones!$C$5:$C$2000,Recepciones!$B$5:$B$2000,Config!$A$23,Recepciones!$A$5:$A$2000,"&gt;"&amp;$A50,Recepciones!$A$5:$A$2000,"&lt;="&amp;$A51),MAX(0,C51-C50)))</f>
        <v/>
      </c>
      <c r="E51" s="24" t="str">
        <f aca="false">IF($A51="","",MAX(0,C50+D51-C51))</f>
        <v/>
      </c>
      <c r="F51" s="24" t="str">
        <f aca="false">IF($A51="","",Stock_Diario!F51)</f>
        <v/>
      </c>
      <c r="G51" s="24" t="str">
        <f aca="false">IF($A51="","",IF(SUMIFS(Recepciones!$C$5:$C$2000,Recepciones!$B$5:$B$2000,Config!$A$24,Recepciones!$A$5:$A$2000,"&gt;"&amp;$A50,Recepciones!$A$5:$A$2000,"&lt;="&amp;$A51)&gt;0,SUMIFS(Recepciones!$C$5:$C$2000,Recepciones!$B$5:$B$2000,Config!$A$24,Recepciones!$A$5:$A$2000,"&gt;"&amp;$A50,Recepciones!$A$5:$A$2000,"&lt;="&amp;$A51),MAX(0,F51-F50)))</f>
        <v/>
      </c>
      <c r="H51" s="24" t="str">
        <f aca="false">IF($A51="","",MAX(0,F50+G51-F51))</f>
        <v/>
      </c>
      <c r="I51" s="24" t="str">
        <f aca="false">IF($A51="","",Stock_Diario!G51)</f>
        <v/>
      </c>
      <c r="J51" s="24" t="str">
        <f aca="false">IF($A51="","",IF(SUMIFS(Recepciones!$C$5:$C$2000,Recepciones!$B$5:$B$2000,Config!$A$25,Recepciones!$A$5:$A$2000,"&gt;"&amp;$A50,Recepciones!$A$5:$A$2000,"&lt;="&amp;$A51)&gt;0,SUMIFS(Recepciones!$C$5:$C$2000,Recepciones!$B$5:$B$2000,Config!$A$25,Recepciones!$A$5:$A$2000,"&gt;"&amp;$A50,Recepciones!$A$5:$A$2000,"&lt;="&amp;$A51),MAX(0,I51-I50)))</f>
        <v/>
      </c>
      <c r="K51" s="24" t="str">
        <f aca="false">IF($A51="","",MAX(0,I50+J51-I51))</f>
        <v/>
      </c>
      <c r="L51" s="24" t="str">
        <f aca="false">IF($A51="","",E51+H51+K51)</f>
        <v/>
      </c>
      <c r="M51" s="4" t="str">
        <f aca="false">IF($A51="","",IF(AND(D51+G51+J51&gt;0,SUMIFS(Recepciones!$C$5:$C$2000,Recepciones!$A$5:$A$2000,"&gt;"&amp;$A50,Recepciones!$A$5:$A$2000,"&lt;="&amp;$A51)=0),"Aumento de stock sin recepción registrada",IF(B51&gt;1,"Intervalo de "&amp;B51&amp;" días","")))</f>
        <v/>
      </c>
    </row>
    <row r="52" customFormat="false" ht="15" hidden="false" customHeight="false" outlineLevel="0" collapsed="false">
      <c r="A52" s="5" t="str">
        <f aca="false">IF(Stock_Diario!A52="","",Stock_Diario!A52)</f>
        <v/>
      </c>
      <c r="B52" s="4" t="str">
        <f aca="false">IF($A52="","",$A52-$A51)</f>
        <v/>
      </c>
      <c r="C52" s="24" t="str">
        <f aca="false">IF($A52="","",Stock_Diario!E52)</f>
        <v/>
      </c>
      <c r="D52" s="24" t="str">
        <f aca="false">IF($A52="","",IF(SUMIFS(Recepciones!$C$5:$C$2000,Recepciones!$B$5:$B$2000,Config!$A$23,Recepciones!$A$5:$A$2000,"&gt;"&amp;$A51,Recepciones!$A$5:$A$2000,"&lt;="&amp;$A52)&gt;0,SUMIFS(Recepciones!$C$5:$C$2000,Recepciones!$B$5:$B$2000,Config!$A$23,Recepciones!$A$5:$A$2000,"&gt;"&amp;$A51,Recepciones!$A$5:$A$2000,"&lt;="&amp;$A52),MAX(0,C52-C51)))</f>
        <v/>
      </c>
      <c r="E52" s="24" t="str">
        <f aca="false">IF($A52="","",MAX(0,C51+D52-C52))</f>
        <v/>
      </c>
      <c r="F52" s="24" t="str">
        <f aca="false">IF($A52="","",Stock_Diario!F52)</f>
        <v/>
      </c>
      <c r="G52" s="24" t="str">
        <f aca="false">IF($A52="","",IF(SUMIFS(Recepciones!$C$5:$C$2000,Recepciones!$B$5:$B$2000,Config!$A$24,Recepciones!$A$5:$A$2000,"&gt;"&amp;$A51,Recepciones!$A$5:$A$2000,"&lt;="&amp;$A52)&gt;0,SUMIFS(Recepciones!$C$5:$C$2000,Recepciones!$B$5:$B$2000,Config!$A$24,Recepciones!$A$5:$A$2000,"&gt;"&amp;$A51,Recepciones!$A$5:$A$2000,"&lt;="&amp;$A52),MAX(0,F52-F51)))</f>
        <v/>
      </c>
      <c r="H52" s="24" t="str">
        <f aca="false">IF($A52="","",MAX(0,F51+G52-F52))</f>
        <v/>
      </c>
      <c r="I52" s="24" t="str">
        <f aca="false">IF($A52="","",Stock_Diario!G52)</f>
        <v/>
      </c>
      <c r="J52" s="24" t="str">
        <f aca="false">IF($A52="","",IF(SUMIFS(Recepciones!$C$5:$C$2000,Recepciones!$B$5:$B$2000,Config!$A$25,Recepciones!$A$5:$A$2000,"&gt;"&amp;$A51,Recepciones!$A$5:$A$2000,"&lt;="&amp;$A52)&gt;0,SUMIFS(Recepciones!$C$5:$C$2000,Recepciones!$B$5:$B$2000,Config!$A$25,Recepciones!$A$5:$A$2000,"&gt;"&amp;$A51,Recepciones!$A$5:$A$2000,"&lt;="&amp;$A52),MAX(0,I52-I51)))</f>
        <v/>
      </c>
      <c r="K52" s="24" t="str">
        <f aca="false">IF($A52="","",MAX(0,I51+J52-I52))</f>
        <v/>
      </c>
      <c r="L52" s="24" t="str">
        <f aca="false">IF($A52="","",E52+H52+K52)</f>
        <v/>
      </c>
      <c r="M52" s="4" t="str">
        <f aca="false">IF($A52="","",IF(AND(D52+G52+J52&gt;0,SUMIFS(Recepciones!$C$5:$C$2000,Recepciones!$A$5:$A$2000,"&gt;"&amp;$A51,Recepciones!$A$5:$A$2000,"&lt;="&amp;$A52)=0),"Aumento de stock sin recepción registrada",IF(B52&gt;1,"Intervalo de "&amp;B52&amp;" días","")))</f>
        <v/>
      </c>
    </row>
    <row r="53" customFormat="false" ht="15" hidden="false" customHeight="false" outlineLevel="0" collapsed="false">
      <c r="A53" s="5" t="str">
        <f aca="false">IF(Stock_Diario!A53="","",Stock_Diario!A53)</f>
        <v/>
      </c>
      <c r="B53" s="4" t="str">
        <f aca="false">IF($A53="","",$A53-$A52)</f>
        <v/>
      </c>
      <c r="C53" s="24" t="str">
        <f aca="false">IF($A53="","",Stock_Diario!E53)</f>
        <v/>
      </c>
      <c r="D53" s="24" t="str">
        <f aca="false">IF($A53="","",IF(SUMIFS(Recepciones!$C$5:$C$2000,Recepciones!$B$5:$B$2000,Config!$A$23,Recepciones!$A$5:$A$2000,"&gt;"&amp;$A52,Recepciones!$A$5:$A$2000,"&lt;="&amp;$A53)&gt;0,SUMIFS(Recepciones!$C$5:$C$2000,Recepciones!$B$5:$B$2000,Config!$A$23,Recepciones!$A$5:$A$2000,"&gt;"&amp;$A52,Recepciones!$A$5:$A$2000,"&lt;="&amp;$A53),MAX(0,C53-C52)))</f>
        <v/>
      </c>
      <c r="E53" s="24" t="str">
        <f aca="false">IF($A53="","",MAX(0,C52+D53-C53))</f>
        <v/>
      </c>
      <c r="F53" s="24" t="str">
        <f aca="false">IF($A53="","",Stock_Diario!F53)</f>
        <v/>
      </c>
      <c r="G53" s="24" t="str">
        <f aca="false">IF($A53="","",IF(SUMIFS(Recepciones!$C$5:$C$2000,Recepciones!$B$5:$B$2000,Config!$A$24,Recepciones!$A$5:$A$2000,"&gt;"&amp;$A52,Recepciones!$A$5:$A$2000,"&lt;="&amp;$A53)&gt;0,SUMIFS(Recepciones!$C$5:$C$2000,Recepciones!$B$5:$B$2000,Config!$A$24,Recepciones!$A$5:$A$2000,"&gt;"&amp;$A52,Recepciones!$A$5:$A$2000,"&lt;="&amp;$A53),MAX(0,F53-F52)))</f>
        <v/>
      </c>
      <c r="H53" s="24" t="str">
        <f aca="false">IF($A53="","",MAX(0,F52+G53-F53))</f>
        <v/>
      </c>
      <c r="I53" s="24" t="str">
        <f aca="false">IF($A53="","",Stock_Diario!G53)</f>
        <v/>
      </c>
      <c r="J53" s="24" t="str">
        <f aca="false">IF($A53="","",IF(SUMIFS(Recepciones!$C$5:$C$2000,Recepciones!$B$5:$B$2000,Config!$A$25,Recepciones!$A$5:$A$2000,"&gt;"&amp;$A52,Recepciones!$A$5:$A$2000,"&lt;="&amp;$A53)&gt;0,SUMIFS(Recepciones!$C$5:$C$2000,Recepciones!$B$5:$B$2000,Config!$A$25,Recepciones!$A$5:$A$2000,"&gt;"&amp;$A52,Recepciones!$A$5:$A$2000,"&lt;="&amp;$A53),MAX(0,I53-I52)))</f>
        <v/>
      </c>
      <c r="K53" s="24" t="str">
        <f aca="false">IF($A53="","",MAX(0,I52+J53-I53))</f>
        <v/>
      </c>
      <c r="L53" s="24" t="str">
        <f aca="false">IF($A53="","",E53+H53+K53)</f>
        <v/>
      </c>
      <c r="M53" s="4" t="str">
        <f aca="false">IF($A53="","",IF(AND(D53+G53+J53&gt;0,SUMIFS(Recepciones!$C$5:$C$2000,Recepciones!$A$5:$A$2000,"&gt;"&amp;$A52,Recepciones!$A$5:$A$2000,"&lt;="&amp;$A53)=0),"Aumento de stock sin recepción registrada",IF(B53&gt;1,"Intervalo de "&amp;B53&amp;" días","")))</f>
        <v/>
      </c>
    </row>
    <row r="54" customFormat="false" ht="15" hidden="false" customHeight="false" outlineLevel="0" collapsed="false">
      <c r="A54" s="5" t="str">
        <f aca="false">IF(Stock_Diario!A54="","",Stock_Diario!A54)</f>
        <v/>
      </c>
      <c r="B54" s="4" t="str">
        <f aca="false">IF($A54="","",$A54-$A53)</f>
        <v/>
      </c>
      <c r="C54" s="24" t="str">
        <f aca="false">IF($A54="","",Stock_Diario!E54)</f>
        <v/>
      </c>
      <c r="D54" s="24" t="str">
        <f aca="false">IF($A54="","",IF(SUMIFS(Recepciones!$C$5:$C$2000,Recepciones!$B$5:$B$2000,Config!$A$23,Recepciones!$A$5:$A$2000,"&gt;"&amp;$A53,Recepciones!$A$5:$A$2000,"&lt;="&amp;$A54)&gt;0,SUMIFS(Recepciones!$C$5:$C$2000,Recepciones!$B$5:$B$2000,Config!$A$23,Recepciones!$A$5:$A$2000,"&gt;"&amp;$A53,Recepciones!$A$5:$A$2000,"&lt;="&amp;$A54),MAX(0,C54-C53)))</f>
        <v/>
      </c>
      <c r="E54" s="24" t="str">
        <f aca="false">IF($A54="","",MAX(0,C53+D54-C54))</f>
        <v/>
      </c>
      <c r="F54" s="24" t="str">
        <f aca="false">IF($A54="","",Stock_Diario!F54)</f>
        <v/>
      </c>
      <c r="G54" s="24" t="str">
        <f aca="false">IF($A54="","",IF(SUMIFS(Recepciones!$C$5:$C$2000,Recepciones!$B$5:$B$2000,Config!$A$24,Recepciones!$A$5:$A$2000,"&gt;"&amp;$A53,Recepciones!$A$5:$A$2000,"&lt;="&amp;$A54)&gt;0,SUMIFS(Recepciones!$C$5:$C$2000,Recepciones!$B$5:$B$2000,Config!$A$24,Recepciones!$A$5:$A$2000,"&gt;"&amp;$A53,Recepciones!$A$5:$A$2000,"&lt;="&amp;$A54),MAX(0,F54-F53)))</f>
        <v/>
      </c>
      <c r="H54" s="24" t="str">
        <f aca="false">IF($A54="","",MAX(0,F53+G54-F54))</f>
        <v/>
      </c>
      <c r="I54" s="24" t="str">
        <f aca="false">IF($A54="","",Stock_Diario!G54)</f>
        <v/>
      </c>
      <c r="J54" s="24" t="str">
        <f aca="false">IF($A54="","",IF(SUMIFS(Recepciones!$C$5:$C$2000,Recepciones!$B$5:$B$2000,Config!$A$25,Recepciones!$A$5:$A$2000,"&gt;"&amp;$A53,Recepciones!$A$5:$A$2000,"&lt;="&amp;$A54)&gt;0,SUMIFS(Recepciones!$C$5:$C$2000,Recepciones!$B$5:$B$2000,Config!$A$25,Recepciones!$A$5:$A$2000,"&gt;"&amp;$A53,Recepciones!$A$5:$A$2000,"&lt;="&amp;$A54),MAX(0,I54-I53)))</f>
        <v/>
      </c>
      <c r="K54" s="24" t="str">
        <f aca="false">IF($A54="","",MAX(0,I53+J54-I54))</f>
        <v/>
      </c>
      <c r="L54" s="24" t="str">
        <f aca="false">IF($A54="","",E54+H54+K54)</f>
        <v/>
      </c>
      <c r="M54" s="4" t="str">
        <f aca="false">IF($A54="","",IF(AND(D54+G54+J54&gt;0,SUMIFS(Recepciones!$C$5:$C$2000,Recepciones!$A$5:$A$2000,"&gt;"&amp;$A53,Recepciones!$A$5:$A$2000,"&lt;="&amp;$A54)=0),"Aumento de stock sin recepción registrada",IF(B54&gt;1,"Intervalo de "&amp;B54&amp;" días","")))</f>
        <v/>
      </c>
    </row>
    <row r="55" customFormat="false" ht="15" hidden="false" customHeight="false" outlineLevel="0" collapsed="false">
      <c r="A55" s="5" t="str">
        <f aca="false">IF(Stock_Diario!A55="","",Stock_Diario!A55)</f>
        <v/>
      </c>
      <c r="B55" s="4" t="str">
        <f aca="false">IF($A55="","",$A55-$A54)</f>
        <v/>
      </c>
      <c r="C55" s="24" t="str">
        <f aca="false">IF($A55="","",Stock_Diario!E55)</f>
        <v/>
      </c>
      <c r="D55" s="24" t="str">
        <f aca="false">IF($A55="","",IF(SUMIFS(Recepciones!$C$5:$C$2000,Recepciones!$B$5:$B$2000,Config!$A$23,Recepciones!$A$5:$A$2000,"&gt;"&amp;$A54,Recepciones!$A$5:$A$2000,"&lt;="&amp;$A55)&gt;0,SUMIFS(Recepciones!$C$5:$C$2000,Recepciones!$B$5:$B$2000,Config!$A$23,Recepciones!$A$5:$A$2000,"&gt;"&amp;$A54,Recepciones!$A$5:$A$2000,"&lt;="&amp;$A55),MAX(0,C55-C54)))</f>
        <v/>
      </c>
      <c r="E55" s="24" t="str">
        <f aca="false">IF($A55="","",MAX(0,C54+D55-C55))</f>
        <v/>
      </c>
      <c r="F55" s="24" t="str">
        <f aca="false">IF($A55="","",Stock_Diario!F55)</f>
        <v/>
      </c>
      <c r="G55" s="24" t="str">
        <f aca="false">IF($A55="","",IF(SUMIFS(Recepciones!$C$5:$C$2000,Recepciones!$B$5:$B$2000,Config!$A$24,Recepciones!$A$5:$A$2000,"&gt;"&amp;$A54,Recepciones!$A$5:$A$2000,"&lt;="&amp;$A55)&gt;0,SUMIFS(Recepciones!$C$5:$C$2000,Recepciones!$B$5:$B$2000,Config!$A$24,Recepciones!$A$5:$A$2000,"&gt;"&amp;$A54,Recepciones!$A$5:$A$2000,"&lt;="&amp;$A55),MAX(0,F55-F54)))</f>
        <v/>
      </c>
      <c r="H55" s="24" t="str">
        <f aca="false">IF($A55="","",MAX(0,F54+G55-F55))</f>
        <v/>
      </c>
      <c r="I55" s="24" t="str">
        <f aca="false">IF($A55="","",Stock_Diario!G55)</f>
        <v/>
      </c>
      <c r="J55" s="24" t="str">
        <f aca="false">IF($A55="","",IF(SUMIFS(Recepciones!$C$5:$C$2000,Recepciones!$B$5:$B$2000,Config!$A$25,Recepciones!$A$5:$A$2000,"&gt;"&amp;$A54,Recepciones!$A$5:$A$2000,"&lt;="&amp;$A55)&gt;0,SUMIFS(Recepciones!$C$5:$C$2000,Recepciones!$B$5:$B$2000,Config!$A$25,Recepciones!$A$5:$A$2000,"&gt;"&amp;$A54,Recepciones!$A$5:$A$2000,"&lt;="&amp;$A55),MAX(0,I55-I54)))</f>
        <v/>
      </c>
      <c r="K55" s="24" t="str">
        <f aca="false">IF($A55="","",MAX(0,I54+J55-I55))</f>
        <v/>
      </c>
      <c r="L55" s="24" t="str">
        <f aca="false">IF($A55="","",E55+H55+K55)</f>
        <v/>
      </c>
      <c r="M55" s="4" t="str">
        <f aca="false">IF($A55="","",IF(AND(D55+G55+J55&gt;0,SUMIFS(Recepciones!$C$5:$C$2000,Recepciones!$A$5:$A$2000,"&gt;"&amp;$A54,Recepciones!$A$5:$A$2000,"&lt;="&amp;$A55)=0),"Aumento de stock sin recepción registrada",IF(B55&gt;1,"Intervalo de "&amp;B55&amp;" días","")))</f>
        <v/>
      </c>
    </row>
    <row r="56" customFormat="false" ht="15" hidden="false" customHeight="false" outlineLevel="0" collapsed="false">
      <c r="A56" s="5" t="str">
        <f aca="false">IF(Stock_Diario!A56="","",Stock_Diario!A56)</f>
        <v/>
      </c>
      <c r="B56" s="4" t="str">
        <f aca="false">IF($A56="","",$A56-$A55)</f>
        <v/>
      </c>
      <c r="C56" s="24" t="str">
        <f aca="false">IF($A56="","",Stock_Diario!E56)</f>
        <v/>
      </c>
      <c r="D56" s="24" t="str">
        <f aca="false">IF($A56="","",IF(SUMIFS(Recepciones!$C$5:$C$2000,Recepciones!$B$5:$B$2000,Config!$A$23,Recepciones!$A$5:$A$2000,"&gt;"&amp;$A55,Recepciones!$A$5:$A$2000,"&lt;="&amp;$A56)&gt;0,SUMIFS(Recepciones!$C$5:$C$2000,Recepciones!$B$5:$B$2000,Config!$A$23,Recepciones!$A$5:$A$2000,"&gt;"&amp;$A55,Recepciones!$A$5:$A$2000,"&lt;="&amp;$A56),MAX(0,C56-C55)))</f>
        <v/>
      </c>
      <c r="E56" s="24" t="str">
        <f aca="false">IF($A56="","",MAX(0,C55+D56-C56))</f>
        <v/>
      </c>
      <c r="F56" s="24" t="str">
        <f aca="false">IF($A56="","",Stock_Diario!F56)</f>
        <v/>
      </c>
      <c r="G56" s="24" t="str">
        <f aca="false">IF($A56="","",IF(SUMIFS(Recepciones!$C$5:$C$2000,Recepciones!$B$5:$B$2000,Config!$A$24,Recepciones!$A$5:$A$2000,"&gt;"&amp;$A55,Recepciones!$A$5:$A$2000,"&lt;="&amp;$A56)&gt;0,SUMIFS(Recepciones!$C$5:$C$2000,Recepciones!$B$5:$B$2000,Config!$A$24,Recepciones!$A$5:$A$2000,"&gt;"&amp;$A55,Recepciones!$A$5:$A$2000,"&lt;="&amp;$A56),MAX(0,F56-F55)))</f>
        <v/>
      </c>
      <c r="H56" s="24" t="str">
        <f aca="false">IF($A56="","",MAX(0,F55+G56-F56))</f>
        <v/>
      </c>
      <c r="I56" s="24" t="str">
        <f aca="false">IF($A56="","",Stock_Diario!G56)</f>
        <v/>
      </c>
      <c r="J56" s="24" t="str">
        <f aca="false">IF($A56="","",IF(SUMIFS(Recepciones!$C$5:$C$2000,Recepciones!$B$5:$B$2000,Config!$A$25,Recepciones!$A$5:$A$2000,"&gt;"&amp;$A55,Recepciones!$A$5:$A$2000,"&lt;="&amp;$A56)&gt;0,SUMIFS(Recepciones!$C$5:$C$2000,Recepciones!$B$5:$B$2000,Config!$A$25,Recepciones!$A$5:$A$2000,"&gt;"&amp;$A55,Recepciones!$A$5:$A$2000,"&lt;="&amp;$A56),MAX(0,I56-I55)))</f>
        <v/>
      </c>
      <c r="K56" s="24" t="str">
        <f aca="false">IF($A56="","",MAX(0,I55+J56-I56))</f>
        <v/>
      </c>
      <c r="L56" s="24" t="str">
        <f aca="false">IF($A56="","",E56+H56+K56)</f>
        <v/>
      </c>
      <c r="M56" s="4" t="str">
        <f aca="false">IF($A56="","",IF(AND(D56+G56+J56&gt;0,SUMIFS(Recepciones!$C$5:$C$2000,Recepciones!$A$5:$A$2000,"&gt;"&amp;$A55,Recepciones!$A$5:$A$2000,"&lt;="&amp;$A56)=0),"Aumento de stock sin recepción registrada",IF(B56&gt;1,"Intervalo de "&amp;B56&amp;" días","")))</f>
        <v/>
      </c>
    </row>
    <row r="57" customFormat="false" ht="15" hidden="false" customHeight="false" outlineLevel="0" collapsed="false">
      <c r="A57" s="5" t="str">
        <f aca="false">IF(Stock_Diario!A57="","",Stock_Diario!A57)</f>
        <v/>
      </c>
      <c r="B57" s="4" t="str">
        <f aca="false">IF($A57="","",$A57-$A56)</f>
        <v/>
      </c>
      <c r="C57" s="24" t="str">
        <f aca="false">IF($A57="","",Stock_Diario!E57)</f>
        <v/>
      </c>
      <c r="D57" s="24" t="str">
        <f aca="false">IF($A57="","",IF(SUMIFS(Recepciones!$C$5:$C$2000,Recepciones!$B$5:$B$2000,Config!$A$23,Recepciones!$A$5:$A$2000,"&gt;"&amp;$A56,Recepciones!$A$5:$A$2000,"&lt;="&amp;$A57)&gt;0,SUMIFS(Recepciones!$C$5:$C$2000,Recepciones!$B$5:$B$2000,Config!$A$23,Recepciones!$A$5:$A$2000,"&gt;"&amp;$A56,Recepciones!$A$5:$A$2000,"&lt;="&amp;$A57),MAX(0,C57-C56)))</f>
        <v/>
      </c>
      <c r="E57" s="24" t="str">
        <f aca="false">IF($A57="","",MAX(0,C56+D57-C57))</f>
        <v/>
      </c>
      <c r="F57" s="24" t="str">
        <f aca="false">IF($A57="","",Stock_Diario!F57)</f>
        <v/>
      </c>
      <c r="G57" s="24" t="str">
        <f aca="false">IF($A57="","",IF(SUMIFS(Recepciones!$C$5:$C$2000,Recepciones!$B$5:$B$2000,Config!$A$24,Recepciones!$A$5:$A$2000,"&gt;"&amp;$A56,Recepciones!$A$5:$A$2000,"&lt;="&amp;$A57)&gt;0,SUMIFS(Recepciones!$C$5:$C$2000,Recepciones!$B$5:$B$2000,Config!$A$24,Recepciones!$A$5:$A$2000,"&gt;"&amp;$A56,Recepciones!$A$5:$A$2000,"&lt;="&amp;$A57),MAX(0,F57-F56)))</f>
        <v/>
      </c>
      <c r="H57" s="24" t="str">
        <f aca="false">IF($A57="","",MAX(0,F56+G57-F57))</f>
        <v/>
      </c>
      <c r="I57" s="24" t="str">
        <f aca="false">IF($A57="","",Stock_Diario!G57)</f>
        <v/>
      </c>
      <c r="J57" s="24" t="str">
        <f aca="false">IF($A57="","",IF(SUMIFS(Recepciones!$C$5:$C$2000,Recepciones!$B$5:$B$2000,Config!$A$25,Recepciones!$A$5:$A$2000,"&gt;"&amp;$A56,Recepciones!$A$5:$A$2000,"&lt;="&amp;$A57)&gt;0,SUMIFS(Recepciones!$C$5:$C$2000,Recepciones!$B$5:$B$2000,Config!$A$25,Recepciones!$A$5:$A$2000,"&gt;"&amp;$A56,Recepciones!$A$5:$A$2000,"&lt;="&amp;$A57),MAX(0,I57-I56)))</f>
        <v/>
      </c>
      <c r="K57" s="24" t="str">
        <f aca="false">IF($A57="","",MAX(0,I56+J57-I57))</f>
        <v/>
      </c>
      <c r="L57" s="24" t="str">
        <f aca="false">IF($A57="","",E57+H57+K57)</f>
        <v/>
      </c>
      <c r="M57" s="4" t="str">
        <f aca="false">IF($A57="","",IF(AND(D57+G57+J57&gt;0,SUMIFS(Recepciones!$C$5:$C$2000,Recepciones!$A$5:$A$2000,"&gt;"&amp;$A56,Recepciones!$A$5:$A$2000,"&lt;="&amp;$A57)=0),"Aumento de stock sin recepción registrada",IF(B57&gt;1,"Intervalo de "&amp;B57&amp;" días","")))</f>
        <v/>
      </c>
    </row>
    <row r="58" customFormat="false" ht="15" hidden="false" customHeight="false" outlineLevel="0" collapsed="false">
      <c r="A58" s="5" t="str">
        <f aca="false">IF(Stock_Diario!A58="","",Stock_Diario!A58)</f>
        <v/>
      </c>
      <c r="B58" s="4" t="str">
        <f aca="false">IF($A58="","",$A58-$A57)</f>
        <v/>
      </c>
      <c r="C58" s="24" t="str">
        <f aca="false">IF($A58="","",Stock_Diario!E58)</f>
        <v/>
      </c>
      <c r="D58" s="24" t="str">
        <f aca="false">IF($A58="","",IF(SUMIFS(Recepciones!$C$5:$C$2000,Recepciones!$B$5:$B$2000,Config!$A$23,Recepciones!$A$5:$A$2000,"&gt;"&amp;$A57,Recepciones!$A$5:$A$2000,"&lt;="&amp;$A58)&gt;0,SUMIFS(Recepciones!$C$5:$C$2000,Recepciones!$B$5:$B$2000,Config!$A$23,Recepciones!$A$5:$A$2000,"&gt;"&amp;$A57,Recepciones!$A$5:$A$2000,"&lt;="&amp;$A58),MAX(0,C58-C57)))</f>
        <v/>
      </c>
      <c r="E58" s="24" t="str">
        <f aca="false">IF($A58="","",MAX(0,C57+D58-C58))</f>
        <v/>
      </c>
      <c r="F58" s="24" t="str">
        <f aca="false">IF($A58="","",Stock_Diario!F58)</f>
        <v/>
      </c>
      <c r="G58" s="24" t="str">
        <f aca="false">IF($A58="","",IF(SUMIFS(Recepciones!$C$5:$C$2000,Recepciones!$B$5:$B$2000,Config!$A$24,Recepciones!$A$5:$A$2000,"&gt;"&amp;$A57,Recepciones!$A$5:$A$2000,"&lt;="&amp;$A58)&gt;0,SUMIFS(Recepciones!$C$5:$C$2000,Recepciones!$B$5:$B$2000,Config!$A$24,Recepciones!$A$5:$A$2000,"&gt;"&amp;$A57,Recepciones!$A$5:$A$2000,"&lt;="&amp;$A58),MAX(0,F58-F57)))</f>
        <v/>
      </c>
      <c r="H58" s="24" t="str">
        <f aca="false">IF($A58="","",MAX(0,F57+G58-F58))</f>
        <v/>
      </c>
      <c r="I58" s="24" t="str">
        <f aca="false">IF($A58="","",Stock_Diario!G58)</f>
        <v/>
      </c>
      <c r="J58" s="24" t="str">
        <f aca="false">IF($A58="","",IF(SUMIFS(Recepciones!$C$5:$C$2000,Recepciones!$B$5:$B$2000,Config!$A$25,Recepciones!$A$5:$A$2000,"&gt;"&amp;$A57,Recepciones!$A$5:$A$2000,"&lt;="&amp;$A58)&gt;0,SUMIFS(Recepciones!$C$5:$C$2000,Recepciones!$B$5:$B$2000,Config!$A$25,Recepciones!$A$5:$A$2000,"&gt;"&amp;$A57,Recepciones!$A$5:$A$2000,"&lt;="&amp;$A58),MAX(0,I58-I57)))</f>
        <v/>
      </c>
      <c r="K58" s="24" t="str">
        <f aca="false">IF($A58="","",MAX(0,I57+J58-I58))</f>
        <v/>
      </c>
      <c r="L58" s="24" t="str">
        <f aca="false">IF($A58="","",E58+H58+K58)</f>
        <v/>
      </c>
      <c r="M58" s="4" t="str">
        <f aca="false">IF($A58="","",IF(AND(D58+G58+J58&gt;0,SUMIFS(Recepciones!$C$5:$C$2000,Recepciones!$A$5:$A$2000,"&gt;"&amp;$A57,Recepciones!$A$5:$A$2000,"&lt;="&amp;$A58)=0),"Aumento de stock sin recepción registrada",IF(B58&gt;1,"Intervalo de "&amp;B58&amp;" días","")))</f>
        <v/>
      </c>
    </row>
    <row r="59" customFormat="false" ht="15" hidden="false" customHeight="false" outlineLevel="0" collapsed="false">
      <c r="A59" s="5" t="str">
        <f aca="false">IF(Stock_Diario!A59="","",Stock_Diario!A59)</f>
        <v/>
      </c>
      <c r="B59" s="4" t="str">
        <f aca="false">IF($A59="","",$A59-$A58)</f>
        <v/>
      </c>
      <c r="C59" s="24" t="str">
        <f aca="false">IF($A59="","",Stock_Diario!E59)</f>
        <v/>
      </c>
      <c r="D59" s="24" t="str">
        <f aca="false">IF($A59="","",IF(SUMIFS(Recepciones!$C$5:$C$2000,Recepciones!$B$5:$B$2000,Config!$A$23,Recepciones!$A$5:$A$2000,"&gt;"&amp;$A58,Recepciones!$A$5:$A$2000,"&lt;="&amp;$A59)&gt;0,SUMIFS(Recepciones!$C$5:$C$2000,Recepciones!$B$5:$B$2000,Config!$A$23,Recepciones!$A$5:$A$2000,"&gt;"&amp;$A58,Recepciones!$A$5:$A$2000,"&lt;="&amp;$A59),MAX(0,C59-C58)))</f>
        <v/>
      </c>
      <c r="E59" s="24" t="str">
        <f aca="false">IF($A59="","",MAX(0,C58+D59-C59))</f>
        <v/>
      </c>
      <c r="F59" s="24" t="str">
        <f aca="false">IF($A59="","",Stock_Diario!F59)</f>
        <v/>
      </c>
      <c r="G59" s="24" t="str">
        <f aca="false">IF($A59="","",IF(SUMIFS(Recepciones!$C$5:$C$2000,Recepciones!$B$5:$B$2000,Config!$A$24,Recepciones!$A$5:$A$2000,"&gt;"&amp;$A58,Recepciones!$A$5:$A$2000,"&lt;="&amp;$A59)&gt;0,SUMIFS(Recepciones!$C$5:$C$2000,Recepciones!$B$5:$B$2000,Config!$A$24,Recepciones!$A$5:$A$2000,"&gt;"&amp;$A58,Recepciones!$A$5:$A$2000,"&lt;="&amp;$A59),MAX(0,F59-F58)))</f>
        <v/>
      </c>
      <c r="H59" s="24" t="str">
        <f aca="false">IF($A59="","",MAX(0,F58+G59-F59))</f>
        <v/>
      </c>
      <c r="I59" s="24" t="str">
        <f aca="false">IF($A59="","",Stock_Diario!G59)</f>
        <v/>
      </c>
      <c r="J59" s="24" t="str">
        <f aca="false">IF($A59="","",IF(SUMIFS(Recepciones!$C$5:$C$2000,Recepciones!$B$5:$B$2000,Config!$A$25,Recepciones!$A$5:$A$2000,"&gt;"&amp;$A58,Recepciones!$A$5:$A$2000,"&lt;="&amp;$A59)&gt;0,SUMIFS(Recepciones!$C$5:$C$2000,Recepciones!$B$5:$B$2000,Config!$A$25,Recepciones!$A$5:$A$2000,"&gt;"&amp;$A58,Recepciones!$A$5:$A$2000,"&lt;="&amp;$A59),MAX(0,I59-I58)))</f>
        <v/>
      </c>
      <c r="K59" s="24" t="str">
        <f aca="false">IF($A59="","",MAX(0,I58+J59-I59))</f>
        <v/>
      </c>
      <c r="L59" s="24" t="str">
        <f aca="false">IF($A59="","",E59+H59+K59)</f>
        <v/>
      </c>
      <c r="M59" s="4" t="str">
        <f aca="false">IF($A59="","",IF(AND(D59+G59+J59&gt;0,SUMIFS(Recepciones!$C$5:$C$2000,Recepciones!$A$5:$A$2000,"&gt;"&amp;$A58,Recepciones!$A$5:$A$2000,"&lt;="&amp;$A59)=0),"Aumento de stock sin recepción registrada",IF(B59&gt;1,"Intervalo de "&amp;B59&amp;" días","")))</f>
        <v/>
      </c>
    </row>
    <row r="60" customFormat="false" ht="15" hidden="false" customHeight="false" outlineLevel="0" collapsed="false">
      <c r="A60" s="5" t="str">
        <f aca="false">IF(Stock_Diario!A60="","",Stock_Diario!A60)</f>
        <v/>
      </c>
      <c r="B60" s="4" t="str">
        <f aca="false">IF($A60="","",$A60-$A59)</f>
        <v/>
      </c>
      <c r="C60" s="24" t="str">
        <f aca="false">IF($A60="","",Stock_Diario!E60)</f>
        <v/>
      </c>
      <c r="D60" s="24" t="str">
        <f aca="false">IF($A60="","",IF(SUMIFS(Recepciones!$C$5:$C$2000,Recepciones!$B$5:$B$2000,Config!$A$23,Recepciones!$A$5:$A$2000,"&gt;"&amp;$A59,Recepciones!$A$5:$A$2000,"&lt;="&amp;$A60)&gt;0,SUMIFS(Recepciones!$C$5:$C$2000,Recepciones!$B$5:$B$2000,Config!$A$23,Recepciones!$A$5:$A$2000,"&gt;"&amp;$A59,Recepciones!$A$5:$A$2000,"&lt;="&amp;$A60),MAX(0,C60-C59)))</f>
        <v/>
      </c>
      <c r="E60" s="24" t="str">
        <f aca="false">IF($A60="","",MAX(0,C59+D60-C60))</f>
        <v/>
      </c>
      <c r="F60" s="24" t="str">
        <f aca="false">IF($A60="","",Stock_Diario!F60)</f>
        <v/>
      </c>
      <c r="G60" s="24" t="str">
        <f aca="false">IF($A60="","",IF(SUMIFS(Recepciones!$C$5:$C$2000,Recepciones!$B$5:$B$2000,Config!$A$24,Recepciones!$A$5:$A$2000,"&gt;"&amp;$A59,Recepciones!$A$5:$A$2000,"&lt;="&amp;$A60)&gt;0,SUMIFS(Recepciones!$C$5:$C$2000,Recepciones!$B$5:$B$2000,Config!$A$24,Recepciones!$A$5:$A$2000,"&gt;"&amp;$A59,Recepciones!$A$5:$A$2000,"&lt;="&amp;$A60),MAX(0,F60-F59)))</f>
        <v/>
      </c>
      <c r="H60" s="24" t="str">
        <f aca="false">IF($A60="","",MAX(0,F59+G60-F60))</f>
        <v/>
      </c>
      <c r="I60" s="24" t="str">
        <f aca="false">IF($A60="","",Stock_Diario!G60)</f>
        <v/>
      </c>
      <c r="J60" s="24" t="str">
        <f aca="false">IF($A60="","",IF(SUMIFS(Recepciones!$C$5:$C$2000,Recepciones!$B$5:$B$2000,Config!$A$25,Recepciones!$A$5:$A$2000,"&gt;"&amp;$A59,Recepciones!$A$5:$A$2000,"&lt;="&amp;$A60)&gt;0,SUMIFS(Recepciones!$C$5:$C$2000,Recepciones!$B$5:$B$2000,Config!$A$25,Recepciones!$A$5:$A$2000,"&gt;"&amp;$A59,Recepciones!$A$5:$A$2000,"&lt;="&amp;$A60),MAX(0,I60-I59)))</f>
        <v/>
      </c>
      <c r="K60" s="24" t="str">
        <f aca="false">IF($A60="","",MAX(0,I59+J60-I60))</f>
        <v/>
      </c>
      <c r="L60" s="24" t="str">
        <f aca="false">IF($A60="","",E60+H60+K60)</f>
        <v/>
      </c>
      <c r="M60" s="4" t="str">
        <f aca="false">IF($A60="","",IF(AND(D60+G60+J60&gt;0,SUMIFS(Recepciones!$C$5:$C$2000,Recepciones!$A$5:$A$2000,"&gt;"&amp;$A59,Recepciones!$A$5:$A$2000,"&lt;="&amp;$A60)=0),"Aumento de stock sin recepción registrada",IF(B60&gt;1,"Intervalo de "&amp;B60&amp;" días","")))</f>
        <v/>
      </c>
    </row>
    <row r="61" customFormat="false" ht="15" hidden="false" customHeight="false" outlineLevel="0" collapsed="false">
      <c r="A61" s="5" t="str">
        <f aca="false">IF(Stock_Diario!A61="","",Stock_Diario!A61)</f>
        <v/>
      </c>
      <c r="B61" s="4" t="str">
        <f aca="false">IF($A61="","",$A61-$A60)</f>
        <v/>
      </c>
      <c r="C61" s="24" t="str">
        <f aca="false">IF($A61="","",Stock_Diario!E61)</f>
        <v/>
      </c>
      <c r="D61" s="24" t="str">
        <f aca="false">IF($A61="","",IF(SUMIFS(Recepciones!$C$5:$C$2000,Recepciones!$B$5:$B$2000,Config!$A$23,Recepciones!$A$5:$A$2000,"&gt;"&amp;$A60,Recepciones!$A$5:$A$2000,"&lt;="&amp;$A61)&gt;0,SUMIFS(Recepciones!$C$5:$C$2000,Recepciones!$B$5:$B$2000,Config!$A$23,Recepciones!$A$5:$A$2000,"&gt;"&amp;$A60,Recepciones!$A$5:$A$2000,"&lt;="&amp;$A61),MAX(0,C61-C60)))</f>
        <v/>
      </c>
      <c r="E61" s="24" t="str">
        <f aca="false">IF($A61="","",MAX(0,C60+D61-C61))</f>
        <v/>
      </c>
      <c r="F61" s="24" t="str">
        <f aca="false">IF($A61="","",Stock_Diario!F61)</f>
        <v/>
      </c>
      <c r="G61" s="24" t="str">
        <f aca="false">IF($A61="","",IF(SUMIFS(Recepciones!$C$5:$C$2000,Recepciones!$B$5:$B$2000,Config!$A$24,Recepciones!$A$5:$A$2000,"&gt;"&amp;$A60,Recepciones!$A$5:$A$2000,"&lt;="&amp;$A61)&gt;0,SUMIFS(Recepciones!$C$5:$C$2000,Recepciones!$B$5:$B$2000,Config!$A$24,Recepciones!$A$5:$A$2000,"&gt;"&amp;$A60,Recepciones!$A$5:$A$2000,"&lt;="&amp;$A61),MAX(0,F61-F60)))</f>
        <v/>
      </c>
      <c r="H61" s="24" t="str">
        <f aca="false">IF($A61="","",MAX(0,F60+G61-F61))</f>
        <v/>
      </c>
      <c r="I61" s="24" t="str">
        <f aca="false">IF($A61="","",Stock_Diario!G61)</f>
        <v/>
      </c>
      <c r="J61" s="24" t="str">
        <f aca="false">IF($A61="","",IF(SUMIFS(Recepciones!$C$5:$C$2000,Recepciones!$B$5:$B$2000,Config!$A$25,Recepciones!$A$5:$A$2000,"&gt;"&amp;$A60,Recepciones!$A$5:$A$2000,"&lt;="&amp;$A61)&gt;0,SUMIFS(Recepciones!$C$5:$C$2000,Recepciones!$B$5:$B$2000,Config!$A$25,Recepciones!$A$5:$A$2000,"&gt;"&amp;$A60,Recepciones!$A$5:$A$2000,"&lt;="&amp;$A61),MAX(0,I61-I60)))</f>
        <v/>
      </c>
      <c r="K61" s="24" t="str">
        <f aca="false">IF($A61="","",MAX(0,I60+J61-I61))</f>
        <v/>
      </c>
      <c r="L61" s="24" t="str">
        <f aca="false">IF($A61="","",E61+H61+K61)</f>
        <v/>
      </c>
      <c r="M61" s="4" t="str">
        <f aca="false">IF($A61="","",IF(AND(D61+G61+J61&gt;0,SUMIFS(Recepciones!$C$5:$C$2000,Recepciones!$A$5:$A$2000,"&gt;"&amp;$A60,Recepciones!$A$5:$A$2000,"&lt;="&amp;$A61)=0),"Aumento de stock sin recepción registrada",IF(B61&gt;1,"Intervalo de "&amp;B61&amp;" días","")))</f>
        <v/>
      </c>
    </row>
    <row r="62" customFormat="false" ht="15" hidden="false" customHeight="false" outlineLevel="0" collapsed="false">
      <c r="A62" s="5" t="str">
        <f aca="false">IF(Stock_Diario!A62="","",Stock_Diario!A62)</f>
        <v/>
      </c>
      <c r="B62" s="4" t="str">
        <f aca="false">IF($A62="","",$A62-$A61)</f>
        <v/>
      </c>
      <c r="C62" s="24" t="str">
        <f aca="false">IF($A62="","",Stock_Diario!E62)</f>
        <v/>
      </c>
      <c r="D62" s="24" t="str">
        <f aca="false">IF($A62="","",IF(SUMIFS(Recepciones!$C$5:$C$2000,Recepciones!$B$5:$B$2000,Config!$A$23,Recepciones!$A$5:$A$2000,"&gt;"&amp;$A61,Recepciones!$A$5:$A$2000,"&lt;="&amp;$A62)&gt;0,SUMIFS(Recepciones!$C$5:$C$2000,Recepciones!$B$5:$B$2000,Config!$A$23,Recepciones!$A$5:$A$2000,"&gt;"&amp;$A61,Recepciones!$A$5:$A$2000,"&lt;="&amp;$A62),MAX(0,C62-C61)))</f>
        <v/>
      </c>
      <c r="E62" s="24" t="str">
        <f aca="false">IF($A62="","",MAX(0,C61+D62-C62))</f>
        <v/>
      </c>
      <c r="F62" s="24" t="str">
        <f aca="false">IF($A62="","",Stock_Diario!F62)</f>
        <v/>
      </c>
      <c r="G62" s="24" t="str">
        <f aca="false">IF($A62="","",IF(SUMIFS(Recepciones!$C$5:$C$2000,Recepciones!$B$5:$B$2000,Config!$A$24,Recepciones!$A$5:$A$2000,"&gt;"&amp;$A61,Recepciones!$A$5:$A$2000,"&lt;="&amp;$A62)&gt;0,SUMIFS(Recepciones!$C$5:$C$2000,Recepciones!$B$5:$B$2000,Config!$A$24,Recepciones!$A$5:$A$2000,"&gt;"&amp;$A61,Recepciones!$A$5:$A$2000,"&lt;="&amp;$A62),MAX(0,F62-F61)))</f>
        <v/>
      </c>
      <c r="H62" s="24" t="str">
        <f aca="false">IF($A62="","",MAX(0,F61+G62-F62))</f>
        <v/>
      </c>
      <c r="I62" s="24" t="str">
        <f aca="false">IF($A62="","",Stock_Diario!G62)</f>
        <v/>
      </c>
      <c r="J62" s="24" t="str">
        <f aca="false">IF($A62="","",IF(SUMIFS(Recepciones!$C$5:$C$2000,Recepciones!$B$5:$B$2000,Config!$A$25,Recepciones!$A$5:$A$2000,"&gt;"&amp;$A61,Recepciones!$A$5:$A$2000,"&lt;="&amp;$A62)&gt;0,SUMIFS(Recepciones!$C$5:$C$2000,Recepciones!$B$5:$B$2000,Config!$A$25,Recepciones!$A$5:$A$2000,"&gt;"&amp;$A61,Recepciones!$A$5:$A$2000,"&lt;="&amp;$A62),MAX(0,I62-I61)))</f>
        <v/>
      </c>
      <c r="K62" s="24" t="str">
        <f aca="false">IF($A62="","",MAX(0,I61+J62-I62))</f>
        <v/>
      </c>
      <c r="L62" s="24" t="str">
        <f aca="false">IF($A62="","",E62+H62+K62)</f>
        <v/>
      </c>
      <c r="M62" s="4" t="str">
        <f aca="false">IF($A62="","",IF(AND(D62+G62+J62&gt;0,SUMIFS(Recepciones!$C$5:$C$2000,Recepciones!$A$5:$A$2000,"&gt;"&amp;$A61,Recepciones!$A$5:$A$2000,"&lt;="&amp;$A62)=0),"Aumento de stock sin recepción registrada",IF(B62&gt;1,"Intervalo de "&amp;B62&amp;" días","")))</f>
        <v/>
      </c>
    </row>
    <row r="63" customFormat="false" ht="15" hidden="false" customHeight="false" outlineLevel="0" collapsed="false">
      <c r="A63" s="5" t="str">
        <f aca="false">IF(Stock_Diario!A63="","",Stock_Diario!A63)</f>
        <v/>
      </c>
      <c r="B63" s="4" t="str">
        <f aca="false">IF($A63="","",$A63-$A62)</f>
        <v/>
      </c>
      <c r="C63" s="24" t="str">
        <f aca="false">IF($A63="","",Stock_Diario!E63)</f>
        <v/>
      </c>
      <c r="D63" s="24" t="str">
        <f aca="false">IF($A63="","",IF(SUMIFS(Recepciones!$C$5:$C$2000,Recepciones!$B$5:$B$2000,Config!$A$23,Recepciones!$A$5:$A$2000,"&gt;"&amp;$A62,Recepciones!$A$5:$A$2000,"&lt;="&amp;$A63)&gt;0,SUMIFS(Recepciones!$C$5:$C$2000,Recepciones!$B$5:$B$2000,Config!$A$23,Recepciones!$A$5:$A$2000,"&gt;"&amp;$A62,Recepciones!$A$5:$A$2000,"&lt;="&amp;$A63),MAX(0,C63-C62)))</f>
        <v/>
      </c>
      <c r="E63" s="24" t="str">
        <f aca="false">IF($A63="","",MAX(0,C62+D63-C63))</f>
        <v/>
      </c>
      <c r="F63" s="24" t="str">
        <f aca="false">IF($A63="","",Stock_Diario!F63)</f>
        <v/>
      </c>
      <c r="G63" s="24" t="str">
        <f aca="false">IF($A63="","",IF(SUMIFS(Recepciones!$C$5:$C$2000,Recepciones!$B$5:$B$2000,Config!$A$24,Recepciones!$A$5:$A$2000,"&gt;"&amp;$A62,Recepciones!$A$5:$A$2000,"&lt;="&amp;$A63)&gt;0,SUMIFS(Recepciones!$C$5:$C$2000,Recepciones!$B$5:$B$2000,Config!$A$24,Recepciones!$A$5:$A$2000,"&gt;"&amp;$A62,Recepciones!$A$5:$A$2000,"&lt;="&amp;$A63),MAX(0,F63-F62)))</f>
        <v/>
      </c>
      <c r="H63" s="24" t="str">
        <f aca="false">IF($A63="","",MAX(0,F62+G63-F63))</f>
        <v/>
      </c>
      <c r="I63" s="24" t="str">
        <f aca="false">IF($A63="","",Stock_Diario!G63)</f>
        <v/>
      </c>
      <c r="J63" s="24" t="str">
        <f aca="false">IF($A63="","",IF(SUMIFS(Recepciones!$C$5:$C$2000,Recepciones!$B$5:$B$2000,Config!$A$25,Recepciones!$A$5:$A$2000,"&gt;"&amp;$A62,Recepciones!$A$5:$A$2000,"&lt;="&amp;$A63)&gt;0,SUMIFS(Recepciones!$C$5:$C$2000,Recepciones!$B$5:$B$2000,Config!$A$25,Recepciones!$A$5:$A$2000,"&gt;"&amp;$A62,Recepciones!$A$5:$A$2000,"&lt;="&amp;$A63),MAX(0,I63-I62)))</f>
        <v/>
      </c>
      <c r="K63" s="24" t="str">
        <f aca="false">IF($A63="","",MAX(0,I62+J63-I63))</f>
        <v/>
      </c>
      <c r="L63" s="24" t="str">
        <f aca="false">IF($A63="","",E63+H63+K63)</f>
        <v/>
      </c>
      <c r="M63" s="4" t="str">
        <f aca="false">IF($A63="","",IF(AND(D63+G63+J63&gt;0,SUMIFS(Recepciones!$C$5:$C$2000,Recepciones!$A$5:$A$2000,"&gt;"&amp;$A62,Recepciones!$A$5:$A$2000,"&lt;="&amp;$A63)=0),"Aumento de stock sin recepción registrada",IF(B63&gt;1,"Intervalo de "&amp;B63&amp;" días","")))</f>
        <v/>
      </c>
    </row>
    <row r="64" customFormat="false" ht="15" hidden="false" customHeight="false" outlineLevel="0" collapsed="false">
      <c r="A64" s="5" t="str">
        <f aca="false">IF(Stock_Diario!A64="","",Stock_Diario!A64)</f>
        <v/>
      </c>
      <c r="B64" s="4" t="str">
        <f aca="false">IF($A64="","",$A64-$A63)</f>
        <v/>
      </c>
      <c r="C64" s="24" t="str">
        <f aca="false">IF($A64="","",Stock_Diario!E64)</f>
        <v/>
      </c>
      <c r="D64" s="24" t="str">
        <f aca="false">IF($A64="","",IF(SUMIFS(Recepciones!$C$5:$C$2000,Recepciones!$B$5:$B$2000,Config!$A$23,Recepciones!$A$5:$A$2000,"&gt;"&amp;$A63,Recepciones!$A$5:$A$2000,"&lt;="&amp;$A64)&gt;0,SUMIFS(Recepciones!$C$5:$C$2000,Recepciones!$B$5:$B$2000,Config!$A$23,Recepciones!$A$5:$A$2000,"&gt;"&amp;$A63,Recepciones!$A$5:$A$2000,"&lt;="&amp;$A64),MAX(0,C64-C63)))</f>
        <v/>
      </c>
      <c r="E64" s="24" t="str">
        <f aca="false">IF($A64="","",MAX(0,C63+D64-C64))</f>
        <v/>
      </c>
      <c r="F64" s="24" t="str">
        <f aca="false">IF($A64="","",Stock_Diario!F64)</f>
        <v/>
      </c>
      <c r="G64" s="24" t="str">
        <f aca="false">IF($A64="","",IF(SUMIFS(Recepciones!$C$5:$C$2000,Recepciones!$B$5:$B$2000,Config!$A$24,Recepciones!$A$5:$A$2000,"&gt;"&amp;$A63,Recepciones!$A$5:$A$2000,"&lt;="&amp;$A64)&gt;0,SUMIFS(Recepciones!$C$5:$C$2000,Recepciones!$B$5:$B$2000,Config!$A$24,Recepciones!$A$5:$A$2000,"&gt;"&amp;$A63,Recepciones!$A$5:$A$2000,"&lt;="&amp;$A64),MAX(0,F64-F63)))</f>
        <v/>
      </c>
      <c r="H64" s="24" t="str">
        <f aca="false">IF($A64="","",MAX(0,F63+G64-F64))</f>
        <v/>
      </c>
      <c r="I64" s="24" t="str">
        <f aca="false">IF($A64="","",Stock_Diario!G64)</f>
        <v/>
      </c>
      <c r="J64" s="24" t="str">
        <f aca="false">IF($A64="","",IF(SUMIFS(Recepciones!$C$5:$C$2000,Recepciones!$B$5:$B$2000,Config!$A$25,Recepciones!$A$5:$A$2000,"&gt;"&amp;$A63,Recepciones!$A$5:$A$2000,"&lt;="&amp;$A64)&gt;0,SUMIFS(Recepciones!$C$5:$C$2000,Recepciones!$B$5:$B$2000,Config!$A$25,Recepciones!$A$5:$A$2000,"&gt;"&amp;$A63,Recepciones!$A$5:$A$2000,"&lt;="&amp;$A64),MAX(0,I64-I63)))</f>
        <v/>
      </c>
      <c r="K64" s="24" t="str">
        <f aca="false">IF($A64="","",MAX(0,I63+J64-I64))</f>
        <v/>
      </c>
      <c r="L64" s="24" t="str">
        <f aca="false">IF($A64="","",E64+H64+K64)</f>
        <v/>
      </c>
      <c r="M64" s="4" t="str">
        <f aca="false">IF($A64="","",IF(AND(D64+G64+J64&gt;0,SUMIFS(Recepciones!$C$5:$C$2000,Recepciones!$A$5:$A$2000,"&gt;"&amp;$A63,Recepciones!$A$5:$A$2000,"&lt;="&amp;$A64)=0),"Aumento de stock sin recepción registrada",IF(B64&gt;1,"Intervalo de "&amp;B64&amp;" días","")))</f>
        <v/>
      </c>
    </row>
    <row r="65" customFormat="false" ht="15" hidden="false" customHeight="false" outlineLevel="0" collapsed="false">
      <c r="A65" s="5" t="str">
        <f aca="false">IF(Stock_Diario!A65="","",Stock_Diario!A65)</f>
        <v/>
      </c>
      <c r="B65" s="4" t="str">
        <f aca="false">IF($A65="","",$A65-$A64)</f>
        <v/>
      </c>
      <c r="C65" s="24" t="str">
        <f aca="false">IF($A65="","",Stock_Diario!E65)</f>
        <v/>
      </c>
      <c r="D65" s="24" t="str">
        <f aca="false">IF($A65="","",IF(SUMIFS(Recepciones!$C$5:$C$2000,Recepciones!$B$5:$B$2000,Config!$A$23,Recepciones!$A$5:$A$2000,"&gt;"&amp;$A64,Recepciones!$A$5:$A$2000,"&lt;="&amp;$A65)&gt;0,SUMIFS(Recepciones!$C$5:$C$2000,Recepciones!$B$5:$B$2000,Config!$A$23,Recepciones!$A$5:$A$2000,"&gt;"&amp;$A64,Recepciones!$A$5:$A$2000,"&lt;="&amp;$A65),MAX(0,C65-C64)))</f>
        <v/>
      </c>
      <c r="E65" s="24" t="str">
        <f aca="false">IF($A65="","",MAX(0,C64+D65-C65))</f>
        <v/>
      </c>
      <c r="F65" s="24" t="str">
        <f aca="false">IF($A65="","",Stock_Diario!F65)</f>
        <v/>
      </c>
      <c r="G65" s="24" t="str">
        <f aca="false">IF($A65="","",IF(SUMIFS(Recepciones!$C$5:$C$2000,Recepciones!$B$5:$B$2000,Config!$A$24,Recepciones!$A$5:$A$2000,"&gt;"&amp;$A64,Recepciones!$A$5:$A$2000,"&lt;="&amp;$A65)&gt;0,SUMIFS(Recepciones!$C$5:$C$2000,Recepciones!$B$5:$B$2000,Config!$A$24,Recepciones!$A$5:$A$2000,"&gt;"&amp;$A64,Recepciones!$A$5:$A$2000,"&lt;="&amp;$A65),MAX(0,F65-F64)))</f>
        <v/>
      </c>
      <c r="H65" s="24" t="str">
        <f aca="false">IF($A65="","",MAX(0,F64+G65-F65))</f>
        <v/>
      </c>
      <c r="I65" s="24" t="str">
        <f aca="false">IF($A65="","",Stock_Diario!G65)</f>
        <v/>
      </c>
      <c r="J65" s="24" t="str">
        <f aca="false">IF($A65="","",IF(SUMIFS(Recepciones!$C$5:$C$2000,Recepciones!$B$5:$B$2000,Config!$A$25,Recepciones!$A$5:$A$2000,"&gt;"&amp;$A64,Recepciones!$A$5:$A$2000,"&lt;="&amp;$A65)&gt;0,SUMIFS(Recepciones!$C$5:$C$2000,Recepciones!$B$5:$B$2000,Config!$A$25,Recepciones!$A$5:$A$2000,"&gt;"&amp;$A64,Recepciones!$A$5:$A$2000,"&lt;="&amp;$A65),MAX(0,I65-I64)))</f>
        <v/>
      </c>
      <c r="K65" s="24" t="str">
        <f aca="false">IF($A65="","",MAX(0,I64+J65-I65))</f>
        <v/>
      </c>
      <c r="L65" s="24" t="str">
        <f aca="false">IF($A65="","",E65+H65+K65)</f>
        <v/>
      </c>
      <c r="M65" s="4" t="str">
        <f aca="false">IF($A65="","",IF(AND(D65+G65+J65&gt;0,SUMIFS(Recepciones!$C$5:$C$2000,Recepciones!$A$5:$A$2000,"&gt;"&amp;$A64,Recepciones!$A$5:$A$2000,"&lt;="&amp;$A65)=0),"Aumento de stock sin recepción registrada",IF(B65&gt;1,"Intervalo de "&amp;B65&amp;" días","")))</f>
        <v/>
      </c>
    </row>
    <row r="66" customFormat="false" ht="15" hidden="false" customHeight="false" outlineLevel="0" collapsed="false">
      <c r="A66" s="5" t="str">
        <f aca="false">IF(Stock_Diario!A66="","",Stock_Diario!A66)</f>
        <v/>
      </c>
      <c r="B66" s="4" t="str">
        <f aca="false">IF($A66="","",$A66-$A65)</f>
        <v/>
      </c>
      <c r="C66" s="24" t="str">
        <f aca="false">IF($A66="","",Stock_Diario!E66)</f>
        <v/>
      </c>
      <c r="D66" s="24" t="str">
        <f aca="false">IF($A66="","",IF(SUMIFS(Recepciones!$C$5:$C$2000,Recepciones!$B$5:$B$2000,Config!$A$23,Recepciones!$A$5:$A$2000,"&gt;"&amp;$A65,Recepciones!$A$5:$A$2000,"&lt;="&amp;$A66)&gt;0,SUMIFS(Recepciones!$C$5:$C$2000,Recepciones!$B$5:$B$2000,Config!$A$23,Recepciones!$A$5:$A$2000,"&gt;"&amp;$A65,Recepciones!$A$5:$A$2000,"&lt;="&amp;$A66),MAX(0,C66-C65)))</f>
        <v/>
      </c>
      <c r="E66" s="24" t="str">
        <f aca="false">IF($A66="","",MAX(0,C65+D66-C66))</f>
        <v/>
      </c>
      <c r="F66" s="24" t="str">
        <f aca="false">IF($A66="","",Stock_Diario!F66)</f>
        <v/>
      </c>
      <c r="G66" s="24" t="str">
        <f aca="false">IF($A66="","",IF(SUMIFS(Recepciones!$C$5:$C$2000,Recepciones!$B$5:$B$2000,Config!$A$24,Recepciones!$A$5:$A$2000,"&gt;"&amp;$A65,Recepciones!$A$5:$A$2000,"&lt;="&amp;$A66)&gt;0,SUMIFS(Recepciones!$C$5:$C$2000,Recepciones!$B$5:$B$2000,Config!$A$24,Recepciones!$A$5:$A$2000,"&gt;"&amp;$A65,Recepciones!$A$5:$A$2000,"&lt;="&amp;$A66),MAX(0,F66-F65)))</f>
        <v/>
      </c>
      <c r="H66" s="24" t="str">
        <f aca="false">IF($A66="","",MAX(0,F65+G66-F66))</f>
        <v/>
      </c>
      <c r="I66" s="24" t="str">
        <f aca="false">IF($A66="","",Stock_Diario!G66)</f>
        <v/>
      </c>
      <c r="J66" s="24" t="str">
        <f aca="false">IF($A66="","",IF(SUMIFS(Recepciones!$C$5:$C$2000,Recepciones!$B$5:$B$2000,Config!$A$25,Recepciones!$A$5:$A$2000,"&gt;"&amp;$A65,Recepciones!$A$5:$A$2000,"&lt;="&amp;$A66)&gt;0,SUMIFS(Recepciones!$C$5:$C$2000,Recepciones!$B$5:$B$2000,Config!$A$25,Recepciones!$A$5:$A$2000,"&gt;"&amp;$A65,Recepciones!$A$5:$A$2000,"&lt;="&amp;$A66),MAX(0,I66-I65)))</f>
        <v/>
      </c>
      <c r="K66" s="24" t="str">
        <f aca="false">IF($A66="","",MAX(0,I65+J66-I66))</f>
        <v/>
      </c>
      <c r="L66" s="24" t="str">
        <f aca="false">IF($A66="","",E66+H66+K66)</f>
        <v/>
      </c>
      <c r="M66" s="4" t="str">
        <f aca="false">IF($A66="","",IF(AND(D66+G66+J66&gt;0,SUMIFS(Recepciones!$C$5:$C$2000,Recepciones!$A$5:$A$2000,"&gt;"&amp;$A65,Recepciones!$A$5:$A$2000,"&lt;="&amp;$A66)=0),"Aumento de stock sin recepción registrada",IF(B66&gt;1,"Intervalo de "&amp;B66&amp;" días","")))</f>
        <v/>
      </c>
    </row>
    <row r="67" customFormat="false" ht="15" hidden="false" customHeight="false" outlineLevel="0" collapsed="false">
      <c r="A67" s="5" t="str">
        <f aca="false">IF(Stock_Diario!A67="","",Stock_Diario!A67)</f>
        <v/>
      </c>
      <c r="B67" s="4" t="str">
        <f aca="false">IF($A67="","",$A67-$A66)</f>
        <v/>
      </c>
      <c r="C67" s="24" t="str">
        <f aca="false">IF($A67="","",Stock_Diario!E67)</f>
        <v/>
      </c>
      <c r="D67" s="24" t="str">
        <f aca="false">IF($A67="","",IF(SUMIFS(Recepciones!$C$5:$C$2000,Recepciones!$B$5:$B$2000,Config!$A$23,Recepciones!$A$5:$A$2000,"&gt;"&amp;$A66,Recepciones!$A$5:$A$2000,"&lt;="&amp;$A67)&gt;0,SUMIFS(Recepciones!$C$5:$C$2000,Recepciones!$B$5:$B$2000,Config!$A$23,Recepciones!$A$5:$A$2000,"&gt;"&amp;$A66,Recepciones!$A$5:$A$2000,"&lt;="&amp;$A67),MAX(0,C67-C66)))</f>
        <v/>
      </c>
      <c r="E67" s="24" t="str">
        <f aca="false">IF($A67="","",MAX(0,C66+D67-C67))</f>
        <v/>
      </c>
      <c r="F67" s="24" t="str">
        <f aca="false">IF($A67="","",Stock_Diario!F67)</f>
        <v/>
      </c>
      <c r="G67" s="24" t="str">
        <f aca="false">IF($A67="","",IF(SUMIFS(Recepciones!$C$5:$C$2000,Recepciones!$B$5:$B$2000,Config!$A$24,Recepciones!$A$5:$A$2000,"&gt;"&amp;$A66,Recepciones!$A$5:$A$2000,"&lt;="&amp;$A67)&gt;0,SUMIFS(Recepciones!$C$5:$C$2000,Recepciones!$B$5:$B$2000,Config!$A$24,Recepciones!$A$5:$A$2000,"&gt;"&amp;$A66,Recepciones!$A$5:$A$2000,"&lt;="&amp;$A67),MAX(0,F67-F66)))</f>
        <v/>
      </c>
      <c r="H67" s="24" t="str">
        <f aca="false">IF($A67="","",MAX(0,F66+G67-F67))</f>
        <v/>
      </c>
      <c r="I67" s="24" t="str">
        <f aca="false">IF($A67="","",Stock_Diario!G67)</f>
        <v/>
      </c>
      <c r="J67" s="24" t="str">
        <f aca="false">IF($A67="","",IF(SUMIFS(Recepciones!$C$5:$C$2000,Recepciones!$B$5:$B$2000,Config!$A$25,Recepciones!$A$5:$A$2000,"&gt;"&amp;$A66,Recepciones!$A$5:$A$2000,"&lt;="&amp;$A67)&gt;0,SUMIFS(Recepciones!$C$5:$C$2000,Recepciones!$B$5:$B$2000,Config!$A$25,Recepciones!$A$5:$A$2000,"&gt;"&amp;$A66,Recepciones!$A$5:$A$2000,"&lt;="&amp;$A67),MAX(0,I67-I66)))</f>
        <v/>
      </c>
      <c r="K67" s="24" t="str">
        <f aca="false">IF($A67="","",MAX(0,I66+J67-I67))</f>
        <v/>
      </c>
      <c r="L67" s="24" t="str">
        <f aca="false">IF($A67="","",E67+H67+K67)</f>
        <v/>
      </c>
      <c r="M67" s="4" t="str">
        <f aca="false">IF($A67="","",IF(AND(D67+G67+J67&gt;0,SUMIFS(Recepciones!$C$5:$C$2000,Recepciones!$A$5:$A$2000,"&gt;"&amp;$A66,Recepciones!$A$5:$A$2000,"&lt;="&amp;$A67)=0),"Aumento de stock sin recepción registrada",IF(B67&gt;1,"Intervalo de "&amp;B67&amp;" días","")))</f>
        <v/>
      </c>
    </row>
    <row r="68" customFormat="false" ht="15" hidden="false" customHeight="false" outlineLevel="0" collapsed="false">
      <c r="A68" s="5" t="str">
        <f aca="false">IF(Stock_Diario!A68="","",Stock_Diario!A68)</f>
        <v/>
      </c>
      <c r="B68" s="4" t="str">
        <f aca="false">IF($A68="","",$A68-$A67)</f>
        <v/>
      </c>
      <c r="C68" s="24" t="str">
        <f aca="false">IF($A68="","",Stock_Diario!E68)</f>
        <v/>
      </c>
      <c r="D68" s="24" t="str">
        <f aca="false">IF($A68="","",IF(SUMIFS(Recepciones!$C$5:$C$2000,Recepciones!$B$5:$B$2000,Config!$A$23,Recepciones!$A$5:$A$2000,"&gt;"&amp;$A67,Recepciones!$A$5:$A$2000,"&lt;="&amp;$A68)&gt;0,SUMIFS(Recepciones!$C$5:$C$2000,Recepciones!$B$5:$B$2000,Config!$A$23,Recepciones!$A$5:$A$2000,"&gt;"&amp;$A67,Recepciones!$A$5:$A$2000,"&lt;="&amp;$A68),MAX(0,C68-C67)))</f>
        <v/>
      </c>
      <c r="E68" s="24" t="str">
        <f aca="false">IF($A68="","",MAX(0,C67+D68-C68))</f>
        <v/>
      </c>
      <c r="F68" s="24" t="str">
        <f aca="false">IF($A68="","",Stock_Diario!F68)</f>
        <v/>
      </c>
      <c r="G68" s="24" t="str">
        <f aca="false">IF($A68="","",IF(SUMIFS(Recepciones!$C$5:$C$2000,Recepciones!$B$5:$B$2000,Config!$A$24,Recepciones!$A$5:$A$2000,"&gt;"&amp;$A67,Recepciones!$A$5:$A$2000,"&lt;="&amp;$A68)&gt;0,SUMIFS(Recepciones!$C$5:$C$2000,Recepciones!$B$5:$B$2000,Config!$A$24,Recepciones!$A$5:$A$2000,"&gt;"&amp;$A67,Recepciones!$A$5:$A$2000,"&lt;="&amp;$A68),MAX(0,F68-F67)))</f>
        <v/>
      </c>
      <c r="H68" s="24" t="str">
        <f aca="false">IF($A68="","",MAX(0,F67+G68-F68))</f>
        <v/>
      </c>
      <c r="I68" s="24" t="str">
        <f aca="false">IF($A68="","",Stock_Diario!G68)</f>
        <v/>
      </c>
      <c r="J68" s="24" t="str">
        <f aca="false">IF($A68="","",IF(SUMIFS(Recepciones!$C$5:$C$2000,Recepciones!$B$5:$B$2000,Config!$A$25,Recepciones!$A$5:$A$2000,"&gt;"&amp;$A67,Recepciones!$A$5:$A$2000,"&lt;="&amp;$A68)&gt;0,SUMIFS(Recepciones!$C$5:$C$2000,Recepciones!$B$5:$B$2000,Config!$A$25,Recepciones!$A$5:$A$2000,"&gt;"&amp;$A67,Recepciones!$A$5:$A$2000,"&lt;="&amp;$A68),MAX(0,I68-I67)))</f>
        <v/>
      </c>
      <c r="K68" s="24" t="str">
        <f aca="false">IF($A68="","",MAX(0,I67+J68-I68))</f>
        <v/>
      </c>
      <c r="L68" s="24" t="str">
        <f aca="false">IF($A68="","",E68+H68+K68)</f>
        <v/>
      </c>
      <c r="M68" s="4" t="str">
        <f aca="false">IF($A68="","",IF(AND(D68+G68+J68&gt;0,SUMIFS(Recepciones!$C$5:$C$2000,Recepciones!$A$5:$A$2000,"&gt;"&amp;$A67,Recepciones!$A$5:$A$2000,"&lt;="&amp;$A68)=0),"Aumento de stock sin recepción registrada",IF(B68&gt;1,"Intervalo de "&amp;B68&amp;" días","")))</f>
        <v/>
      </c>
    </row>
    <row r="69" customFormat="false" ht="15" hidden="false" customHeight="false" outlineLevel="0" collapsed="false">
      <c r="A69" s="5" t="str">
        <f aca="false">IF(Stock_Diario!A69="","",Stock_Diario!A69)</f>
        <v/>
      </c>
      <c r="B69" s="4" t="str">
        <f aca="false">IF($A69="","",$A69-$A68)</f>
        <v/>
      </c>
      <c r="C69" s="24" t="str">
        <f aca="false">IF($A69="","",Stock_Diario!E69)</f>
        <v/>
      </c>
      <c r="D69" s="24" t="str">
        <f aca="false">IF($A69="","",IF(SUMIFS(Recepciones!$C$5:$C$2000,Recepciones!$B$5:$B$2000,Config!$A$23,Recepciones!$A$5:$A$2000,"&gt;"&amp;$A68,Recepciones!$A$5:$A$2000,"&lt;="&amp;$A69)&gt;0,SUMIFS(Recepciones!$C$5:$C$2000,Recepciones!$B$5:$B$2000,Config!$A$23,Recepciones!$A$5:$A$2000,"&gt;"&amp;$A68,Recepciones!$A$5:$A$2000,"&lt;="&amp;$A69),MAX(0,C69-C68)))</f>
        <v/>
      </c>
      <c r="E69" s="24" t="str">
        <f aca="false">IF($A69="","",MAX(0,C68+D69-C69))</f>
        <v/>
      </c>
      <c r="F69" s="24" t="str">
        <f aca="false">IF($A69="","",Stock_Diario!F69)</f>
        <v/>
      </c>
      <c r="G69" s="24" t="str">
        <f aca="false">IF($A69="","",IF(SUMIFS(Recepciones!$C$5:$C$2000,Recepciones!$B$5:$B$2000,Config!$A$24,Recepciones!$A$5:$A$2000,"&gt;"&amp;$A68,Recepciones!$A$5:$A$2000,"&lt;="&amp;$A69)&gt;0,SUMIFS(Recepciones!$C$5:$C$2000,Recepciones!$B$5:$B$2000,Config!$A$24,Recepciones!$A$5:$A$2000,"&gt;"&amp;$A68,Recepciones!$A$5:$A$2000,"&lt;="&amp;$A69),MAX(0,F69-F68)))</f>
        <v/>
      </c>
      <c r="H69" s="24" t="str">
        <f aca="false">IF($A69="","",MAX(0,F68+G69-F69))</f>
        <v/>
      </c>
      <c r="I69" s="24" t="str">
        <f aca="false">IF($A69="","",Stock_Diario!G69)</f>
        <v/>
      </c>
      <c r="J69" s="24" t="str">
        <f aca="false">IF($A69="","",IF(SUMIFS(Recepciones!$C$5:$C$2000,Recepciones!$B$5:$B$2000,Config!$A$25,Recepciones!$A$5:$A$2000,"&gt;"&amp;$A68,Recepciones!$A$5:$A$2000,"&lt;="&amp;$A69)&gt;0,SUMIFS(Recepciones!$C$5:$C$2000,Recepciones!$B$5:$B$2000,Config!$A$25,Recepciones!$A$5:$A$2000,"&gt;"&amp;$A68,Recepciones!$A$5:$A$2000,"&lt;="&amp;$A69),MAX(0,I69-I68)))</f>
        <v/>
      </c>
      <c r="K69" s="24" t="str">
        <f aca="false">IF($A69="","",MAX(0,I68+J69-I69))</f>
        <v/>
      </c>
      <c r="L69" s="24" t="str">
        <f aca="false">IF($A69="","",E69+H69+K69)</f>
        <v/>
      </c>
      <c r="M69" s="4" t="str">
        <f aca="false">IF($A69="","",IF(AND(D69+G69+J69&gt;0,SUMIFS(Recepciones!$C$5:$C$2000,Recepciones!$A$5:$A$2000,"&gt;"&amp;$A68,Recepciones!$A$5:$A$2000,"&lt;="&amp;$A69)=0),"Aumento de stock sin recepción registrada",IF(B69&gt;1,"Intervalo de "&amp;B69&amp;" días","")))</f>
        <v/>
      </c>
    </row>
    <row r="70" customFormat="false" ht="15" hidden="false" customHeight="false" outlineLevel="0" collapsed="false">
      <c r="A70" s="5" t="str">
        <f aca="false">IF(Stock_Diario!A70="","",Stock_Diario!A70)</f>
        <v/>
      </c>
      <c r="B70" s="4" t="str">
        <f aca="false">IF($A70="","",$A70-$A69)</f>
        <v/>
      </c>
      <c r="C70" s="24" t="str">
        <f aca="false">IF($A70="","",Stock_Diario!E70)</f>
        <v/>
      </c>
      <c r="D70" s="24" t="str">
        <f aca="false">IF($A70="","",IF(SUMIFS(Recepciones!$C$5:$C$2000,Recepciones!$B$5:$B$2000,Config!$A$23,Recepciones!$A$5:$A$2000,"&gt;"&amp;$A69,Recepciones!$A$5:$A$2000,"&lt;="&amp;$A70)&gt;0,SUMIFS(Recepciones!$C$5:$C$2000,Recepciones!$B$5:$B$2000,Config!$A$23,Recepciones!$A$5:$A$2000,"&gt;"&amp;$A69,Recepciones!$A$5:$A$2000,"&lt;="&amp;$A70),MAX(0,C70-C69)))</f>
        <v/>
      </c>
      <c r="E70" s="24" t="str">
        <f aca="false">IF($A70="","",MAX(0,C69+D70-C70))</f>
        <v/>
      </c>
      <c r="F70" s="24" t="str">
        <f aca="false">IF($A70="","",Stock_Diario!F70)</f>
        <v/>
      </c>
      <c r="G70" s="24" t="str">
        <f aca="false">IF($A70="","",IF(SUMIFS(Recepciones!$C$5:$C$2000,Recepciones!$B$5:$B$2000,Config!$A$24,Recepciones!$A$5:$A$2000,"&gt;"&amp;$A69,Recepciones!$A$5:$A$2000,"&lt;="&amp;$A70)&gt;0,SUMIFS(Recepciones!$C$5:$C$2000,Recepciones!$B$5:$B$2000,Config!$A$24,Recepciones!$A$5:$A$2000,"&gt;"&amp;$A69,Recepciones!$A$5:$A$2000,"&lt;="&amp;$A70),MAX(0,F70-F69)))</f>
        <v/>
      </c>
      <c r="H70" s="24" t="str">
        <f aca="false">IF($A70="","",MAX(0,F69+G70-F70))</f>
        <v/>
      </c>
      <c r="I70" s="24" t="str">
        <f aca="false">IF($A70="","",Stock_Diario!G70)</f>
        <v/>
      </c>
      <c r="J70" s="24" t="str">
        <f aca="false">IF($A70="","",IF(SUMIFS(Recepciones!$C$5:$C$2000,Recepciones!$B$5:$B$2000,Config!$A$25,Recepciones!$A$5:$A$2000,"&gt;"&amp;$A69,Recepciones!$A$5:$A$2000,"&lt;="&amp;$A70)&gt;0,SUMIFS(Recepciones!$C$5:$C$2000,Recepciones!$B$5:$B$2000,Config!$A$25,Recepciones!$A$5:$A$2000,"&gt;"&amp;$A69,Recepciones!$A$5:$A$2000,"&lt;="&amp;$A70),MAX(0,I70-I69)))</f>
        <v/>
      </c>
      <c r="K70" s="24" t="str">
        <f aca="false">IF($A70="","",MAX(0,I69+J70-I70))</f>
        <v/>
      </c>
      <c r="L70" s="24" t="str">
        <f aca="false">IF($A70="","",E70+H70+K70)</f>
        <v/>
      </c>
      <c r="M70" s="4" t="str">
        <f aca="false">IF($A70="","",IF(AND(D70+G70+J70&gt;0,SUMIFS(Recepciones!$C$5:$C$2000,Recepciones!$A$5:$A$2000,"&gt;"&amp;$A69,Recepciones!$A$5:$A$2000,"&lt;="&amp;$A70)=0),"Aumento de stock sin recepción registrada",IF(B70&gt;1,"Intervalo de "&amp;B70&amp;" días","")))</f>
        <v/>
      </c>
    </row>
    <row r="71" customFormat="false" ht="15" hidden="false" customHeight="false" outlineLevel="0" collapsed="false">
      <c r="A71" s="5" t="str">
        <f aca="false">IF(Stock_Diario!A71="","",Stock_Diario!A71)</f>
        <v/>
      </c>
      <c r="B71" s="4" t="str">
        <f aca="false">IF($A71="","",$A71-$A70)</f>
        <v/>
      </c>
      <c r="C71" s="24" t="str">
        <f aca="false">IF($A71="","",Stock_Diario!E71)</f>
        <v/>
      </c>
      <c r="D71" s="24" t="str">
        <f aca="false">IF($A71="","",IF(SUMIFS(Recepciones!$C$5:$C$2000,Recepciones!$B$5:$B$2000,Config!$A$23,Recepciones!$A$5:$A$2000,"&gt;"&amp;$A70,Recepciones!$A$5:$A$2000,"&lt;="&amp;$A71)&gt;0,SUMIFS(Recepciones!$C$5:$C$2000,Recepciones!$B$5:$B$2000,Config!$A$23,Recepciones!$A$5:$A$2000,"&gt;"&amp;$A70,Recepciones!$A$5:$A$2000,"&lt;="&amp;$A71),MAX(0,C71-C70)))</f>
        <v/>
      </c>
      <c r="E71" s="24" t="str">
        <f aca="false">IF($A71="","",MAX(0,C70+D71-C71))</f>
        <v/>
      </c>
      <c r="F71" s="24" t="str">
        <f aca="false">IF($A71="","",Stock_Diario!F71)</f>
        <v/>
      </c>
      <c r="G71" s="24" t="str">
        <f aca="false">IF($A71="","",IF(SUMIFS(Recepciones!$C$5:$C$2000,Recepciones!$B$5:$B$2000,Config!$A$24,Recepciones!$A$5:$A$2000,"&gt;"&amp;$A70,Recepciones!$A$5:$A$2000,"&lt;="&amp;$A71)&gt;0,SUMIFS(Recepciones!$C$5:$C$2000,Recepciones!$B$5:$B$2000,Config!$A$24,Recepciones!$A$5:$A$2000,"&gt;"&amp;$A70,Recepciones!$A$5:$A$2000,"&lt;="&amp;$A71),MAX(0,F71-F70)))</f>
        <v/>
      </c>
      <c r="H71" s="24" t="str">
        <f aca="false">IF($A71="","",MAX(0,F70+G71-F71))</f>
        <v/>
      </c>
      <c r="I71" s="24" t="str">
        <f aca="false">IF($A71="","",Stock_Diario!G71)</f>
        <v/>
      </c>
      <c r="J71" s="24" t="str">
        <f aca="false">IF($A71="","",IF(SUMIFS(Recepciones!$C$5:$C$2000,Recepciones!$B$5:$B$2000,Config!$A$25,Recepciones!$A$5:$A$2000,"&gt;"&amp;$A70,Recepciones!$A$5:$A$2000,"&lt;="&amp;$A71)&gt;0,SUMIFS(Recepciones!$C$5:$C$2000,Recepciones!$B$5:$B$2000,Config!$A$25,Recepciones!$A$5:$A$2000,"&gt;"&amp;$A70,Recepciones!$A$5:$A$2000,"&lt;="&amp;$A71),MAX(0,I71-I70)))</f>
        <v/>
      </c>
      <c r="K71" s="24" t="str">
        <f aca="false">IF($A71="","",MAX(0,I70+J71-I71))</f>
        <v/>
      </c>
      <c r="L71" s="24" t="str">
        <f aca="false">IF($A71="","",E71+H71+K71)</f>
        <v/>
      </c>
      <c r="M71" s="4" t="str">
        <f aca="false">IF($A71="","",IF(AND(D71+G71+J71&gt;0,SUMIFS(Recepciones!$C$5:$C$2000,Recepciones!$A$5:$A$2000,"&gt;"&amp;$A70,Recepciones!$A$5:$A$2000,"&lt;="&amp;$A71)=0),"Aumento de stock sin recepción registrada",IF(B71&gt;1,"Intervalo de "&amp;B71&amp;" días","")))</f>
        <v/>
      </c>
    </row>
    <row r="72" customFormat="false" ht="15" hidden="false" customHeight="false" outlineLevel="0" collapsed="false">
      <c r="A72" s="5" t="str">
        <f aca="false">IF(Stock_Diario!A72="","",Stock_Diario!A72)</f>
        <v/>
      </c>
      <c r="B72" s="4" t="str">
        <f aca="false">IF($A72="","",$A72-$A71)</f>
        <v/>
      </c>
      <c r="C72" s="24" t="str">
        <f aca="false">IF($A72="","",Stock_Diario!E72)</f>
        <v/>
      </c>
      <c r="D72" s="24" t="str">
        <f aca="false">IF($A72="","",IF(SUMIFS(Recepciones!$C$5:$C$2000,Recepciones!$B$5:$B$2000,Config!$A$23,Recepciones!$A$5:$A$2000,"&gt;"&amp;$A71,Recepciones!$A$5:$A$2000,"&lt;="&amp;$A72)&gt;0,SUMIFS(Recepciones!$C$5:$C$2000,Recepciones!$B$5:$B$2000,Config!$A$23,Recepciones!$A$5:$A$2000,"&gt;"&amp;$A71,Recepciones!$A$5:$A$2000,"&lt;="&amp;$A72),MAX(0,C72-C71)))</f>
        <v/>
      </c>
      <c r="E72" s="24" t="str">
        <f aca="false">IF($A72="","",MAX(0,C71+D72-C72))</f>
        <v/>
      </c>
      <c r="F72" s="24" t="str">
        <f aca="false">IF($A72="","",Stock_Diario!F72)</f>
        <v/>
      </c>
      <c r="G72" s="24" t="str">
        <f aca="false">IF($A72="","",IF(SUMIFS(Recepciones!$C$5:$C$2000,Recepciones!$B$5:$B$2000,Config!$A$24,Recepciones!$A$5:$A$2000,"&gt;"&amp;$A71,Recepciones!$A$5:$A$2000,"&lt;="&amp;$A72)&gt;0,SUMIFS(Recepciones!$C$5:$C$2000,Recepciones!$B$5:$B$2000,Config!$A$24,Recepciones!$A$5:$A$2000,"&gt;"&amp;$A71,Recepciones!$A$5:$A$2000,"&lt;="&amp;$A72),MAX(0,F72-F71)))</f>
        <v/>
      </c>
      <c r="H72" s="24" t="str">
        <f aca="false">IF($A72="","",MAX(0,F71+G72-F72))</f>
        <v/>
      </c>
      <c r="I72" s="24" t="str">
        <f aca="false">IF($A72="","",Stock_Diario!G72)</f>
        <v/>
      </c>
      <c r="J72" s="24" t="str">
        <f aca="false">IF($A72="","",IF(SUMIFS(Recepciones!$C$5:$C$2000,Recepciones!$B$5:$B$2000,Config!$A$25,Recepciones!$A$5:$A$2000,"&gt;"&amp;$A71,Recepciones!$A$5:$A$2000,"&lt;="&amp;$A72)&gt;0,SUMIFS(Recepciones!$C$5:$C$2000,Recepciones!$B$5:$B$2000,Config!$A$25,Recepciones!$A$5:$A$2000,"&gt;"&amp;$A71,Recepciones!$A$5:$A$2000,"&lt;="&amp;$A72),MAX(0,I72-I71)))</f>
        <v/>
      </c>
      <c r="K72" s="24" t="str">
        <f aca="false">IF($A72="","",MAX(0,I71+J72-I72))</f>
        <v/>
      </c>
      <c r="L72" s="24" t="str">
        <f aca="false">IF($A72="","",E72+H72+K72)</f>
        <v/>
      </c>
      <c r="M72" s="4" t="str">
        <f aca="false">IF($A72="","",IF(AND(D72+G72+J72&gt;0,SUMIFS(Recepciones!$C$5:$C$2000,Recepciones!$A$5:$A$2000,"&gt;"&amp;$A71,Recepciones!$A$5:$A$2000,"&lt;="&amp;$A72)=0),"Aumento de stock sin recepción registrada",IF(B72&gt;1,"Intervalo de "&amp;B72&amp;" días","")))</f>
        <v/>
      </c>
    </row>
    <row r="73" customFormat="false" ht="15" hidden="false" customHeight="false" outlineLevel="0" collapsed="false">
      <c r="A73" s="5" t="str">
        <f aca="false">IF(Stock_Diario!A73="","",Stock_Diario!A73)</f>
        <v/>
      </c>
      <c r="B73" s="4" t="str">
        <f aca="false">IF($A73="","",$A73-$A72)</f>
        <v/>
      </c>
      <c r="C73" s="24" t="str">
        <f aca="false">IF($A73="","",Stock_Diario!E73)</f>
        <v/>
      </c>
      <c r="D73" s="24" t="str">
        <f aca="false">IF($A73="","",IF(SUMIFS(Recepciones!$C$5:$C$2000,Recepciones!$B$5:$B$2000,Config!$A$23,Recepciones!$A$5:$A$2000,"&gt;"&amp;$A72,Recepciones!$A$5:$A$2000,"&lt;="&amp;$A73)&gt;0,SUMIFS(Recepciones!$C$5:$C$2000,Recepciones!$B$5:$B$2000,Config!$A$23,Recepciones!$A$5:$A$2000,"&gt;"&amp;$A72,Recepciones!$A$5:$A$2000,"&lt;="&amp;$A73),MAX(0,C73-C72)))</f>
        <v/>
      </c>
      <c r="E73" s="24" t="str">
        <f aca="false">IF($A73="","",MAX(0,C72+D73-C73))</f>
        <v/>
      </c>
      <c r="F73" s="24" t="str">
        <f aca="false">IF($A73="","",Stock_Diario!F73)</f>
        <v/>
      </c>
      <c r="G73" s="24" t="str">
        <f aca="false">IF($A73="","",IF(SUMIFS(Recepciones!$C$5:$C$2000,Recepciones!$B$5:$B$2000,Config!$A$24,Recepciones!$A$5:$A$2000,"&gt;"&amp;$A72,Recepciones!$A$5:$A$2000,"&lt;="&amp;$A73)&gt;0,SUMIFS(Recepciones!$C$5:$C$2000,Recepciones!$B$5:$B$2000,Config!$A$24,Recepciones!$A$5:$A$2000,"&gt;"&amp;$A72,Recepciones!$A$5:$A$2000,"&lt;="&amp;$A73),MAX(0,F73-F72)))</f>
        <v/>
      </c>
      <c r="H73" s="24" t="str">
        <f aca="false">IF($A73="","",MAX(0,F72+G73-F73))</f>
        <v/>
      </c>
      <c r="I73" s="24" t="str">
        <f aca="false">IF($A73="","",Stock_Diario!G73)</f>
        <v/>
      </c>
      <c r="J73" s="24" t="str">
        <f aca="false">IF($A73="","",IF(SUMIFS(Recepciones!$C$5:$C$2000,Recepciones!$B$5:$B$2000,Config!$A$25,Recepciones!$A$5:$A$2000,"&gt;"&amp;$A72,Recepciones!$A$5:$A$2000,"&lt;="&amp;$A73)&gt;0,SUMIFS(Recepciones!$C$5:$C$2000,Recepciones!$B$5:$B$2000,Config!$A$25,Recepciones!$A$5:$A$2000,"&gt;"&amp;$A72,Recepciones!$A$5:$A$2000,"&lt;="&amp;$A73),MAX(0,I73-I72)))</f>
        <v/>
      </c>
      <c r="K73" s="24" t="str">
        <f aca="false">IF($A73="","",MAX(0,I72+J73-I73))</f>
        <v/>
      </c>
      <c r="L73" s="24" t="str">
        <f aca="false">IF($A73="","",E73+H73+K73)</f>
        <v/>
      </c>
      <c r="M73" s="4" t="str">
        <f aca="false">IF($A73="","",IF(AND(D73+G73+J73&gt;0,SUMIFS(Recepciones!$C$5:$C$2000,Recepciones!$A$5:$A$2000,"&gt;"&amp;$A72,Recepciones!$A$5:$A$2000,"&lt;="&amp;$A73)=0),"Aumento de stock sin recepción registrada",IF(B73&gt;1,"Intervalo de "&amp;B73&amp;" días","")))</f>
        <v/>
      </c>
    </row>
    <row r="74" customFormat="false" ht="15" hidden="false" customHeight="false" outlineLevel="0" collapsed="false">
      <c r="A74" s="5" t="str">
        <f aca="false">IF(Stock_Diario!A74="","",Stock_Diario!A74)</f>
        <v/>
      </c>
      <c r="B74" s="4" t="str">
        <f aca="false">IF($A74="","",$A74-$A73)</f>
        <v/>
      </c>
      <c r="C74" s="24" t="str">
        <f aca="false">IF($A74="","",Stock_Diario!E74)</f>
        <v/>
      </c>
      <c r="D74" s="24" t="str">
        <f aca="false">IF($A74="","",IF(SUMIFS(Recepciones!$C$5:$C$2000,Recepciones!$B$5:$B$2000,Config!$A$23,Recepciones!$A$5:$A$2000,"&gt;"&amp;$A73,Recepciones!$A$5:$A$2000,"&lt;="&amp;$A74)&gt;0,SUMIFS(Recepciones!$C$5:$C$2000,Recepciones!$B$5:$B$2000,Config!$A$23,Recepciones!$A$5:$A$2000,"&gt;"&amp;$A73,Recepciones!$A$5:$A$2000,"&lt;="&amp;$A74),MAX(0,C74-C73)))</f>
        <v/>
      </c>
      <c r="E74" s="24" t="str">
        <f aca="false">IF($A74="","",MAX(0,C73+D74-C74))</f>
        <v/>
      </c>
      <c r="F74" s="24" t="str">
        <f aca="false">IF($A74="","",Stock_Diario!F74)</f>
        <v/>
      </c>
      <c r="G74" s="24" t="str">
        <f aca="false">IF($A74="","",IF(SUMIFS(Recepciones!$C$5:$C$2000,Recepciones!$B$5:$B$2000,Config!$A$24,Recepciones!$A$5:$A$2000,"&gt;"&amp;$A73,Recepciones!$A$5:$A$2000,"&lt;="&amp;$A74)&gt;0,SUMIFS(Recepciones!$C$5:$C$2000,Recepciones!$B$5:$B$2000,Config!$A$24,Recepciones!$A$5:$A$2000,"&gt;"&amp;$A73,Recepciones!$A$5:$A$2000,"&lt;="&amp;$A74),MAX(0,F74-F73)))</f>
        <v/>
      </c>
      <c r="H74" s="24" t="str">
        <f aca="false">IF($A74="","",MAX(0,F73+G74-F74))</f>
        <v/>
      </c>
      <c r="I74" s="24" t="str">
        <f aca="false">IF($A74="","",Stock_Diario!G74)</f>
        <v/>
      </c>
      <c r="J74" s="24" t="str">
        <f aca="false">IF($A74="","",IF(SUMIFS(Recepciones!$C$5:$C$2000,Recepciones!$B$5:$B$2000,Config!$A$25,Recepciones!$A$5:$A$2000,"&gt;"&amp;$A73,Recepciones!$A$5:$A$2000,"&lt;="&amp;$A74)&gt;0,SUMIFS(Recepciones!$C$5:$C$2000,Recepciones!$B$5:$B$2000,Config!$A$25,Recepciones!$A$5:$A$2000,"&gt;"&amp;$A73,Recepciones!$A$5:$A$2000,"&lt;="&amp;$A74),MAX(0,I74-I73)))</f>
        <v/>
      </c>
      <c r="K74" s="24" t="str">
        <f aca="false">IF($A74="","",MAX(0,I73+J74-I74))</f>
        <v/>
      </c>
      <c r="L74" s="24" t="str">
        <f aca="false">IF($A74="","",E74+H74+K74)</f>
        <v/>
      </c>
      <c r="M74" s="4" t="str">
        <f aca="false">IF($A74="","",IF(AND(D74+G74+J74&gt;0,SUMIFS(Recepciones!$C$5:$C$2000,Recepciones!$A$5:$A$2000,"&gt;"&amp;$A73,Recepciones!$A$5:$A$2000,"&lt;="&amp;$A74)=0),"Aumento de stock sin recepción registrada",IF(B74&gt;1,"Intervalo de "&amp;B74&amp;" días","")))</f>
        <v/>
      </c>
    </row>
    <row r="75" customFormat="false" ht="15" hidden="false" customHeight="false" outlineLevel="0" collapsed="false">
      <c r="A75" s="5" t="str">
        <f aca="false">IF(Stock_Diario!A75="","",Stock_Diario!A75)</f>
        <v/>
      </c>
      <c r="B75" s="4" t="str">
        <f aca="false">IF($A75="","",$A75-$A74)</f>
        <v/>
      </c>
      <c r="C75" s="24" t="str">
        <f aca="false">IF($A75="","",Stock_Diario!E75)</f>
        <v/>
      </c>
      <c r="D75" s="24" t="str">
        <f aca="false">IF($A75="","",IF(SUMIFS(Recepciones!$C$5:$C$2000,Recepciones!$B$5:$B$2000,Config!$A$23,Recepciones!$A$5:$A$2000,"&gt;"&amp;$A74,Recepciones!$A$5:$A$2000,"&lt;="&amp;$A75)&gt;0,SUMIFS(Recepciones!$C$5:$C$2000,Recepciones!$B$5:$B$2000,Config!$A$23,Recepciones!$A$5:$A$2000,"&gt;"&amp;$A74,Recepciones!$A$5:$A$2000,"&lt;="&amp;$A75),MAX(0,C75-C74)))</f>
        <v/>
      </c>
      <c r="E75" s="24" t="str">
        <f aca="false">IF($A75="","",MAX(0,C74+D75-C75))</f>
        <v/>
      </c>
      <c r="F75" s="24" t="str">
        <f aca="false">IF($A75="","",Stock_Diario!F75)</f>
        <v/>
      </c>
      <c r="G75" s="24" t="str">
        <f aca="false">IF($A75="","",IF(SUMIFS(Recepciones!$C$5:$C$2000,Recepciones!$B$5:$B$2000,Config!$A$24,Recepciones!$A$5:$A$2000,"&gt;"&amp;$A74,Recepciones!$A$5:$A$2000,"&lt;="&amp;$A75)&gt;0,SUMIFS(Recepciones!$C$5:$C$2000,Recepciones!$B$5:$B$2000,Config!$A$24,Recepciones!$A$5:$A$2000,"&gt;"&amp;$A74,Recepciones!$A$5:$A$2000,"&lt;="&amp;$A75),MAX(0,F75-F74)))</f>
        <v/>
      </c>
      <c r="H75" s="24" t="str">
        <f aca="false">IF($A75="","",MAX(0,F74+G75-F75))</f>
        <v/>
      </c>
      <c r="I75" s="24" t="str">
        <f aca="false">IF($A75="","",Stock_Diario!G75)</f>
        <v/>
      </c>
      <c r="J75" s="24" t="str">
        <f aca="false">IF($A75="","",IF(SUMIFS(Recepciones!$C$5:$C$2000,Recepciones!$B$5:$B$2000,Config!$A$25,Recepciones!$A$5:$A$2000,"&gt;"&amp;$A74,Recepciones!$A$5:$A$2000,"&lt;="&amp;$A75)&gt;0,SUMIFS(Recepciones!$C$5:$C$2000,Recepciones!$B$5:$B$2000,Config!$A$25,Recepciones!$A$5:$A$2000,"&gt;"&amp;$A74,Recepciones!$A$5:$A$2000,"&lt;="&amp;$A75),MAX(0,I75-I74)))</f>
        <v/>
      </c>
      <c r="K75" s="24" t="str">
        <f aca="false">IF($A75="","",MAX(0,I74+J75-I75))</f>
        <v/>
      </c>
      <c r="L75" s="24" t="str">
        <f aca="false">IF($A75="","",E75+H75+K75)</f>
        <v/>
      </c>
      <c r="M75" s="4" t="str">
        <f aca="false">IF($A75="","",IF(AND(D75+G75+J75&gt;0,SUMIFS(Recepciones!$C$5:$C$2000,Recepciones!$A$5:$A$2000,"&gt;"&amp;$A74,Recepciones!$A$5:$A$2000,"&lt;="&amp;$A75)=0),"Aumento de stock sin recepción registrada",IF(B75&gt;1,"Intervalo de "&amp;B75&amp;" días","")))</f>
        <v/>
      </c>
    </row>
    <row r="76" customFormat="false" ht="15" hidden="false" customHeight="false" outlineLevel="0" collapsed="false">
      <c r="A76" s="5" t="str">
        <f aca="false">IF(Stock_Diario!A76="","",Stock_Diario!A76)</f>
        <v/>
      </c>
      <c r="B76" s="4" t="str">
        <f aca="false">IF($A76="","",$A76-$A75)</f>
        <v/>
      </c>
      <c r="C76" s="24" t="str">
        <f aca="false">IF($A76="","",Stock_Diario!E76)</f>
        <v/>
      </c>
      <c r="D76" s="24" t="str">
        <f aca="false">IF($A76="","",IF(SUMIFS(Recepciones!$C$5:$C$2000,Recepciones!$B$5:$B$2000,Config!$A$23,Recepciones!$A$5:$A$2000,"&gt;"&amp;$A75,Recepciones!$A$5:$A$2000,"&lt;="&amp;$A76)&gt;0,SUMIFS(Recepciones!$C$5:$C$2000,Recepciones!$B$5:$B$2000,Config!$A$23,Recepciones!$A$5:$A$2000,"&gt;"&amp;$A75,Recepciones!$A$5:$A$2000,"&lt;="&amp;$A76),MAX(0,C76-C75)))</f>
        <v/>
      </c>
      <c r="E76" s="24" t="str">
        <f aca="false">IF($A76="","",MAX(0,C75+D76-C76))</f>
        <v/>
      </c>
      <c r="F76" s="24" t="str">
        <f aca="false">IF($A76="","",Stock_Diario!F76)</f>
        <v/>
      </c>
      <c r="G76" s="24" t="str">
        <f aca="false">IF($A76="","",IF(SUMIFS(Recepciones!$C$5:$C$2000,Recepciones!$B$5:$B$2000,Config!$A$24,Recepciones!$A$5:$A$2000,"&gt;"&amp;$A75,Recepciones!$A$5:$A$2000,"&lt;="&amp;$A76)&gt;0,SUMIFS(Recepciones!$C$5:$C$2000,Recepciones!$B$5:$B$2000,Config!$A$24,Recepciones!$A$5:$A$2000,"&gt;"&amp;$A75,Recepciones!$A$5:$A$2000,"&lt;="&amp;$A76),MAX(0,F76-F75)))</f>
        <v/>
      </c>
      <c r="H76" s="24" t="str">
        <f aca="false">IF($A76="","",MAX(0,F75+G76-F76))</f>
        <v/>
      </c>
      <c r="I76" s="24" t="str">
        <f aca="false">IF($A76="","",Stock_Diario!G76)</f>
        <v/>
      </c>
      <c r="J76" s="24" t="str">
        <f aca="false">IF($A76="","",IF(SUMIFS(Recepciones!$C$5:$C$2000,Recepciones!$B$5:$B$2000,Config!$A$25,Recepciones!$A$5:$A$2000,"&gt;"&amp;$A75,Recepciones!$A$5:$A$2000,"&lt;="&amp;$A76)&gt;0,SUMIFS(Recepciones!$C$5:$C$2000,Recepciones!$B$5:$B$2000,Config!$A$25,Recepciones!$A$5:$A$2000,"&gt;"&amp;$A75,Recepciones!$A$5:$A$2000,"&lt;="&amp;$A76),MAX(0,I76-I75)))</f>
        <v/>
      </c>
      <c r="K76" s="24" t="str">
        <f aca="false">IF($A76="","",MAX(0,I75+J76-I76))</f>
        <v/>
      </c>
      <c r="L76" s="24" t="str">
        <f aca="false">IF($A76="","",E76+H76+K76)</f>
        <v/>
      </c>
      <c r="M76" s="4" t="str">
        <f aca="false">IF($A76="","",IF(AND(D76+G76+J76&gt;0,SUMIFS(Recepciones!$C$5:$C$2000,Recepciones!$A$5:$A$2000,"&gt;"&amp;$A75,Recepciones!$A$5:$A$2000,"&lt;="&amp;$A76)=0),"Aumento de stock sin recepción registrada",IF(B76&gt;1,"Intervalo de "&amp;B76&amp;" días","")))</f>
        <v/>
      </c>
    </row>
    <row r="77" customFormat="false" ht="15" hidden="false" customHeight="false" outlineLevel="0" collapsed="false">
      <c r="A77" s="5" t="str">
        <f aca="false">IF(Stock_Diario!A77="","",Stock_Diario!A77)</f>
        <v/>
      </c>
      <c r="B77" s="4" t="str">
        <f aca="false">IF($A77="","",$A77-$A76)</f>
        <v/>
      </c>
      <c r="C77" s="24" t="str">
        <f aca="false">IF($A77="","",Stock_Diario!E77)</f>
        <v/>
      </c>
      <c r="D77" s="24" t="str">
        <f aca="false">IF($A77="","",IF(SUMIFS(Recepciones!$C$5:$C$2000,Recepciones!$B$5:$B$2000,Config!$A$23,Recepciones!$A$5:$A$2000,"&gt;"&amp;$A76,Recepciones!$A$5:$A$2000,"&lt;="&amp;$A77)&gt;0,SUMIFS(Recepciones!$C$5:$C$2000,Recepciones!$B$5:$B$2000,Config!$A$23,Recepciones!$A$5:$A$2000,"&gt;"&amp;$A76,Recepciones!$A$5:$A$2000,"&lt;="&amp;$A77),MAX(0,C77-C76)))</f>
        <v/>
      </c>
      <c r="E77" s="24" t="str">
        <f aca="false">IF($A77="","",MAX(0,C76+D77-C77))</f>
        <v/>
      </c>
      <c r="F77" s="24" t="str">
        <f aca="false">IF($A77="","",Stock_Diario!F77)</f>
        <v/>
      </c>
      <c r="G77" s="24" t="str">
        <f aca="false">IF($A77="","",IF(SUMIFS(Recepciones!$C$5:$C$2000,Recepciones!$B$5:$B$2000,Config!$A$24,Recepciones!$A$5:$A$2000,"&gt;"&amp;$A76,Recepciones!$A$5:$A$2000,"&lt;="&amp;$A77)&gt;0,SUMIFS(Recepciones!$C$5:$C$2000,Recepciones!$B$5:$B$2000,Config!$A$24,Recepciones!$A$5:$A$2000,"&gt;"&amp;$A76,Recepciones!$A$5:$A$2000,"&lt;="&amp;$A77),MAX(0,F77-F76)))</f>
        <v/>
      </c>
      <c r="H77" s="24" t="str">
        <f aca="false">IF($A77="","",MAX(0,F76+G77-F77))</f>
        <v/>
      </c>
      <c r="I77" s="24" t="str">
        <f aca="false">IF($A77="","",Stock_Diario!G77)</f>
        <v/>
      </c>
      <c r="J77" s="24" t="str">
        <f aca="false">IF($A77="","",IF(SUMIFS(Recepciones!$C$5:$C$2000,Recepciones!$B$5:$B$2000,Config!$A$25,Recepciones!$A$5:$A$2000,"&gt;"&amp;$A76,Recepciones!$A$5:$A$2000,"&lt;="&amp;$A77)&gt;0,SUMIFS(Recepciones!$C$5:$C$2000,Recepciones!$B$5:$B$2000,Config!$A$25,Recepciones!$A$5:$A$2000,"&gt;"&amp;$A76,Recepciones!$A$5:$A$2000,"&lt;="&amp;$A77),MAX(0,I77-I76)))</f>
        <v/>
      </c>
      <c r="K77" s="24" t="str">
        <f aca="false">IF($A77="","",MAX(0,I76+J77-I77))</f>
        <v/>
      </c>
      <c r="L77" s="24" t="str">
        <f aca="false">IF($A77="","",E77+H77+K77)</f>
        <v/>
      </c>
      <c r="M77" s="4" t="str">
        <f aca="false">IF($A77="","",IF(AND(D77+G77+J77&gt;0,SUMIFS(Recepciones!$C$5:$C$2000,Recepciones!$A$5:$A$2000,"&gt;"&amp;$A76,Recepciones!$A$5:$A$2000,"&lt;="&amp;$A77)=0),"Aumento de stock sin recepción registrada",IF(B77&gt;1,"Intervalo de "&amp;B77&amp;" días","")))</f>
        <v/>
      </c>
    </row>
    <row r="78" customFormat="false" ht="15" hidden="false" customHeight="false" outlineLevel="0" collapsed="false">
      <c r="A78" s="5" t="str">
        <f aca="false">IF(Stock_Diario!A78="","",Stock_Diario!A78)</f>
        <v/>
      </c>
      <c r="B78" s="4" t="str">
        <f aca="false">IF($A78="","",$A78-$A77)</f>
        <v/>
      </c>
      <c r="C78" s="24" t="str">
        <f aca="false">IF($A78="","",Stock_Diario!E78)</f>
        <v/>
      </c>
      <c r="D78" s="24" t="str">
        <f aca="false">IF($A78="","",IF(SUMIFS(Recepciones!$C$5:$C$2000,Recepciones!$B$5:$B$2000,Config!$A$23,Recepciones!$A$5:$A$2000,"&gt;"&amp;$A77,Recepciones!$A$5:$A$2000,"&lt;="&amp;$A78)&gt;0,SUMIFS(Recepciones!$C$5:$C$2000,Recepciones!$B$5:$B$2000,Config!$A$23,Recepciones!$A$5:$A$2000,"&gt;"&amp;$A77,Recepciones!$A$5:$A$2000,"&lt;="&amp;$A78),MAX(0,C78-C77)))</f>
        <v/>
      </c>
      <c r="E78" s="24" t="str">
        <f aca="false">IF($A78="","",MAX(0,C77+D78-C78))</f>
        <v/>
      </c>
      <c r="F78" s="24" t="str">
        <f aca="false">IF($A78="","",Stock_Diario!F78)</f>
        <v/>
      </c>
      <c r="G78" s="24" t="str">
        <f aca="false">IF($A78="","",IF(SUMIFS(Recepciones!$C$5:$C$2000,Recepciones!$B$5:$B$2000,Config!$A$24,Recepciones!$A$5:$A$2000,"&gt;"&amp;$A77,Recepciones!$A$5:$A$2000,"&lt;="&amp;$A78)&gt;0,SUMIFS(Recepciones!$C$5:$C$2000,Recepciones!$B$5:$B$2000,Config!$A$24,Recepciones!$A$5:$A$2000,"&gt;"&amp;$A77,Recepciones!$A$5:$A$2000,"&lt;="&amp;$A78),MAX(0,F78-F77)))</f>
        <v/>
      </c>
      <c r="H78" s="24" t="str">
        <f aca="false">IF($A78="","",MAX(0,F77+G78-F78))</f>
        <v/>
      </c>
      <c r="I78" s="24" t="str">
        <f aca="false">IF($A78="","",Stock_Diario!G78)</f>
        <v/>
      </c>
      <c r="J78" s="24" t="str">
        <f aca="false">IF($A78="","",IF(SUMIFS(Recepciones!$C$5:$C$2000,Recepciones!$B$5:$B$2000,Config!$A$25,Recepciones!$A$5:$A$2000,"&gt;"&amp;$A77,Recepciones!$A$5:$A$2000,"&lt;="&amp;$A78)&gt;0,SUMIFS(Recepciones!$C$5:$C$2000,Recepciones!$B$5:$B$2000,Config!$A$25,Recepciones!$A$5:$A$2000,"&gt;"&amp;$A77,Recepciones!$A$5:$A$2000,"&lt;="&amp;$A78),MAX(0,I78-I77)))</f>
        <v/>
      </c>
      <c r="K78" s="24" t="str">
        <f aca="false">IF($A78="","",MAX(0,I77+J78-I78))</f>
        <v/>
      </c>
      <c r="L78" s="24" t="str">
        <f aca="false">IF($A78="","",E78+H78+K78)</f>
        <v/>
      </c>
      <c r="M78" s="4" t="str">
        <f aca="false">IF($A78="","",IF(AND(D78+G78+J78&gt;0,SUMIFS(Recepciones!$C$5:$C$2000,Recepciones!$A$5:$A$2000,"&gt;"&amp;$A77,Recepciones!$A$5:$A$2000,"&lt;="&amp;$A78)=0),"Aumento de stock sin recepción registrada",IF(B78&gt;1,"Intervalo de "&amp;B78&amp;" días","")))</f>
        <v/>
      </c>
    </row>
    <row r="79" customFormat="false" ht="15" hidden="false" customHeight="false" outlineLevel="0" collapsed="false">
      <c r="A79" s="5" t="str">
        <f aca="false">IF(Stock_Diario!A79="","",Stock_Diario!A79)</f>
        <v/>
      </c>
      <c r="B79" s="4" t="str">
        <f aca="false">IF($A79="","",$A79-$A78)</f>
        <v/>
      </c>
      <c r="C79" s="24" t="str">
        <f aca="false">IF($A79="","",Stock_Diario!E79)</f>
        <v/>
      </c>
      <c r="D79" s="24" t="str">
        <f aca="false">IF($A79="","",IF(SUMIFS(Recepciones!$C$5:$C$2000,Recepciones!$B$5:$B$2000,Config!$A$23,Recepciones!$A$5:$A$2000,"&gt;"&amp;$A78,Recepciones!$A$5:$A$2000,"&lt;="&amp;$A79)&gt;0,SUMIFS(Recepciones!$C$5:$C$2000,Recepciones!$B$5:$B$2000,Config!$A$23,Recepciones!$A$5:$A$2000,"&gt;"&amp;$A78,Recepciones!$A$5:$A$2000,"&lt;="&amp;$A79),MAX(0,C79-C78)))</f>
        <v/>
      </c>
      <c r="E79" s="24" t="str">
        <f aca="false">IF($A79="","",MAX(0,C78+D79-C79))</f>
        <v/>
      </c>
      <c r="F79" s="24" t="str">
        <f aca="false">IF($A79="","",Stock_Diario!F79)</f>
        <v/>
      </c>
      <c r="G79" s="24" t="str">
        <f aca="false">IF($A79="","",IF(SUMIFS(Recepciones!$C$5:$C$2000,Recepciones!$B$5:$B$2000,Config!$A$24,Recepciones!$A$5:$A$2000,"&gt;"&amp;$A78,Recepciones!$A$5:$A$2000,"&lt;="&amp;$A79)&gt;0,SUMIFS(Recepciones!$C$5:$C$2000,Recepciones!$B$5:$B$2000,Config!$A$24,Recepciones!$A$5:$A$2000,"&gt;"&amp;$A78,Recepciones!$A$5:$A$2000,"&lt;="&amp;$A79),MAX(0,F79-F78)))</f>
        <v/>
      </c>
      <c r="H79" s="24" t="str">
        <f aca="false">IF($A79="","",MAX(0,F78+G79-F79))</f>
        <v/>
      </c>
      <c r="I79" s="24" t="str">
        <f aca="false">IF($A79="","",Stock_Diario!G79)</f>
        <v/>
      </c>
      <c r="J79" s="24" t="str">
        <f aca="false">IF($A79="","",IF(SUMIFS(Recepciones!$C$5:$C$2000,Recepciones!$B$5:$B$2000,Config!$A$25,Recepciones!$A$5:$A$2000,"&gt;"&amp;$A78,Recepciones!$A$5:$A$2000,"&lt;="&amp;$A79)&gt;0,SUMIFS(Recepciones!$C$5:$C$2000,Recepciones!$B$5:$B$2000,Config!$A$25,Recepciones!$A$5:$A$2000,"&gt;"&amp;$A78,Recepciones!$A$5:$A$2000,"&lt;="&amp;$A79),MAX(0,I79-I78)))</f>
        <v/>
      </c>
      <c r="K79" s="24" t="str">
        <f aca="false">IF($A79="","",MAX(0,I78+J79-I79))</f>
        <v/>
      </c>
      <c r="L79" s="24" t="str">
        <f aca="false">IF($A79="","",E79+H79+K79)</f>
        <v/>
      </c>
      <c r="M79" s="4" t="str">
        <f aca="false">IF($A79="","",IF(AND(D79+G79+J79&gt;0,SUMIFS(Recepciones!$C$5:$C$2000,Recepciones!$A$5:$A$2000,"&gt;"&amp;$A78,Recepciones!$A$5:$A$2000,"&lt;="&amp;$A79)=0),"Aumento de stock sin recepción registrada",IF(B79&gt;1,"Intervalo de "&amp;B79&amp;" días","")))</f>
        <v/>
      </c>
    </row>
    <row r="80" customFormat="false" ht="15" hidden="false" customHeight="false" outlineLevel="0" collapsed="false">
      <c r="A80" s="5" t="str">
        <f aca="false">IF(Stock_Diario!A80="","",Stock_Diario!A80)</f>
        <v/>
      </c>
      <c r="B80" s="4" t="str">
        <f aca="false">IF($A80="","",$A80-$A79)</f>
        <v/>
      </c>
      <c r="C80" s="24" t="str">
        <f aca="false">IF($A80="","",Stock_Diario!E80)</f>
        <v/>
      </c>
      <c r="D80" s="24" t="str">
        <f aca="false">IF($A80="","",IF(SUMIFS(Recepciones!$C$5:$C$2000,Recepciones!$B$5:$B$2000,Config!$A$23,Recepciones!$A$5:$A$2000,"&gt;"&amp;$A79,Recepciones!$A$5:$A$2000,"&lt;="&amp;$A80)&gt;0,SUMIFS(Recepciones!$C$5:$C$2000,Recepciones!$B$5:$B$2000,Config!$A$23,Recepciones!$A$5:$A$2000,"&gt;"&amp;$A79,Recepciones!$A$5:$A$2000,"&lt;="&amp;$A80),MAX(0,C80-C79)))</f>
        <v/>
      </c>
      <c r="E80" s="24" t="str">
        <f aca="false">IF($A80="","",MAX(0,C79+D80-C80))</f>
        <v/>
      </c>
      <c r="F80" s="24" t="str">
        <f aca="false">IF($A80="","",Stock_Diario!F80)</f>
        <v/>
      </c>
      <c r="G80" s="24" t="str">
        <f aca="false">IF($A80="","",IF(SUMIFS(Recepciones!$C$5:$C$2000,Recepciones!$B$5:$B$2000,Config!$A$24,Recepciones!$A$5:$A$2000,"&gt;"&amp;$A79,Recepciones!$A$5:$A$2000,"&lt;="&amp;$A80)&gt;0,SUMIFS(Recepciones!$C$5:$C$2000,Recepciones!$B$5:$B$2000,Config!$A$24,Recepciones!$A$5:$A$2000,"&gt;"&amp;$A79,Recepciones!$A$5:$A$2000,"&lt;="&amp;$A80),MAX(0,F80-F79)))</f>
        <v/>
      </c>
      <c r="H80" s="24" t="str">
        <f aca="false">IF($A80="","",MAX(0,F79+G80-F80))</f>
        <v/>
      </c>
      <c r="I80" s="24" t="str">
        <f aca="false">IF($A80="","",Stock_Diario!G80)</f>
        <v/>
      </c>
      <c r="J80" s="24" t="str">
        <f aca="false">IF($A80="","",IF(SUMIFS(Recepciones!$C$5:$C$2000,Recepciones!$B$5:$B$2000,Config!$A$25,Recepciones!$A$5:$A$2000,"&gt;"&amp;$A79,Recepciones!$A$5:$A$2000,"&lt;="&amp;$A80)&gt;0,SUMIFS(Recepciones!$C$5:$C$2000,Recepciones!$B$5:$B$2000,Config!$A$25,Recepciones!$A$5:$A$2000,"&gt;"&amp;$A79,Recepciones!$A$5:$A$2000,"&lt;="&amp;$A80),MAX(0,I80-I79)))</f>
        <v/>
      </c>
      <c r="K80" s="24" t="str">
        <f aca="false">IF($A80="","",MAX(0,I79+J80-I80))</f>
        <v/>
      </c>
      <c r="L80" s="24" t="str">
        <f aca="false">IF($A80="","",E80+H80+K80)</f>
        <v/>
      </c>
      <c r="M80" s="4" t="str">
        <f aca="false">IF($A80="","",IF(AND(D80+G80+J80&gt;0,SUMIFS(Recepciones!$C$5:$C$2000,Recepciones!$A$5:$A$2000,"&gt;"&amp;$A79,Recepciones!$A$5:$A$2000,"&lt;="&amp;$A80)=0),"Aumento de stock sin recepción registrada",IF(B80&gt;1,"Intervalo de "&amp;B80&amp;" días","")))</f>
        <v/>
      </c>
    </row>
    <row r="81" customFormat="false" ht="15" hidden="false" customHeight="false" outlineLevel="0" collapsed="false">
      <c r="A81" s="5" t="str">
        <f aca="false">IF(Stock_Diario!A81="","",Stock_Diario!A81)</f>
        <v/>
      </c>
      <c r="B81" s="4" t="str">
        <f aca="false">IF($A81="","",$A81-$A80)</f>
        <v/>
      </c>
      <c r="C81" s="24" t="str">
        <f aca="false">IF($A81="","",Stock_Diario!E81)</f>
        <v/>
      </c>
      <c r="D81" s="24" t="str">
        <f aca="false">IF($A81="","",IF(SUMIFS(Recepciones!$C$5:$C$2000,Recepciones!$B$5:$B$2000,Config!$A$23,Recepciones!$A$5:$A$2000,"&gt;"&amp;$A80,Recepciones!$A$5:$A$2000,"&lt;="&amp;$A81)&gt;0,SUMIFS(Recepciones!$C$5:$C$2000,Recepciones!$B$5:$B$2000,Config!$A$23,Recepciones!$A$5:$A$2000,"&gt;"&amp;$A80,Recepciones!$A$5:$A$2000,"&lt;="&amp;$A81),MAX(0,C81-C80)))</f>
        <v/>
      </c>
      <c r="E81" s="24" t="str">
        <f aca="false">IF($A81="","",MAX(0,C80+D81-C81))</f>
        <v/>
      </c>
      <c r="F81" s="24" t="str">
        <f aca="false">IF($A81="","",Stock_Diario!F81)</f>
        <v/>
      </c>
      <c r="G81" s="24" t="str">
        <f aca="false">IF($A81="","",IF(SUMIFS(Recepciones!$C$5:$C$2000,Recepciones!$B$5:$B$2000,Config!$A$24,Recepciones!$A$5:$A$2000,"&gt;"&amp;$A80,Recepciones!$A$5:$A$2000,"&lt;="&amp;$A81)&gt;0,SUMIFS(Recepciones!$C$5:$C$2000,Recepciones!$B$5:$B$2000,Config!$A$24,Recepciones!$A$5:$A$2000,"&gt;"&amp;$A80,Recepciones!$A$5:$A$2000,"&lt;="&amp;$A81),MAX(0,F81-F80)))</f>
        <v/>
      </c>
      <c r="H81" s="24" t="str">
        <f aca="false">IF($A81="","",MAX(0,F80+G81-F81))</f>
        <v/>
      </c>
      <c r="I81" s="24" t="str">
        <f aca="false">IF($A81="","",Stock_Diario!G81)</f>
        <v/>
      </c>
      <c r="J81" s="24" t="str">
        <f aca="false">IF($A81="","",IF(SUMIFS(Recepciones!$C$5:$C$2000,Recepciones!$B$5:$B$2000,Config!$A$25,Recepciones!$A$5:$A$2000,"&gt;"&amp;$A80,Recepciones!$A$5:$A$2000,"&lt;="&amp;$A81)&gt;0,SUMIFS(Recepciones!$C$5:$C$2000,Recepciones!$B$5:$B$2000,Config!$A$25,Recepciones!$A$5:$A$2000,"&gt;"&amp;$A80,Recepciones!$A$5:$A$2000,"&lt;="&amp;$A81),MAX(0,I81-I80)))</f>
        <v/>
      </c>
      <c r="K81" s="24" t="str">
        <f aca="false">IF($A81="","",MAX(0,I80+J81-I81))</f>
        <v/>
      </c>
      <c r="L81" s="24" t="str">
        <f aca="false">IF($A81="","",E81+H81+K81)</f>
        <v/>
      </c>
      <c r="M81" s="4" t="str">
        <f aca="false">IF($A81="","",IF(AND(D81+G81+J81&gt;0,SUMIFS(Recepciones!$C$5:$C$2000,Recepciones!$A$5:$A$2000,"&gt;"&amp;$A80,Recepciones!$A$5:$A$2000,"&lt;="&amp;$A81)=0),"Aumento de stock sin recepción registrada",IF(B81&gt;1,"Intervalo de "&amp;B81&amp;" días","")))</f>
        <v/>
      </c>
    </row>
    <row r="82" customFormat="false" ht="15" hidden="false" customHeight="false" outlineLevel="0" collapsed="false">
      <c r="A82" s="5" t="str">
        <f aca="false">IF(Stock_Diario!A82="","",Stock_Diario!A82)</f>
        <v/>
      </c>
      <c r="B82" s="4" t="str">
        <f aca="false">IF($A82="","",$A82-$A81)</f>
        <v/>
      </c>
      <c r="C82" s="24" t="str">
        <f aca="false">IF($A82="","",Stock_Diario!E82)</f>
        <v/>
      </c>
      <c r="D82" s="24" t="str">
        <f aca="false">IF($A82="","",IF(SUMIFS(Recepciones!$C$5:$C$2000,Recepciones!$B$5:$B$2000,Config!$A$23,Recepciones!$A$5:$A$2000,"&gt;"&amp;$A81,Recepciones!$A$5:$A$2000,"&lt;="&amp;$A82)&gt;0,SUMIFS(Recepciones!$C$5:$C$2000,Recepciones!$B$5:$B$2000,Config!$A$23,Recepciones!$A$5:$A$2000,"&gt;"&amp;$A81,Recepciones!$A$5:$A$2000,"&lt;="&amp;$A82),MAX(0,C82-C81)))</f>
        <v/>
      </c>
      <c r="E82" s="24" t="str">
        <f aca="false">IF($A82="","",MAX(0,C81+D82-C82))</f>
        <v/>
      </c>
      <c r="F82" s="24" t="str">
        <f aca="false">IF($A82="","",Stock_Diario!F82)</f>
        <v/>
      </c>
      <c r="G82" s="24" t="str">
        <f aca="false">IF($A82="","",IF(SUMIFS(Recepciones!$C$5:$C$2000,Recepciones!$B$5:$B$2000,Config!$A$24,Recepciones!$A$5:$A$2000,"&gt;"&amp;$A81,Recepciones!$A$5:$A$2000,"&lt;="&amp;$A82)&gt;0,SUMIFS(Recepciones!$C$5:$C$2000,Recepciones!$B$5:$B$2000,Config!$A$24,Recepciones!$A$5:$A$2000,"&gt;"&amp;$A81,Recepciones!$A$5:$A$2000,"&lt;="&amp;$A82),MAX(0,F82-F81)))</f>
        <v/>
      </c>
      <c r="H82" s="24" t="str">
        <f aca="false">IF($A82="","",MAX(0,F81+G82-F82))</f>
        <v/>
      </c>
      <c r="I82" s="24" t="str">
        <f aca="false">IF($A82="","",Stock_Diario!G82)</f>
        <v/>
      </c>
      <c r="J82" s="24" t="str">
        <f aca="false">IF($A82="","",IF(SUMIFS(Recepciones!$C$5:$C$2000,Recepciones!$B$5:$B$2000,Config!$A$25,Recepciones!$A$5:$A$2000,"&gt;"&amp;$A81,Recepciones!$A$5:$A$2000,"&lt;="&amp;$A82)&gt;0,SUMIFS(Recepciones!$C$5:$C$2000,Recepciones!$B$5:$B$2000,Config!$A$25,Recepciones!$A$5:$A$2000,"&gt;"&amp;$A81,Recepciones!$A$5:$A$2000,"&lt;="&amp;$A82),MAX(0,I82-I81)))</f>
        <v/>
      </c>
      <c r="K82" s="24" t="str">
        <f aca="false">IF($A82="","",MAX(0,I81+J82-I82))</f>
        <v/>
      </c>
      <c r="L82" s="24" t="str">
        <f aca="false">IF($A82="","",E82+H82+K82)</f>
        <v/>
      </c>
      <c r="M82" s="4" t="str">
        <f aca="false">IF($A82="","",IF(AND(D82+G82+J82&gt;0,SUMIFS(Recepciones!$C$5:$C$2000,Recepciones!$A$5:$A$2000,"&gt;"&amp;$A81,Recepciones!$A$5:$A$2000,"&lt;="&amp;$A82)=0),"Aumento de stock sin recepción registrada",IF(B82&gt;1,"Intervalo de "&amp;B82&amp;" días","")))</f>
        <v/>
      </c>
    </row>
    <row r="83" customFormat="false" ht="15" hidden="false" customHeight="false" outlineLevel="0" collapsed="false">
      <c r="A83" s="5" t="str">
        <f aca="false">IF(Stock_Diario!A83="","",Stock_Diario!A83)</f>
        <v/>
      </c>
      <c r="B83" s="4" t="str">
        <f aca="false">IF($A83="","",$A83-$A82)</f>
        <v/>
      </c>
      <c r="C83" s="24" t="str">
        <f aca="false">IF($A83="","",Stock_Diario!E83)</f>
        <v/>
      </c>
      <c r="D83" s="24" t="str">
        <f aca="false">IF($A83="","",IF(SUMIFS(Recepciones!$C$5:$C$2000,Recepciones!$B$5:$B$2000,Config!$A$23,Recepciones!$A$5:$A$2000,"&gt;"&amp;$A82,Recepciones!$A$5:$A$2000,"&lt;="&amp;$A83)&gt;0,SUMIFS(Recepciones!$C$5:$C$2000,Recepciones!$B$5:$B$2000,Config!$A$23,Recepciones!$A$5:$A$2000,"&gt;"&amp;$A82,Recepciones!$A$5:$A$2000,"&lt;="&amp;$A83),MAX(0,C83-C82)))</f>
        <v/>
      </c>
      <c r="E83" s="24" t="str">
        <f aca="false">IF($A83="","",MAX(0,C82+D83-C83))</f>
        <v/>
      </c>
      <c r="F83" s="24" t="str">
        <f aca="false">IF($A83="","",Stock_Diario!F83)</f>
        <v/>
      </c>
      <c r="G83" s="24" t="str">
        <f aca="false">IF($A83="","",IF(SUMIFS(Recepciones!$C$5:$C$2000,Recepciones!$B$5:$B$2000,Config!$A$24,Recepciones!$A$5:$A$2000,"&gt;"&amp;$A82,Recepciones!$A$5:$A$2000,"&lt;="&amp;$A83)&gt;0,SUMIFS(Recepciones!$C$5:$C$2000,Recepciones!$B$5:$B$2000,Config!$A$24,Recepciones!$A$5:$A$2000,"&gt;"&amp;$A82,Recepciones!$A$5:$A$2000,"&lt;="&amp;$A83),MAX(0,F83-F82)))</f>
        <v/>
      </c>
      <c r="H83" s="24" t="str">
        <f aca="false">IF($A83="","",MAX(0,F82+G83-F83))</f>
        <v/>
      </c>
      <c r="I83" s="24" t="str">
        <f aca="false">IF($A83="","",Stock_Diario!G83)</f>
        <v/>
      </c>
      <c r="J83" s="24" t="str">
        <f aca="false">IF($A83="","",IF(SUMIFS(Recepciones!$C$5:$C$2000,Recepciones!$B$5:$B$2000,Config!$A$25,Recepciones!$A$5:$A$2000,"&gt;"&amp;$A82,Recepciones!$A$5:$A$2000,"&lt;="&amp;$A83)&gt;0,SUMIFS(Recepciones!$C$5:$C$2000,Recepciones!$B$5:$B$2000,Config!$A$25,Recepciones!$A$5:$A$2000,"&gt;"&amp;$A82,Recepciones!$A$5:$A$2000,"&lt;="&amp;$A83),MAX(0,I83-I82)))</f>
        <v/>
      </c>
      <c r="K83" s="24" t="str">
        <f aca="false">IF($A83="","",MAX(0,I82+J83-I83))</f>
        <v/>
      </c>
      <c r="L83" s="24" t="str">
        <f aca="false">IF($A83="","",E83+H83+K83)</f>
        <v/>
      </c>
      <c r="M83" s="4" t="str">
        <f aca="false">IF($A83="","",IF(AND(D83+G83+J83&gt;0,SUMIFS(Recepciones!$C$5:$C$2000,Recepciones!$A$5:$A$2000,"&gt;"&amp;$A82,Recepciones!$A$5:$A$2000,"&lt;="&amp;$A83)=0),"Aumento de stock sin recepción registrada",IF(B83&gt;1,"Intervalo de "&amp;B83&amp;" días","")))</f>
        <v/>
      </c>
    </row>
    <row r="84" customFormat="false" ht="15" hidden="false" customHeight="false" outlineLevel="0" collapsed="false">
      <c r="A84" s="5" t="str">
        <f aca="false">IF(Stock_Diario!A84="","",Stock_Diario!A84)</f>
        <v/>
      </c>
      <c r="B84" s="4" t="str">
        <f aca="false">IF($A84="","",$A84-$A83)</f>
        <v/>
      </c>
      <c r="C84" s="24" t="str">
        <f aca="false">IF($A84="","",Stock_Diario!E84)</f>
        <v/>
      </c>
      <c r="D84" s="24" t="str">
        <f aca="false">IF($A84="","",IF(SUMIFS(Recepciones!$C$5:$C$2000,Recepciones!$B$5:$B$2000,Config!$A$23,Recepciones!$A$5:$A$2000,"&gt;"&amp;$A83,Recepciones!$A$5:$A$2000,"&lt;="&amp;$A84)&gt;0,SUMIFS(Recepciones!$C$5:$C$2000,Recepciones!$B$5:$B$2000,Config!$A$23,Recepciones!$A$5:$A$2000,"&gt;"&amp;$A83,Recepciones!$A$5:$A$2000,"&lt;="&amp;$A84),MAX(0,C84-C83)))</f>
        <v/>
      </c>
      <c r="E84" s="24" t="str">
        <f aca="false">IF($A84="","",MAX(0,C83+D84-C84))</f>
        <v/>
      </c>
      <c r="F84" s="24" t="str">
        <f aca="false">IF($A84="","",Stock_Diario!F84)</f>
        <v/>
      </c>
      <c r="G84" s="24" t="str">
        <f aca="false">IF($A84="","",IF(SUMIFS(Recepciones!$C$5:$C$2000,Recepciones!$B$5:$B$2000,Config!$A$24,Recepciones!$A$5:$A$2000,"&gt;"&amp;$A83,Recepciones!$A$5:$A$2000,"&lt;="&amp;$A84)&gt;0,SUMIFS(Recepciones!$C$5:$C$2000,Recepciones!$B$5:$B$2000,Config!$A$24,Recepciones!$A$5:$A$2000,"&gt;"&amp;$A83,Recepciones!$A$5:$A$2000,"&lt;="&amp;$A84),MAX(0,F84-F83)))</f>
        <v/>
      </c>
      <c r="H84" s="24" t="str">
        <f aca="false">IF($A84="","",MAX(0,F83+G84-F84))</f>
        <v/>
      </c>
      <c r="I84" s="24" t="str">
        <f aca="false">IF($A84="","",Stock_Diario!G84)</f>
        <v/>
      </c>
      <c r="J84" s="24" t="str">
        <f aca="false">IF($A84="","",IF(SUMIFS(Recepciones!$C$5:$C$2000,Recepciones!$B$5:$B$2000,Config!$A$25,Recepciones!$A$5:$A$2000,"&gt;"&amp;$A83,Recepciones!$A$5:$A$2000,"&lt;="&amp;$A84)&gt;0,SUMIFS(Recepciones!$C$5:$C$2000,Recepciones!$B$5:$B$2000,Config!$A$25,Recepciones!$A$5:$A$2000,"&gt;"&amp;$A83,Recepciones!$A$5:$A$2000,"&lt;="&amp;$A84),MAX(0,I84-I83)))</f>
        <v/>
      </c>
      <c r="K84" s="24" t="str">
        <f aca="false">IF($A84="","",MAX(0,I83+J84-I84))</f>
        <v/>
      </c>
      <c r="L84" s="24" t="str">
        <f aca="false">IF($A84="","",E84+H84+K84)</f>
        <v/>
      </c>
      <c r="M84" s="4" t="str">
        <f aca="false">IF($A84="","",IF(AND(D84+G84+J84&gt;0,SUMIFS(Recepciones!$C$5:$C$2000,Recepciones!$A$5:$A$2000,"&gt;"&amp;$A83,Recepciones!$A$5:$A$2000,"&lt;="&amp;$A84)=0),"Aumento de stock sin recepción registrada",IF(B84&gt;1,"Intervalo de "&amp;B84&amp;" días","")))</f>
        <v/>
      </c>
    </row>
    <row r="85" customFormat="false" ht="15" hidden="false" customHeight="false" outlineLevel="0" collapsed="false">
      <c r="A85" s="5" t="str">
        <f aca="false">IF(Stock_Diario!A85="","",Stock_Diario!A85)</f>
        <v/>
      </c>
      <c r="B85" s="4" t="str">
        <f aca="false">IF($A85="","",$A85-$A84)</f>
        <v/>
      </c>
      <c r="C85" s="24" t="str">
        <f aca="false">IF($A85="","",Stock_Diario!E85)</f>
        <v/>
      </c>
      <c r="D85" s="24" t="str">
        <f aca="false">IF($A85="","",IF(SUMIFS(Recepciones!$C$5:$C$2000,Recepciones!$B$5:$B$2000,Config!$A$23,Recepciones!$A$5:$A$2000,"&gt;"&amp;$A84,Recepciones!$A$5:$A$2000,"&lt;="&amp;$A85)&gt;0,SUMIFS(Recepciones!$C$5:$C$2000,Recepciones!$B$5:$B$2000,Config!$A$23,Recepciones!$A$5:$A$2000,"&gt;"&amp;$A84,Recepciones!$A$5:$A$2000,"&lt;="&amp;$A85),MAX(0,C85-C84)))</f>
        <v/>
      </c>
      <c r="E85" s="24" t="str">
        <f aca="false">IF($A85="","",MAX(0,C84+D85-C85))</f>
        <v/>
      </c>
      <c r="F85" s="24" t="str">
        <f aca="false">IF($A85="","",Stock_Diario!F85)</f>
        <v/>
      </c>
      <c r="G85" s="24" t="str">
        <f aca="false">IF($A85="","",IF(SUMIFS(Recepciones!$C$5:$C$2000,Recepciones!$B$5:$B$2000,Config!$A$24,Recepciones!$A$5:$A$2000,"&gt;"&amp;$A84,Recepciones!$A$5:$A$2000,"&lt;="&amp;$A85)&gt;0,SUMIFS(Recepciones!$C$5:$C$2000,Recepciones!$B$5:$B$2000,Config!$A$24,Recepciones!$A$5:$A$2000,"&gt;"&amp;$A84,Recepciones!$A$5:$A$2000,"&lt;="&amp;$A85),MAX(0,F85-F84)))</f>
        <v/>
      </c>
      <c r="H85" s="24" t="str">
        <f aca="false">IF($A85="","",MAX(0,F84+G85-F85))</f>
        <v/>
      </c>
      <c r="I85" s="24" t="str">
        <f aca="false">IF($A85="","",Stock_Diario!G85)</f>
        <v/>
      </c>
      <c r="J85" s="24" t="str">
        <f aca="false">IF($A85="","",IF(SUMIFS(Recepciones!$C$5:$C$2000,Recepciones!$B$5:$B$2000,Config!$A$25,Recepciones!$A$5:$A$2000,"&gt;"&amp;$A84,Recepciones!$A$5:$A$2000,"&lt;="&amp;$A85)&gt;0,SUMIFS(Recepciones!$C$5:$C$2000,Recepciones!$B$5:$B$2000,Config!$A$25,Recepciones!$A$5:$A$2000,"&gt;"&amp;$A84,Recepciones!$A$5:$A$2000,"&lt;="&amp;$A85),MAX(0,I85-I84)))</f>
        <v/>
      </c>
      <c r="K85" s="24" t="str">
        <f aca="false">IF($A85="","",MAX(0,I84+J85-I85))</f>
        <v/>
      </c>
      <c r="L85" s="24" t="str">
        <f aca="false">IF($A85="","",E85+H85+K85)</f>
        <v/>
      </c>
      <c r="M85" s="4" t="str">
        <f aca="false">IF($A85="","",IF(AND(D85+G85+J85&gt;0,SUMIFS(Recepciones!$C$5:$C$2000,Recepciones!$A$5:$A$2000,"&gt;"&amp;$A84,Recepciones!$A$5:$A$2000,"&lt;="&amp;$A85)=0),"Aumento de stock sin recepción registrada",IF(B85&gt;1,"Intervalo de "&amp;B85&amp;" días","")))</f>
        <v/>
      </c>
    </row>
    <row r="86" customFormat="false" ht="15" hidden="false" customHeight="false" outlineLevel="0" collapsed="false">
      <c r="A86" s="5" t="str">
        <f aca="false">IF(Stock_Diario!A86="","",Stock_Diario!A86)</f>
        <v/>
      </c>
      <c r="B86" s="4" t="str">
        <f aca="false">IF($A86="","",$A86-$A85)</f>
        <v/>
      </c>
      <c r="C86" s="24" t="str">
        <f aca="false">IF($A86="","",Stock_Diario!E86)</f>
        <v/>
      </c>
      <c r="D86" s="24" t="str">
        <f aca="false">IF($A86="","",IF(SUMIFS(Recepciones!$C$5:$C$2000,Recepciones!$B$5:$B$2000,Config!$A$23,Recepciones!$A$5:$A$2000,"&gt;"&amp;$A85,Recepciones!$A$5:$A$2000,"&lt;="&amp;$A86)&gt;0,SUMIFS(Recepciones!$C$5:$C$2000,Recepciones!$B$5:$B$2000,Config!$A$23,Recepciones!$A$5:$A$2000,"&gt;"&amp;$A85,Recepciones!$A$5:$A$2000,"&lt;="&amp;$A86),MAX(0,C86-C85)))</f>
        <v/>
      </c>
      <c r="E86" s="24" t="str">
        <f aca="false">IF($A86="","",MAX(0,C85+D86-C86))</f>
        <v/>
      </c>
      <c r="F86" s="24" t="str">
        <f aca="false">IF($A86="","",Stock_Diario!F86)</f>
        <v/>
      </c>
      <c r="G86" s="24" t="str">
        <f aca="false">IF($A86="","",IF(SUMIFS(Recepciones!$C$5:$C$2000,Recepciones!$B$5:$B$2000,Config!$A$24,Recepciones!$A$5:$A$2000,"&gt;"&amp;$A85,Recepciones!$A$5:$A$2000,"&lt;="&amp;$A86)&gt;0,SUMIFS(Recepciones!$C$5:$C$2000,Recepciones!$B$5:$B$2000,Config!$A$24,Recepciones!$A$5:$A$2000,"&gt;"&amp;$A85,Recepciones!$A$5:$A$2000,"&lt;="&amp;$A86),MAX(0,F86-F85)))</f>
        <v/>
      </c>
      <c r="H86" s="24" t="str">
        <f aca="false">IF($A86="","",MAX(0,F85+G86-F86))</f>
        <v/>
      </c>
      <c r="I86" s="24" t="str">
        <f aca="false">IF($A86="","",Stock_Diario!G86)</f>
        <v/>
      </c>
      <c r="J86" s="24" t="str">
        <f aca="false">IF($A86="","",IF(SUMIFS(Recepciones!$C$5:$C$2000,Recepciones!$B$5:$B$2000,Config!$A$25,Recepciones!$A$5:$A$2000,"&gt;"&amp;$A85,Recepciones!$A$5:$A$2000,"&lt;="&amp;$A86)&gt;0,SUMIFS(Recepciones!$C$5:$C$2000,Recepciones!$B$5:$B$2000,Config!$A$25,Recepciones!$A$5:$A$2000,"&gt;"&amp;$A85,Recepciones!$A$5:$A$2000,"&lt;="&amp;$A86),MAX(0,I86-I85)))</f>
        <v/>
      </c>
      <c r="K86" s="24" t="str">
        <f aca="false">IF($A86="","",MAX(0,I85+J86-I86))</f>
        <v/>
      </c>
      <c r="L86" s="24" t="str">
        <f aca="false">IF($A86="","",E86+H86+K86)</f>
        <v/>
      </c>
      <c r="M86" s="4" t="str">
        <f aca="false">IF($A86="","",IF(AND(D86+G86+J86&gt;0,SUMIFS(Recepciones!$C$5:$C$2000,Recepciones!$A$5:$A$2000,"&gt;"&amp;$A85,Recepciones!$A$5:$A$2000,"&lt;="&amp;$A86)=0),"Aumento de stock sin recepción registrada",IF(B86&gt;1,"Intervalo de "&amp;B86&amp;" días","")))</f>
        <v/>
      </c>
    </row>
    <row r="87" customFormat="false" ht="15" hidden="false" customHeight="false" outlineLevel="0" collapsed="false">
      <c r="A87" s="5" t="str">
        <f aca="false">IF(Stock_Diario!A87="","",Stock_Diario!A87)</f>
        <v/>
      </c>
      <c r="B87" s="4" t="str">
        <f aca="false">IF($A87="","",$A87-$A86)</f>
        <v/>
      </c>
      <c r="C87" s="24" t="str">
        <f aca="false">IF($A87="","",Stock_Diario!E87)</f>
        <v/>
      </c>
      <c r="D87" s="24" t="str">
        <f aca="false">IF($A87="","",IF(SUMIFS(Recepciones!$C$5:$C$2000,Recepciones!$B$5:$B$2000,Config!$A$23,Recepciones!$A$5:$A$2000,"&gt;"&amp;$A86,Recepciones!$A$5:$A$2000,"&lt;="&amp;$A87)&gt;0,SUMIFS(Recepciones!$C$5:$C$2000,Recepciones!$B$5:$B$2000,Config!$A$23,Recepciones!$A$5:$A$2000,"&gt;"&amp;$A86,Recepciones!$A$5:$A$2000,"&lt;="&amp;$A87),MAX(0,C87-C86)))</f>
        <v/>
      </c>
      <c r="E87" s="24" t="str">
        <f aca="false">IF($A87="","",MAX(0,C86+D87-C87))</f>
        <v/>
      </c>
      <c r="F87" s="24" t="str">
        <f aca="false">IF($A87="","",Stock_Diario!F87)</f>
        <v/>
      </c>
      <c r="G87" s="24" t="str">
        <f aca="false">IF($A87="","",IF(SUMIFS(Recepciones!$C$5:$C$2000,Recepciones!$B$5:$B$2000,Config!$A$24,Recepciones!$A$5:$A$2000,"&gt;"&amp;$A86,Recepciones!$A$5:$A$2000,"&lt;="&amp;$A87)&gt;0,SUMIFS(Recepciones!$C$5:$C$2000,Recepciones!$B$5:$B$2000,Config!$A$24,Recepciones!$A$5:$A$2000,"&gt;"&amp;$A86,Recepciones!$A$5:$A$2000,"&lt;="&amp;$A87),MAX(0,F87-F86)))</f>
        <v/>
      </c>
      <c r="H87" s="24" t="str">
        <f aca="false">IF($A87="","",MAX(0,F86+G87-F87))</f>
        <v/>
      </c>
      <c r="I87" s="24" t="str">
        <f aca="false">IF($A87="","",Stock_Diario!G87)</f>
        <v/>
      </c>
      <c r="J87" s="24" t="str">
        <f aca="false">IF($A87="","",IF(SUMIFS(Recepciones!$C$5:$C$2000,Recepciones!$B$5:$B$2000,Config!$A$25,Recepciones!$A$5:$A$2000,"&gt;"&amp;$A86,Recepciones!$A$5:$A$2000,"&lt;="&amp;$A87)&gt;0,SUMIFS(Recepciones!$C$5:$C$2000,Recepciones!$B$5:$B$2000,Config!$A$25,Recepciones!$A$5:$A$2000,"&gt;"&amp;$A86,Recepciones!$A$5:$A$2000,"&lt;="&amp;$A87),MAX(0,I87-I86)))</f>
        <v/>
      </c>
      <c r="K87" s="24" t="str">
        <f aca="false">IF($A87="","",MAX(0,I86+J87-I87))</f>
        <v/>
      </c>
      <c r="L87" s="24" t="str">
        <f aca="false">IF($A87="","",E87+H87+K87)</f>
        <v/>
      </c>
      <c r="M87" s="4" t="str">
        <f aca="false">IF($A87="","",IF(AND(D87+G87+J87&gt;0,SUMIFS(Recepciones!$C$5:$C$2000,Recepciones!$A$5:$A$2000,"&gt;"&amp;$A86,Recepciones!$A$5:$A$2000,"&lt;="&amp;$A87)=0),"Aumento de stock sin recepción registrada",IF(B87&gt;1,"Intervalo de "&amp;B87&amp;" días","")))</f>
        <v/>
      </c>
    </row>
    <row r="88" customFormat="false" ht="15" hidden="false" customHeight="false" outlineLevel="0" collapsed="false">
      <c r="A88" s="5" t="str">
        <f aca="false">IF(Stock_Diario!A88="","",Stock_Diario!A88)</f>
        <v/>
      </c>
      <c r="B88" s="4" t="str">
        <f aca="false">IF($A88="","",$A88-$A87)</f>
        <v/>
      </c>
      <c r="C88" s="24" t="str">
        <f aca="false">IF($A88="","",Stock_Diario!E88)</f>
        <v/>
      </c>
      <c r="D88" s="24" t="str">
        <f aca="false">IF($A88="","",IF(SUMIFS(Recepciones!$C$5:$C$2000,Recepciones!$B$5:$B$2000,Config!$A$23,Recepciones!$A$5:$A$2000,"&gt;"&amp;$A87,Recepciones!$A$5:$A$2000,"&lt;="&amp;$A88)&gt;0,SUMIFS(Recepciones!$C$5:$C$2000,Recepciones!$B$5:$B$2000,Config!$A$23,Recepciones!$A$5:$A$2000,"&gt;"&amp;$A87,Recepciones!$A$5:$A$2000,"&lt;="&amp;$A88),MAX(0,C88-C87)))</f>
        <v/>
      </c>
      <c r="E88" s="24" t="str">
        <f aca="false">IF($A88="","",MAX(0,C87+D88-C88))</f>
        <v/>
      </c>
      <c r="F88" s="24" t="str">
        <f aca="false">IF($A88="","",Stock_Diario!F88)</f>
        <v/>
      </c>
      <c r="G88" s="24" t="str">
        <f aca="false">IF($A88="","",IF(SUMIFS(Recepciones!$C$5:$C$2000,Recepciones!$B$5:$B$2000,Config!$A$24,Recepciones!$A$5:$A$2000,"&gt;"&amp;$A87,Recepciones!$A$5:$A$2000,"&lt;="&amp;$A88)&gt;0,SUMIFS(Recepciones!$C$5:$C$2000,Recepciones!$B$5:$B$2000,Config!$A$24,Recepciones!$A$5:$A$2000,"&gt;"&amp;$A87,Recepciones!$A$5:$A$2000,"&lt;="&amp;$A88),MAX(0,F88-F87)))</f>
        <v/>
      </c>
      <c r="H88" s="24" t="str">
        <f aca="false">IF($A88="","",MAX(0,F87+G88-F88))</f>
        <v/>
      </c>
      <c r="I88" s="24" t="str">
        <f aca="false">IF($A88="","",Stock_Diario!G88)</f>
        <v/>
      </c>
      <c r="J88" s="24" t="str">
        <f aca="false">IF($A88="","",IF(SUMIFS(Recepciones!$C$5:$C$2000,Recepciones!$B$5:$B$2000,Config!$A$25,Recepciones!$A$5:$A$2000,"&gt;"&amp;$A87,Recepciones!$A$5:$A$2000,"&lt;="&amp;$A88)&gt;0,SUMIFS(Recepciones!$C$5:$C$2000,Recepciones!$B$5:$B$2000,Config!$A$25,Recepciones!$A$5:$A$2000,"&gt;"&amp;$A87,Recepciones!$A$5:$A$2000,"&lt;="&amp;$A88),MAX(0,I88-I87)))</f>
        <v/>
      </c>
      <c r="K88" s="24" t="str">
        <f aca="false">IF($A88="","",MAX(0,I87+J88-I88))</f>
        <v/>
      </c>
      <c r="L88" s="24" t="str">
        <f aca="false">IF($A88="","",E88+H88+K88)</f>
        <v/>
      </c>
      <c r="M88" s="4" t="str">
        <f aca="false">IF($A88="","",IF(AND(D88+G88+J88&gt;0,SUMIFS(Recepciones!$C$5:$C$2000,Recepciones!$A$5:$A$2000,"&gt;"&amp;$A87,Recepciones!$A$5:$A$2000,"&lt;="&amp;$A88)=0),"Aumento de stock sin recepción registrada",IF(B88&gt;1,"Intervalo de "&amp;B88&amp;" días","")))</f>
        <v/>
      </c>
    </row>
    <row r="89" customFormat="false" ht="15" hidden="false" customHeight="false" outlineLevel="0" collapsed="false">
      <c r="A89" s="5" t="str">
        <f aca="false">IF(Stock_Diario!A89="","",Stock_Diario!A89)</f>
        <v/>
      </c>
      <c r="B89" s="4" t="str">
        <f aca="false">IF($A89="","",$A89-$A88)</f>
        <v/>
      </c>
      <c r="C89" s="24" t="str">
        <f aca="false">IF($A89="","",Stock_Diario!E89)</f>
        <v/>
      </c>
      <c r="D89" s="24" t="str">
        <f aca="false">IF($A89="","",IF(SUMIFS(Recepciones!$C$5:$C$2000,Recepciones!$B$5:$B$2000,Config!$A$23,Recepciones!$A$5:$A$2000,"&gt;"&amp;$A88,Recepciones!$A$5:$A$2000,"&lt;="&amp;$A89)&gt;0,SUMIFS(Recepciones!$C$5:$C$2000,Recepciones!$B$5:$B$2000,Config!$A$23,Recepciones!$A$5:$A$2000,"&gt;"&amp;$A88,Recepciones!$A$5:$A$2000,"&lt;="&amp;$A89),MAX(0,C89-C88)))</f>
        <v/>
      </c>
      <c r="E89" s="24" t="str">
        <f aca="false">IF($A89="","",MAX(0,C88+D89-C89))</f>
        <v/>
      </c>
      <c r="F89" s="24" t="str">
        <f aca="false">IF($A89="","",Stock_Diario!F89)</f>
        <v/>
      </c>
      <c r="G89" s="24" t="str">
        <f aca="false">IF($A89="","",IF(SUMIFS(Recepciones!$C$5:$C$2000,Recepciones!$B$5:$B$2000,Config!$A$24,Recepciones!$A$5:$A$2000,"&gt;"&amp;$A88,Recepciones!$A$5:$A$2000,"&lt;="&amp;$A89)&gt;0,SUMIFS(Recepciones!$C$5:$C$2000,Recepciones!$B$5:$B$2000,Config!$A$24,Recepciones!$A$5:$A$2000,"&gt;"&amp;$A88,Recepciones!$A$5:$A$2000,"&lt;="&amp;$A89),MAX(0,F89-F88)))</f>
        <v/>
      </c>
      <c r="H89" s="24" t="str">
        <f aca="false">IF($A89="","",MAX(0,F88+G89-F89))</f>
        <v/>
      </c>
      <c r="I89" s="24" t="str">
        <f aca="false">IF($A89="","",Stock_Diario!G89)</f>
        <v/>
      </c>
      <c r="J89" s="24" t="str">
        <f aca="false">IF($A89="","",IF(SUMIFS(Recepciones!$C$5:$C$2000,Recepciones!$B$5:$B$2000,Config!$A$25,Recepciones!$A$5:$A$2000,"&gt;"&amp;$A88,Recepciones!$A$5:$A$2000,"&lt;="&amp;$A89)&gt;0,SUMIFS(Recepciones!$C$5:$C$2000,Recepciones!$B$5:$B$2000,Config!$A$25,Recepciones!$A$5:$A$2000,"&gt;"&amp;$A88,Recepciones!$A$5:$A$2000,"&lt;="&amp;$A89),MAX(0,I89-I88)))</f>
        <v/>
      </c>
      <c r="K89" s="24" t="str">
        <f aca="false">IF($A89="","",MAX(0,I88+J89-I89))</f>
        <v/>
      </c>
      <c r="L89" s="24" t="str">
        <f aca="false">IF($A89="","",E89+H89+K89)</f>
        <v/>
      </c>
      <c r="M89" s="4" t="str">
        <f aca="false">IF($A89="","",IF(AND(D89+G89+J89&gt;0,SUMIFS(Recepciones!$C$5:$C$2000,Recepciones!$A$5:$A$2000,"&gt;"&amp;$A88,Recepciones!$A$5:$A$2000,"&lt;="&amp;$A89)=0),"Aumento de stock sin recepción registrada",IF(B89&gt;1,"Intervalo de "&amp;B89&amp;" días","")))</f>
        <v/>
      </c>
    </row>
    <row r="90" customFormat="false" ht="15" hidden="false" customHeight="false" outlineLevel="0" collapsed="false">
      <c r="A90" s="5" t="str">
        <f aca="false">IF(Stock_Diario!A90="","",Stock_Diario!A90)</f>
        <v/>
      </c>
      <c r="B90" s="4" t="str">
        <f aca="false">IF($A90="","",$A90-$A89)</f>
        <v/>
      </c>
      <c r="C90" s="24" t="str">
        <f aca="false">IF($A90="","",Stock_Diario!E90)</f>
        <v/>
      </c>
      <c r="D90" s="24" t="str">
        <f aca="false">IF($A90="","",IF(SUMIFS(Recepciones!$C$5:$C$2000,Recepciones!$B$5:$B$2000,Config!$A$23,Recepciones!$A$5:$A$2000,"&gt;"&amp;$A89,Recepciones!$A$5:$A$2000,"&lt;="&amp;$A90)&gt;0,SUMIFS(Recepciones!$C$5:$C$2000,Recepciones!$B$5:$B$2000,Config!$A$23,Recepciones!$A$5:$A$2000,"&gt;"&amp;$A89,Recepciones!$A$5:$A$2000,"&lt;="&amp;$A90),MAX(0,C90-C89)))</f>
        <v/>
      </c>
      <c r="E90" s="24" t="str">
        <f aca="false">IF($A90="","",MAX(0,C89+D90-C90))</f>
        <v/>
      </c>
      <c r="F90" s="24" t="str">
        <f aca="false">IF($A90="","",Stock_Diario!F90)</f>
        <v/>
      </c>
      <c r="G90" s="24" t="str">
        <f aca="false">IF($A90="","",IF(SUMIFS(Recepciones!$C$5:$C$2000,Recepciones!$B$5:$B$2000,Config!$A$24,Recepciones!$A$5:$A$2000,"&gt;"&amp;$A89,Recepciones!$A$5:$A$2000,"&lt;="&amp;$A90)&gt;0,SUMIFS(Recepciones!$C$5:$C$2000,Recepciones!$B$5:$B$2000,Config!$A$24,Recepciones!$A$5:$A$2000,"&gt;"&amp;$A89,Recepciones!$A$5:$A$2000,"&lt;="&amp;$A90),MAX(0,F90-F89)))</f>
        <v/>
      </c>
      <c r="H90" s="24" t="str">
        <f aca="false">IF($A90="","",MAX(0,F89+G90-F90))</f>
        <v/>
      </c>
      <c r="I90" s="24" t="str">
        <f aca="false">IF($A90="","",Stock_Diario!G90)</f>
        <v/>
      </c>
      <c r="J90" s="24" t="str">
        <f aca="false">IF($A90="","",IF(SUMIFS(Recepciones!$C$5:$C$2000,Recepciones!$B$5:$B$2000,Config!$A$25,Recepciones!$A$5:$A$2000,"&gt;"&amp;$A89,Recepciones!$A$5:$A$2000,"&lt;="&amp;$A90)&gt;0,SUMIFS(Recepciones!$C$5:$C$2000,Recepciones!$B$5:$B$2000,Config!$A$25,Recepciones!$A$5:$A$2000,"&gt;"&amp;$A89,Recepciones!$A$5:$A$2000,"&lt;="&amp;$A90),MAX(0,I90-I89)))</f>
        <v/>
      </c>
      <c r="K90" s="24" t="str">
        <f aca="false">IF($A90="","",MAX(0,I89+J90-I90))</f>
        <v/>
      </c>
      <c r="L90" s="24" t="str">
        <f aca="false">IF($A90="","",E90+H90+K90)</f>
        <v/>
      </c>
      <c r="M90" s="4" t="str">
        <f aca="false">IF($A90="","",IF(AND(D90+G90+J90&gt;0,SUMIFS(Recepciones!$C$5:$C$2000,Recepciones!$A$5:$A$2000,"&gt;"&amp;$A89,Recepciones!$A$5:$A$2000,"&lt;="&amp;$A90)=0),"Aumento de stock sin recepción registrada",IF(B90&gt;1,"Intervalo de "&amp;B90&amp;" días","")))</f>
        <v/>
      </c>
    </row>
    <row r="91" customFormat="false" ht="15" hidden="false" customHeight="false" outlineLevel="0" collapsed="false">
      <c r="A91" s="5" t="str">
        <f aca="false">IF(Stock_Diario!A91="","",Stock_Diario!A91)</f>
        <v/>
      </c>
      <c r="B91" s="4" t="str">
        <f aca="false">IF($A91="","",$A91-$A90)</f>
        <v/>
      </c>
      <c r="C91" s="24" t="str">
        <f aca="false">IF($A91="","",Stock_Diario!E91)</f>
        <v/>
      </c>
      <c r="D91" s="24" t="str">
        <f aca="false">IF($A91="","",IF(SUMIFS(Recepciones!$C$5:$C$2000,Recepciones!$B$5:$B$2000,Config!$A$23,Recepciones!$A$5:$A$2000,"&gt;"&amp;$A90,Recepciones!$A$5:$A$2000,"&lt;="&amp;$A91)&gt;0,SUMIFS(Recepciones!$C$5:$C$2000,Recepciones!$B$5:$B$2000,Config!$A$23,Recepciones!$A$5:$A$2000,"&gt;"&amp;$A90,Recepciones!$A$5:$A$2000,"&lt;="&amp;$A91),MAX(0,C91-C90)))</f>
        <v/>
      </c>
      <c r="E91" s="24" t="str">
        <f aca="false">IF($A91="","",MAX(0,C90+D91-C91))</f>
        <v/>
      </c>
      <c r="F91" s="24" t="str">
        <f aca="false">IF($A91="","",Stock_Diario!F91)</f>
        <v/>
      </c>
      <c r="G91" s="24" t="str">
        <f aca="false">IF($A91="","",IF(SUMIFS(Recepciones!$C$5:$C$2000,Recepciones!$B$5:$B$2000,Config!$A$24,Recepciones!$A$5:$A$2000,"&gt;"&amp;$A90,Recepciones!$A$5:$A$2000,"&lt;="&amp;$A91)&gt;0,SUMIFS(Recepciones!$C$5:$C$2000,Recepciones!$B$5:$B$2000,Config!$A$24,Recepciones!$A$5:$A$2000,"&gt;"&amp;$A90,Recepciones!$A$5:$A$2000,"&lt;="&amp;$A91),MAX(0,F91-F90)))</f>
        <v/>
      </c>
      <c r="H91" s="24" t="str">
        <f aca="false">IF($A91="","",MAX(0,F90+G91-F91))</f>
        <v/>
      </c>
      <c r="I91" s="24" t="str">
        <f aca="false">IF($A91="","",Stock_Diario!G91)</f>
        <v/>
      </c>
      <c r="J91" s="24" t="str">
        <f aca="false">IF($A91="","",IF(SUMIFS(Recepciones!$C$5:$C$2000,Recepciones!$B$5:$B$2000,Config!$A$25,Recepciones!$A$5:$A$2000,"&gt;"&amp;$A90,Recepciones!$A$5:$A$2000,"&lt;="&amp;$A91)&gt;0,SUMIFS(Recepciones!$C$5:$C$2000,Recepciones!$B$5:$B$2000,Config!$A$25,Recepciones!$A$5:$A$2000,"&gt;"&amp;$A90,Recepciones!$A$5:$A$2000,"&lt;="&amp;$A91),MAX(0,I91-I90)))</f>
        <v/>
      </c>
      <c r="K91" s="24" t="str">
        <f aca="false">IF($A91="","",MAX(0,I90+J91-I91))</f>
        <v/>
      </c>
      <c r="L91" s="24" t="str">
        <f aca="false">IF($A91="","",E91+H91+K91)</f>
        <v/>
      </c>
      <c r="M91" s="4" t="str">
        <f aca="false">IF($A91="","",IF(AND(D91+G91+J91&gt;0,SUMIFS(Recepciones!$C$5:$C$2000,Recepciones!$A$5:$A$2000,"&gt;"&amp;$A90,Recepciones!$A$5:$A$2000,"&lt;="&amp;$A91)=0),"Aumento de stock sin recepción registrada",IF(B91&gt;1,"Intervalo de "&amp;B91&amp;" días","")))</f>
        <v/>
      </c>
    </row>
    <row r="92" customFormat="false" ht="15" hidden="false" customHeight="false" outlineLevel="0" collapsed="false">
      <c r="A92" s="5" t="str">
        <f aca="false">IF(Stock_Diario!A92="","",Stock_Diario!A92)</f>
        <v/>
      </c>
      <c r="B92" s="4" t="str">
        <f aca="false">IF($A92="","",$A92-$A91)</f>
        <v/>
      </c>
      <c r="C92" s="24" t="str">
        <f aca="false">IF($A92="","",Stock_Diario!E92)</f>
        <v/>
      </c>
      <c r="D92" s="24" t="str">
        <f aca="false">IF($A92="","",IF(SUMIFS(Recepciones!$C$5:$C$2000,Recepciones!$B$5:$B$2000,Config!$A$23,Recepciones!$A$5:$A$2000,"&gt;"&amp;$A91,Recepciones!$A$5:$A$2000,"&lt;="&amp;$A92)&gt;0,SUMIFS(Recepciones!$C$5:$C$2000,Recepciones!$B$5:$B$2000,Config!$A$23,Recepciones!$A$5:$A$2000,"&gt;"&amp;$A91,Recepciones!$A$5:$A$2000,"&lt;="&amp;$A92),MAX(0,C92-C91)))</f>
        <v/>
      </c>
      <c r="E92" s="24" t="str">
        <f aca="false">IF($A92="","",MAX(0,C91+D92-C92))</f>
        <v/>
      </c>
      <c r="F92" s="24" t="str">
        <f aca="false">IF($A92="","",Stock_Diario!F92)</f>
        <v/>
      </c>
      <c r="G92" s="24" t="str">
        <f aca="false">IF($A92="","",IF(SUMIFS(Recepciones!$C$5:$C$2000,Recepciones!$B$5:$B$2000,Config!$A$24,Recepciones!$A$5:$A$2000,"&gt;"&amp;$A91,Recepciones!$A$5:$A$2000,"&lt;="&amp;$A92)&gt;0,SUMIFS(Recepciones!$C$5:$C$2000,Recepciones!$B$5:$B$2000,Config!$A$24,Recepciones!$A$5:$A$2000,"&gt;"&amp;$A91,Recepciones!$A$5:$A$2000,"&lt;="&amp;$A92),MAX(0,F92-F91)))</f>
        <v/>
      </c>
      <c r="H92" s="24" t="str">
        <f aca="false">IF($A92="","",MAX(0,F91+G92-F92))</f>
        <v/>
      </c>
      <c r="I92" s="24" t="str">
        <f aca="false">IF($A92="","",Stock_Diario!G92)</f>
        <v/>
      </c>
      <c r="J92" s="24" t="str">
        <f aca="false">IF($A92="","",IF(SUMIFS(Recepciones!$C$5:$C$2000,Recepciones!$B$5:$B$2000,Config!$A$25,Recepciones!$A$5:$A$2000,"&gt;"&amp;$A91,Recepciones!$A$5:$A$2000,"&lt;="&amp;$A92)&gt;0,SUMIFS(Recepciones!$C$5:$C$2000,Recepciones!$B$5:$B$2000,Config!$A$25,Recepciones!$A$5:$A$2000,"&gt;"&amp;$A91,Recepciones!$A$5:$A$2000,"&lt;="&amp;$A92),MAX(0,I92-I91)))</f>
        <v/>
      </c>
      <c r="K92" s="24" t="str">
        <f aca="false">IF($A92="","",MAX(0,I91+J92-I92))</f>
        <v/>
      </c>
      <c r="L92" s="24" t="str">
        <f aca="false">IF($A92="","",E92+H92+K92)</f>
        <v/>
      </c>
      <c r="M92" s="4" t="str">
        <f aca="false">IF($A92="","",IF(AND(D92+G92+J92&gt;0,SUMIFS(Recepciones!$C$5:$C$2000,Recepciones!$A$5:$A$2000,"&gt;"&amp;$A91,Recepciones!$A$5:$A$2000,"&lt;="&amp;$A92)=0),"Aumento de stock sin recepción registrada",IF(B92&gt;1,"Intervalo de "&amp;B92&amp;" días","")))</f>
        <v/>
      </c>
    </row>
    <row r="93" customFormat="false" ht="15" hidden="false" customHeight="false" outlineLevel="0" collapsed="false">
      <c r="A93" s="5" t="str">
        <f aca="false">IF(Stock_Diario!A93="","",Stock_Diario!A93)</f>
        <v/>
      </c>
      <c r="B93" s="4" t="str">
        <f aca="false">IF($A93="","",$A93-$A92)</f>
        <v/>
      </c>
      <c r="C93" s="24" t="str">
        <f aca="false">IF($A93="","",Stock_Diario!E93)</f>
        <v/>
      </c>
      <c r="D93" s="24" t="str">
        <f aca="false">IF($A93="","",IF(SUMIFS(Recepciones!$C$5:$C$2000,Recepciones!$B$5:$B$2000,Config!$A$23,Recepciones!$A$5:$A$2000,"&gt;"&amp;$A92,Recepciones!$A$5:$A$2000,"&lt;="&amp;$A93)&gt;0,SUMIFS(Recepciones!$C$5:$C$2000,Recepciones!$B$5:$B$2000,Config!$A$23,Recepciones!$A$5:$A$2000,"&gt;"&amp;$A92,Recepciones!$A$5:$A$2000,"&lt;="&amp;$A93),MAX(0,C93-C92)))</f>
        <v/>
      </c>
      <c r="E93" s="24" t="str">
        <f aca="false">IF($A93="","",MAX(0,C92+D93-C93))</f>
        <v/>
      </c>
      <c r="F93" s="24" t="str">
        <f aca="false">IF($A93="","",Stock_Diario!F93)</f>
        <v/>
      </c>
      <c r="G93" s="24" t="str">
        <f aca="false">IF($A93="","",IF(SUMIFS(Recepciones!$C$5:$C$2000,Recepciones!$B$5:$B$2000,Config!$A$24,Recepciones!$A$5:$A$2000,"&gt;"&amp;$A92,Recepciones!$A$5:$A$2000,"&lt;="&amp;$A93)&gt;0,SUMIFS(Recepciones!$C$5:$C$2000,Recepciones!$B$5:$B$2000,Config!$A$24,Recepciones!$A$5:$A$2000,"&gt;"&amp;$A92,Recepciones!$A$5:$A$2000,"&lt;="&amp;$A93),MAX(0,F93-F92)))</f>
        <v/>
      </c>
      <c r="H93" s="24" t="str">
        <f aca="false">IF($A93="","",MAX(0,F92+G93-F93))</f>
        <v/>
      </c>
      <c r="I93" s="24" t="str">
        <f aca="false">IF($A93="","",Stock_Diario!G93)</f>
        <v/>
      </c>
      <c r="J93" s="24" t="str">
        <f aca="false">IF($A93="","",IF(SUMIFS(Recepciones!$C$5:$C$2000,Recepciones!$B$5:$B$2000,Config!$A$25,Recepciones!$A$5:$A$2000,"&gt;"&amp;$A92,Recepciones!$A$5:$A$2000,"&lt;="&amp;$A93)&gt;0,SUMIFS(Recepciones!$C$5:$C$2000,Recepciones!$B$5:$B$2000,Config!$A$25,Recepciones!$A$5:$A$2000,"&gt;"&amp;$A92,Recepciones!$A$5:$A$2000,"&lt;="&amp;$A93),MAX(0,I93-I92)))</f>
        <v/>
      </c>
      <c r="K93" s="24" t="str">
        <f aca="false">IF($A93="","",MAX(0,I92+J93-I93))</f>
        <v/>
      </c>
      <c r="L93" s="24" t="str">
        <f aca="false">IF($A93="","",E93+H93+K93)</f>
        <v/>
      </c>
      <c r="M93" s="4" t="str">
        <f aca="false">IF($A93="","",IF(AND(D93+G93+J93&gt;0,SUMIFS(Recepciones!$C$5:$C$2000,Recepciones!$A$5:$A$2000,"&gt;"&amp;$A92,Recepciones!$A$5:$A$2000,"&lt;="&amp;$A93)=0),"Aumento de stock sin recepción registrada",IF(B93&gt;1,"Intervalo de "&amp;B93&amp;" días","")))</f>
        <v/>
      </c>
    </row>
    <row r="94" customFormat="false" ht="15" hidden="false" customHeight="false" outlineLevel="0" collapsed="false">
      <c r="A94" s="5" t="str">
        <f aca="false">IF(Stock_Diario!A94="","",Stock_Diario!A94)</f>
        <v/>
      </c>
      <c r="B94" s="4" t="str">
        <f aca="false">IF($A94="","",$A94-$A93)</f>
        <v/>
      </c>
      <c r="C94" s="24" t="str">
        <f aca="false">IF($A94="","",Stock_Diario!E94)</f>
        <v/>
      </c>
      <c r="D94" s="24" t="str">
        <f aca="false">IF($A94="","",IF(SUMIFS(Recepciones!$C$5:$C$2000,Recepciones!$B$5:$B$2000,Config!$A$23,Recepciones!$A$5:$A$2000,"&gt;"&amp;$A93,Recepciones!$A$5:$A$2000,"&lt;="&amp;$A94)&gt;0,SUMIFS(Recepciones!$C$5:$C$2000,Recepciones!$B$5:$B$2000,Config!$A$23,Recepciones!$A$5:$A$2000,"&gt;"&amp;$A93,Recepciones!$A$5:$A$2000,"&lt;="&amp;$A94),MAX(0,C94-C93)))</f>
        <v/>
      </c>
      <c r="E94" s="24" t="str">
        <f aca="false">IF($A94="","",MAX(0,C93+D94-C94))</f>
        <v/>
      </c>
      <c r="F94" s="24" t="str">
        <f aca="false">IF($A94="","",Stock_Diario!F94)</f>
        <v/>
      </c>
      <c r="G94" s="24" t="str">
        <f aca="false">IF($A94="","",IF(SUMIFS(Recepciones!$C$5:$C$2000,Recepciones!$B$5:$B$2000,Config!$A$24,Recepciones!$A$5:$A$2000,"&gt;"&amp;$A93,Recepciones!$A$5:$A$2000,"&lt;="&amp;$A94)&gt;0,SUMIFS(Recepciones!$C$5:$C$2000,Recepciones!$B$5:$B$2000,Config!$A$24,Recepciones!$A$5:$A$2000,"&gt;"&amp;$A93,Recepciones!$A$5:$A$2000,"&lt;="&amp;$A94),MAX(0,F94-F93)))</f>
        <v/>
      </c>
      <c r="H94" s="24" t="str">
        <f aca="false">IF($A94="","",MAX(0,F93+G94-F94))</f>
        <v/>
      </c>
      <c r="I94" s="24" t="str">
        <f aca="false">IF($A94="","",Stock_Diario!G94)</f>
        <v/>
      </c>
      <c r="J94" s="24" t="str">
        <f aca="false">IF($A94="","",IF(SUMIFS(Recepciones!$C$5:$C$2000,Recepciones!$B$5:$B$2000,Config!$A$25,Recepciones!$A$5:$A$2000,"&gt;"&amp;$A93,Recepciones!$A$5:$A$2000,"&lt;="&amp;$A94)&gt;0,SUMIFS(Recepciones!$C$5:$C$2000,Recepciones!$B$5:$B$2000,Config!$A$25,Recepciones!$A$5:$A$2000,"&gt;"&amp;$A93,Recepciones!$A$5:$A$2000,"&lt;="&amp;$A94),MAX(0,I94-I93)))</f>
        <v/>
      </c>
      <c r="K94" s="24" t="str">
        <f aca="false">IF($A94="","",MAX(0,I93+J94-I94))</f>
        <v/>
      </c>
      <c r="L94" s="24" t="str">
        <f aca="false">IF($A94="","",E94+H94+K94)</f>
        <v/>
      </c>
      <c r="M94" s="4" t="str">
        <f aca="false">IF($A94="","",IF(AND(D94+G94+J94&gt;0,SUMIFS(Recepciones!$C$5:$C$2000,Recepciones!$A$5:$A$2000,"&gt;"&amp;$A93,Recepciones!$A$5:$A$2000,"&lt;="&amp;$A94)=0),"Aumento de stock sin recepción registrada",IF(B94&gt;1,"Intervalo de "&amp;B94&amp;" días","")))</f>
        <v/>
      </c>
    </row>
    <row r="95" customFormat="false" ht="15" hidden="false" customHeight="false" outlineLevel="0" collapsed="false">
      <c r="A95" s="5" t="str">
        <f aca="false">IF(Stock_Diario!A95="","",Stock_Diario!A95)</f>
        <v/>
      </c>
      <c r="B95" s="4" t="str">
        <f aca="false">IF($A95="","",$A95-$A94)</f>
        <v/>
      </c>
      <c r="C95" s="24" t="str">
        <f aca="false">IF($A95="","",Stock_Diario!E95)</f>
        <v/>
      </c>
      <c r="D95" s="24" t="str">
        <f aca="false">IF($A95="","",IF(SUMIFS(Recepciones!$C$5:$C$2000,Recepciones!$B$5:$B$2000,Config!$A$23,Recepciones!$A$5:$A$2000,"&gt;"&amp;$A94,Recepciones!$A$5:$A$2000,"&lt;="&amp;$A95)&gt;0,SUMIFS(Recepciones!$C$5:$C$2000,Recepciones!$B$5:$B$2000,Config!$A$23,Recepciones!$A$5:$A$2000,"&gt;"&amp;$A94,Recepciones!$A$5:$A$2000,"&lt;="&amp;$A95),MAX(0,C95-C94)))</f>
        <v/>
      </c>
      <c r="E95" s="24" t="str">
        <f aca="false">IF($A95="","",MAX(0,C94+D95-C95))</f>
        <v/>
      </c>
      <c r="F95" s="24" t="str">
        <f aca="false">IF($A95="","",Stock_Diario!F95)</f>
        <v/>
      </c>
      <c r="G95" s="24" t="str">
        <f aca="false">IF($A95="","",IF(SUMIFS(Recepciones!$C$5:$C$2000,Recepciones!$B$5:$B$2000,Config!$A$24,Recepciones!$A$5:$A$2000,"&gt;"&amp;$A94,Recepciones!$A$5:$A$2000,"&lt;="&amp;$A95)&gt;0,SUMIFS(Recepciones!$C$5:$C$2000,Recepciones!$B$5:$B$2000,Config!$A$24,Recepciones!$A$5:$A$2000,"&gt;"&amp;$A94,Recepciones!$A$5:$A$2000,"&lt;="&amp;$A95),MAX(0,F95-F94)))</f>
        <v/>
      </c>
      <c r="H95" s="24" t="str">
        <f aca="false">IF($A95="","",MAX(0,F94+G95-F95))</f>
        <v/>
      </c>
      <c r="I95" s="24" t="str">
        <f aca="false">IF($A95="","",Stock_Diario!G95)</f>
        <v/>
      </c>
      <c r="J95" s="24" t="str">
        <f aca="false">IF($A95="","",IF(SUMIFS(Recepciones!$C$5:$C$2000,Recepciones!$B$5:$B$2000,Config!$A$25,Recepciones!$A$5:$A$2000,"&gt;"&amp;$A94,Recepciones!$A$5:$A$2000,"&lt;="&amp;$A95)&gt;0,SUMIFS(Recepciones!$C$5:$C$2000,Recepciones!$B$5:$B$2000,Config!$A$25,Recepciones!$A$5:$A$2000,"&gt;"&amp;$A94,Recepciones!$A$5:$A$2000,"&lt;="&amp;$A95),MAX(0,I95-I94)))</f>
        <v/>
      </c>
      <c r="K95" s="24" t="str">
        <f aca="false">IF($A95="","",MAX(0,I94+J95-I95))</f>
        <v/>
      </c>
      <c r="L95" s="24" t="str">
        <f aca="false">IF($A95="","",E95+H95+K95)</f>
        <v/>
      </c>
      <c r="M95" s="4" t="str">
        <f aca="false">IF($A95="","",IF(AND(D95+G95+J95&gt;0,SUMIFS(Recepciones!$C$5:$C$2000,Recepciones!$A$5:$A$2000,"&gt;"&amp;$A94,Recepciones!$A$5:$A$2000,"&lt;="&amp;$A95)=0),"Aumento de stock sin recepción registrada",IF(B95&gt;1,"Intervalo de "&amp;B95&amp;" días","")))</f>
        <v/>
      </c>
    </row>
    <row r="96" customFormat="false" ht="15" hidden="false" customHeight="false" outlineLevel="0" collapsed="false">
      <c r="A96" s="5" t="str">
        <f aca="false">IF(Stock_Diario!A96="","",Stock_Diario!A96)</f>
        <v/>
      </c>
      <c r="B96" s="4" t="str">
        <f aca="false">IF($A96="","",$A96-$A95)</f>
        <v/>
      </c>
      <c r="C96" s="24" t="str">
        <f aca="false">IF($A96="","",Stock_Diario!E96)</f>
        <v/>
      </c>
      <c r="D96" s="24" t="str">
        <f aca="false">IF($A96="","",IF(SUMIFS(Recepciones!$C$5:$C$2000,Recepciones!$B$5:$B$2000,Config!$A$23,Recepciones!$A$5:$A$2000,"&gt;"&amp;$A95,Recepciones!$A$5:$A$2000,"&lt;="&amp;$A96)&gt;0,SUMIFS(Recepciones!$C$5:$C$2000,Recepciones!$B$5:$B$2000,Config!$A$23,Recepciones!$A$5:$A$2000,"&gt;"&amp;$A95,Recepciones!$A$5:$A$2000,"&lt;="&amp;$A96),MAX(0,C96-C95)))</f>
        <v/>
      </c>
      <c r="E96" s="24" t="str">
        <f aca="false">IF($A96="","",MAX(0,C95+D96-C96))</f>
        <v/>
      </c>
      <c r="F96" s="24" t="str">
        <f aca="false">IF($A96="","",Stock_Diario!F96)</f>
        <v/>
      </c>
      <c r="G96" s="24" t="str">
        <f aca="false">IF($A96="","",IF(SUMIFS(Recepciones!$C$5:$C$2000,Recepciones!$B$5:$B$2000,Config!$A$24,Recepciones!$A$5:$A$2000,"&gt;"&amp;$A95,Recepciones!$A$5:$A$2000,"&lt;="&amp;$A96)&gt;0,SUMIFS(Recepciones!$C$5:$C$2000,Recepciones!$B$5:$B$2000,Config!$A$24,Recepciones!$A$5:$A$2000,"&gt;"&amp;$A95,Recepciones!$A$5:$A$2000,"&lt;="&amp;$A96),MAX(0,F96-F95)))</f>
        <v/>
      </c>
      <c r="H96" s="24" t="str">
        <f aca="false">IF($A96="","",MAX(0,F95+G96-F96))</f>
        <v/>
      </c>
      <c r="I96" s="24" t="str">
        <f aca="false">IF($A96="","",Stock_Diario!G96)</f>
        <v/>
      </c>
      <c r="J96" s="24" t="str">
        <f aca="false">IF($A96="","",IF(SUMIFS(Recepciones!$C$5:$C$2000,Recepciones!$B$5:$B$2000,Config!$A$25,Recepciones!$A$5:$A$2000,"&gt;"&amp;$A95,Recepciones!$A$5:$A$2000,"&lt;="&amp;$A96)&gt;0,SUMIFS(Recepciones!$C$5:$C$2000,Recepciones!$B$5:$B$2000,Config!$A$25,Recepciones!$A$5:$A$2000,"&gt;"&amp;$A95,Recepciones!$A$5:$A$2000,"&lt;="&amp;$A96),MAX(0,I96-I95)))</f>
        <v/>
      </c>
      <c r="K96" s="24" t="str">
        <f aca="false">IF($A96="","",MAX(0,I95+J96-I96))</f>
        <v/>
      </c>
      <c r="L96" s="24" t="str">
        <f aca="false">IF($A96="","",E96+H96+K96)</f>
        <v/>
      </c>
      <c r="M96" s="4" t="str">
        <f aca="false">IF($A96="","",IF(AND(D96+G96+J96&gt;0,SUMIFS(Recepciones!$C$5:$C$2000,Recepciones!$A$5:$A$2000,"&gt;"&amp;$A95,Recepciones!$A$5:$A$2000,"&lt;="&amp;$A96)=0),"Aumento de stock sin recepción registrada",IF(B96&gt;1,"Intervalo de "&amp;B96&amp;" días","")))</f>
        <v/>
      </c>
    </row>
    <row r="97" customFormat="false" ht="15" hidden="false" customHeight="false" outlineLevel="0" collapsed="false">
      <c r="A97" s="5" t="str">
        <f aca="false">IF(Stock_Diario!A97="","",Stock_Diario!A97)</f>
        <v/>
      </c>
      <c r="B97" s="4" t="str">
        <f aca="false">IF($A97="","",$A97-$A96)</f>
        <v/>
      </c>
      <c r="C97" s="24" t="str">
        <f aca="false">IF($A97="","",Stock_Diario!E97)</f>
        <v/>
      </c>
      <c r="D97" s="24" t="str">
        <f aca="false">IF($A97="","",IF(SUMIFS(Recepciones!$C$5:$C$2000,Recepciones!$B$5:$B$2000,Config!$A$23,Recepciones!$A$5:$A$2000,"&gt;"&amp;$A96,Recepciones!$A$5:$A$2000,"&lt;="&amp;$A97)&gt;0,SUMIFS(Recepciones!$C$5:$C$2000,Recepciones!$B$5:$B$2000,Config!$A$23,Recepciones!$A$5:$A$2000,"&gt;"&amp;$A96,Recepciones!$A$5:$A$2000,"&lt;="&amp;$A97),MAX(0,C97-C96)))</f>
        <v/>
      </c>
      <c r="E97" s="24" t="str">
        <f aca="false">IF($A97="","",MAX(0,C96+D97-C97))</f>
        <v/>
      </c>
      <c r="F97" s="24" t="str">
        <f aca="false">IF($A97="","",Stock_Diario!F97)</f>
        <v/>
      </c>
      <c r="G97" s="24" t="str">
        <f aca="false">IF($A97="","",IF(SUMIFS(Recepciones!$C$5:$C$2000,Recepciones!$B$5:$B$2000,Config!$A$24,Recepciones!$A$5:$A$2000,"&gt;"&amp;$A96,Recepciones!$A$5:$A$2000,"&lt;="&amp;$A97)&gt;0,SUMIFS(Recepciones!$C$5:$C$2000,Recepciones!$B$5:$B$2000,Config!$A$24,Recepciones!$A$5:$A$2000,"&gt;"&amp;$A96,Recepciones!$A$5:$A$2000,"&lt;="&amp;$A97),MAX(0,F97-F96)))</f>
        <v/>
      </c>
      <c r="H97" s="24" t="str">
        <f aca="false">IF($A97="","",MAX(0,F96+G97-F97))</f>
        <v/>
      </c>
      <c r="I97" s="24" t="str">
        <f aca="false">IF($A97="","",Stock_Diario!G97)</f>
        <v/>
      </c>
      <c r="J97" s="24" t="str">
        <f aca="false">IF($A97="","",IF(SUMIFS(Recepciones!$C$5:$C$2000,Recepciones!$B$5:$B$2000,Config!$A$25,Recepciones!$A$5:$A$2000,"&gt;"&amp;$A96,Recepciones!$A$5:$A$2000,"&lt;="&amp;$A97)&gt;0,SUMIFS(Recepciones!$C$5:$C$2000,Recepciones!$B$5:$B$2000,Config!$A$25,Recepciones!$A$5:$A$2000,"&gt;"&amp;$A96,Recepciones!$A$5:$A$2000,"&lt;="&amp;$A97),MAX(0,I97-I96)))</f>
        <v/>
      </c>
      <c r="K97" s="24" t="str">
        <f aca="false">IF($A97="","",MAX(0,I96+J97-I97))</f>
        <v/>
      </c>
      <c r="L97" s="24" t="str">
        <f aca="false">IF($A97="","",E97+H97+K97)</f>
        <v/>
      </c>
      <c r="M97" s="4" t="str">
        <f aca="false">IF($A97="","",IF(AND(D97+G97+J97&gt;0,SUMIFS(Recepciones!$C$5:$C$2000,Recepciones!$A$5:$A$2000,"&gt;"&amp;$A96,Recepciones!$A$5:$A$2000,"&lt;="&amp;$A97)=0),"Aumento de stock sin recepción registrada",IF(B97&gt;1,"Intervalo de "&amp;B97&amp;" días","")))</f>
        <v/>
      </c>
    </row>
    <row r="98" customFormat="false" ht="15" hidden="false" customHeight="false" outlineLevel="0" collapsed="false">
      <c r="A98" s="5" t="str">
        <f aca="false">IF(Stock_Diario!A98="","",Stock_Diario!A98)</f>
        <v/>
      </c>
      <c r="B98" s="4" t="str">
        <f aca="false">IF($A98="","",$A98-$A97)</f>
        <v/>
      </c>
      <c r="C98" s="24" t="str">
        <f aca="false">IF($A98="","",Stock_Diario!E98)</f>
        <v/>
      </c>
      <c r="D98" s="24" t="str">
        <f aca="false">IF($A98="","",IF(SUMIFS(Recepciones!$C$5:$C$2000,Recepciones!$B$5:$B$2000,Config!$A$23,Recepciones!$A$5:$A$2000,"&gt;"&amp;$A97,Recepciones!$A$5:$A$2000,"&lt;="&amp;$A98)&gt;0,SUMIFS(Recepciones!$C$5:$C$2000,Recepciones!$B$5:$B$2000,Config!$A$23,Recepciones!$A$5:$A$2000,"&gt;"&amp;$A97,Recepciones!$A$5:$A$2000,"&lt;="&amp;$A98),MAX(0,C98-C97)))</f>
        <v/>
      </c>
      <c r="E98" s="24" t="str">
        <f aca="false">IF($A98="","",MAX(0,C97+D98-C98))</f>
        <v/>
      </c>
      <c r="F98" s="24" t="str">
        <f aca="false">IF($A98="","",Stock_Diario!F98)</f>
        <v/>
      </c>
      <c r="G98" s="24" t="str">
        <f aca="false">IF($A98="","",IF(SUMIFS(Recepciones!$C$5:$C$2000,Recepciones!$B$5:$B$2000,Config!$A$24,Recepciones!$A$5:$A$2000,"&gt;"&amp;$A97,Recepciones!$A$5:$A$2000,"&lt;="&amp;$A98)&gt;0,SUMIFS(Recepciones!$C$5:$C$2000,Recepciones!$B$5:$B$2000,Config!$A$24,Recepciones!$A$5:$A$2000,"&gt;"&amp;$A97,Recepciones!$A$5:$A$2000,"&lt;="&amp;$A98),MAX(0,F98-F97)))</f>
        <v/>
      </c>
      <c r="H98" s="24" t="str">
        <f aca="false">IF($A98="","",MAX(0,F97+G98-F98))</f>
        <v/>
      </c>
      <c r="I98" s="24" t="str">
        <f aca="false">IF($A98="","",Stock_Diario!G98)</f>
        <v/>
      </c>
      <c r="J98" s="24" t="str">
        <f aca="false">IF($A98="","",IF(SUMIFS(Recepciones!$C$5:$C$2000,Recepciones!$B$5:$B$2000,Config!$A$25,Recepciones!$A$5:$A$2000,"&gt;"&amp;$A97,Recepciones!$A$5:$A$2000,"&lt;="&amp;$A98)&gt;0,SUMIFS(Recepciones!$C$5:$C$2000,Recepciones!$B$5:$B$2000,Config!$A$25,Recepciones!$A$5:$A$2000,"&gt;"&amp;$A97,Recepciones!$A$5:$A$2000,"&lt;="&amp;$A98),MAX(0,I98-I97)))</f>
        <v/>
      </c>
      <c r="K98" s="24" t="str">
        <f aca="false">IF($A98="","",MAX(0,I97+J98-I98))</f>
        <v/>
      </c>
      <c r="L98" s="24" t="str">
        <f aca="false">IF($A98="","",E98+H98+K98)</f>
        <v/>
      </c>
      <c r="M98" s="4" t="str">
        <f aca="false">IF($A98="","",IF(AND(D98+G98+J98&gt;0,SUMIFS(Recepciones!$C$5:$C$2000,Recepciones!$A$5:$A$2000,"&gt;"&amp;$A97,Recepciones!$A$5:$A$2000,"&lt;="&amp;$A98)=0),"Aumento de stock sin recepción registrada",IF(B98&gt;1,"Intervalo de "&amp;B98&amp;" días","")))</f>
        <v/>
      </c>
    </row>
    <row r="99" customFormat="false" ht="15" hidden="false" customHeight="false" outlineLevel="0" collapsed="false">
      <c r="A99" s="5" t="str">
        <f aca="false">IF(Stock_Diario!A99="","",Stock_Diario!A99)</f>
        <v/>
      </c>
      <c r="B99" s="4" t="str">
        <f aca="false">IF($A99="","",$A99-$A98)</f>
        <v/>
      </c>
      <c r="C99" s="24" t="str">
        <f aca="false">IF($A99="","",Stock_Diario!E99)</f>
        <v/>
      </c>
      <c r="D99" s="24" t="str">
        <f aca="false">IF($A99="","",IF(SUMIFS(Recepciones!$C$5:$C$2000,Recepciones!$B$5:$B$2000,Config!$A$23,Recepciones!$A$5:$A$2000,"&gt;"&amp;$A98,Recepciones!$A$5:$A$2000,"&lt;="&amp;$A99)&gt;0,SUMIFS(Recepciones!$C$5:$C$2000,Recepciones!$B$5:$B$2000,Config!$A$23,Recepciones!$A$5:$A$2000,"&gt;"&amp;$A98,Recepciones!$A$5:$A$2000,"&lt;="&amp;$A99),MAX(0,C99-C98)))</f>
        <v/>
      </c>
      <c r="E99" s="24" t="str">
        <f aca="false">IF($A99="","",MAX(0,C98+D99-C99))</f>
        <v/>
      </c>
      <c r="F99" s="24" t="str">
        <f aca="false">IF($A99="","",Stock_Diario!F99)</f>
        <v/>
      </c>
      <c r="G99" s="24" t="str">
        <f aca="false">IF($A99="","",IF(SUMIFS(Recepciones!$C$5:$C$2000,Recepciones!$B$5:$B$2000,Config!$A$24,Recepciones!$A$5:$A$2000,"&gt;"&amp;$A98,Recepciones!$A$5:$A$2000,"&lt;="&amp;$A99)&gt;0,SUMIFS(Recepciones!$C$5:$C$2000,Recepciones!$B$5:$B$2000,Config!$A$24,Recepciones!$A$5:$A$2000,"&gt;"&amp;$A98,Recepciones!$A$5:$A$2000,"&lt;="&amp;$A99),MAX(0,F99-F98)))</f>
        <v/>
      </c>
      <c r="H99" s="24" t="str">
        <f aca="false">IF($A99="","",MAX(0,F98+G99-F99))</f>
        <v/>
      </c>
      <c r="I99" s="24" t="str">
        <f aca="false">IF($A99="","",Stock_Diario!G99)</f>
        <v/>
      </c>
      <c r="J99" s="24" t="str">
        <f aca="false">IF($A99="","",IF(SUMIFS(Recepciones!$C$5:$C$2000,Recepciones!$B$5:$B$2000,Config!$A$25,Recepciones!$A$5:$A$2000,"&gt;"&amp;$A98,Recepciones!$A$5:$A$2000,"&lt;="&amp;$A99)&gt;0,SUMIFS(Recepciones!$C$5:$C$2000,Recepciones!$B$5:$B$2000,Config!$A$25,Recepciones!$A$5:$A$2000,"&gt;"&amp;$A98,Recepciones!$A$5:$A$2000,"&lt;="&amp;$A99),MAX(0,I99-I98)))</f>
        <v/>
      </c>
      <c r="K99" s="24" t="str">
        <f aca="false">IF($A99="","",MAX(0,I98+J99-I99))</f>
        <v/>
      </c>
      <c r="L99" s="24" t="str">
        <f aca="false">IF($A99="","",E99+H99+K99)</f>
        <v/>
      </c>
      <c r="M99" s="4" t="str">
        <f aca="false">IF($A99="","",IF(AND(D99+G99+J99&gt;0,SUMIFS(Recepciones!$C$5:$C$2000,Recepciones!$A$5:$A$2000,"&gt;"&amp;$A98,Recepciones!$A$5:$A$2000,"&lt;="&amp;$A99)=0),"Aumento de stock sin recepción registrada",IF(B99&gt;1,"Intervalo de "&amp;B99&amp;" días","")))</f>
        <v/>
      </c>
    </row>
    <row r="100" customFormat="false" ht="15" hidden="false" customHeight="false" outlineLevel="0" collapsed="false">
      <c r="A100" s="5" t="str">
        <f aca="false">IF(Stock_Diario!A100="","",Stock_Diario!A100)</f>
        <v/>
      </c>
      <c r="B100" s="4" t="str">
        <f aca="false">IF($A100="","",$A100-$A99)</f>
        <v/>
      </c>
      <c r="C100" s="24" t="str">
        <f aca="false">IF($A100="","",Stock_Diario!E100)</f>
        <v/>
      </c>
      <c r="D100" s="24" t="str">
        <f aca="false">IF($A100="","",IF(SUMIFS(Recepciones!$C$5:$C$2000,Recepciones!$B$5:$B$2000,Config!$A$23,Recepciones!$A$5:$A$2000,"&gt;"&amp;$A99,Recepciones!$A$5:$A$2000,"&lt;="&amp;$A100)&gt;0,SUMIFS(Recepciones!$C$5:$C$2000,Recepciones!$B$5:$B$2000,Config!$A$23,Recepciones!$A$5:$A$2000,"&gt;"&amp;$A99,Recepciones!$A$5:$A$2000,"&lt;="&amp;$A100),MAX(0,C100-C99)))</f>
        <v/>
      </c>
      <c r="E100" s="24" t="str">
        <f aca="false">IF($A100="","",MAX(0,C99+D100-C100))</f>
        <v/>
      </c>
      <c r="F100" s="24" t="str">
        <f aca="false">IF($A100="","",Stock_Diario!F100)</f>
        <v/>
      </c>
      <c r="G100" s="24" t="str">
        <f aca="false">IF($A100="","",IF(SUMIFS(Recepciones!$C$5:$C$2000,Recepciones!$B$5:$B$2000,Config!$A$24,Recepciones!$A$5:$A$2000,"&gt;"&amp;$A99,Recepciones!$A$5:$A$2000,"&lt;="&amp;$A100)&gt;0,SUMIFS(Recepciones!$C$5:$C$2000,Recepciones!$B$5:$B$2000,Config!$A$24,Recepciones!$A$5:$A$2000,"&gt;"&amp;$A99,Recepciones!$A$5:$A$2000,"&lt;="&amp;$A100),MAX(0,F100-F99)))</f>
        <v/>
      </c>
      <c r="H100" s="24" t="str">
        <f aca="false">IF($A100="","",MAX(0,F99+G100-F100))</f>
        <v/>
      </c>
      <c r="I100" s="24" t="str">
        <f aca="false">IF($A100="","",Stock_Diario!G100)</f>
        <v/>
      </c>
      <c r="J100" s="24" t="str">
        <f aca="false">IF($A100="","",IF(SUMIFS(Recepciones!$C$5:$C$2000,Recepciones!$B$5:$B$2000,Config!$A$25,Recepciones!$A$5:$A$2000,"&gt;"&amp;$A99,Recepciones!$A$5:$A$2000,"&lt;="&amp;$A100)&gt;0,SUMIFS(Recepciones!$C$5:$C$2000,Recepciones!$B$5:$B$2000,Config!$A$25,Recepciones!$A$5:$A$2000,"&gt;"&amp;$A99,Recepciones!$A$5:$A$2000,"&lt;="&amp;$A100),MAX(0,I100-I99)))</f>
        <v/>
      </c>
      <c r="K100" s="24" t="str">
        <f aca="false">IF($A100="","",MAX(0,I99+J100-I100))</f>
        <v/>
      </c>
      <c r="L100" s="24" t="str">
        <f aca="false">IF($A100="","",E100+H100+K100)</f>
        <v/>
      </c>
      <c r="M100" s="4" t="str">
        <f aca="false">IF($A100="","",IF(AND(D100+G100+J100&gt;0,SUMIFS(Recepciones!$C$5:$C$2000,Recepciones!$A$5:$A$2000,"&gt;"&amp;$A99,Recepciones!$A$5:$A$2000,"&lt;="&amp;$A100)=0),"Aumento de stock sin recepción registrada",IF(B100&gt;1,"Intervalo de "&amp;B100&amp;" días","")))</f>
        <v/>
      </c>
    </row>
    <row r="101" customFormat="false" ht="15" hidden="false" customHeight="false" outlineLevel="0" collapsed="false">
      <c r="A101" s="5" t="str">
        <f aca="false">IF(Stock_Diario!A101="","",Stock_Diario!A101)</f>
        <v/>
      </c>
      <c r="B101" s="4" t="str">
        <f aca="false">IF($A101="","",$A101-$A100)</f>
        <v/>
      </c>
      <c r="C101" s="24" t="str">
        <f aca="false">IF($A101="","",Stock_Diario!E101)</f>
        <v/>
      </c>
      <c r="D101" s="24" t="str">
        <f aca="false">IF($A101="","",IF(SUMIFS(Recepciones!$C$5:$C$2000,Recepciones!$B$5:$B$2000,Config!$A$23,Recepciones!$A$5:$A$2000,"&gt;"&amp;$A100,Recepciones!$A$5:$A$2000,"&lt;="&amp;$A101)&gt;0,SUMIFS(Recepciones!$C$5:$C$2000,Recepciones!$B$5:$B$2000,Config!$A$23,Recepciones!$A$5:$A$2000,"&gt;"&amp;$A100,Recepciones!$A$5:$A$2000,"&lt;="&amp;$A101),MAX(0,C101-C100)))</f>
        <v/>
      </c>
      <c r="E101" s="24" t="str">
        <f aca="false">IF($A101="","",MAX(0,C100+D101-C101))</f>
        <v/>
      </c>
      <c r="F101" s="24" t="str">
        <f aca="false">IF($A101="","",Stock_Diario!F101)</f>
        <v/>
      </c>
      <c r="G101" s="24" t="str">
        <f aca="false">IF($A101="","",IF(SUMIFS(Recepciones!$C$5:$C$2000,Recepciones!$B$5:$B$2000,Config!$A$24,Recepciones!$A$5:$A$2000,"&gt;"&amp;$A100,Recepciones!$A$5:$A$2000,"&lt;="&amp;$A101)&gt;0,SUMIFS(Recepciones!$C$5:$C$2000,Recepciones!$B$5:$B$2000,Config!$A$24,Recepciones!$A$5:$A$2000,"&gt;"&amp;$A100,Recepciones!$A$5:$A$2000,"&lt;="&amp;$A101),MAX(0,F101-F100)))</f>
        <v/>
      </c>
      <c r="H101" s="24" t="str">
        <f aca="false">IF($A101="","",MAX(0,F100+G101-F101))</f>
        <v/>
      </c>
      <c r="I101" s="24" t="str">
        <f aca="false">IF($A101="","",Stock_Diario!G101)</f>
        <v/>
      </c>
      <c r="J101" s="24" t="str">
        <f aca="false">IF($A101="","",IF(SUMIFS(Recepciones!$C$5:$C$2000,Recepciones!$B$5:$B$2000,Config!$A$25,Recepciones!$A$5:$A$2000,"&gt;"&amp;$A100,Recepciones!$A$5:$A$2000,"&lt;="&amp;$A101)&gt;0,SUMIFS(Recepciones!$C$5:$C$2000,Recepciones!$B$5:$B$2000,Config!$A$25,Recepciones!$A$5:$A$2000,"&gt;"&amp;$A100,Recepciones!$A$5:$A$2000,"&lt;="&amp;$A101),MAX(0,I101-I100)))</f>
        <v/>
      </c>
      <c r="K101" s="24" t="str">
        <f aca="false">IF($A101="","",MAX(0,I100+J101-I101))</f>
        <v/>
      </c>
      <c r="L101" s="24" t="str">
        <f aca="false">IF($A101="","",E101+H101+K101)</f>
        <v/>
      </c>
      <c r="M101" s="4" t="str">
        <f aca="false">IF($A101="","",IF(AND(D101+G101+J101&gt;0,SUMIFS(Recepciones!$C$5:$C$2000,Recepciones!$A$5:$A$2000,"&gt;"&amp;$A100,Recepciones!$A$5:$A$2000,"&lt;="&amp;$A101)=0),"Aumento de stock sin recepción registrada",IF(B101&gt;1,"Intervalo de "&amp;B101&amp;" días","")))</f>
        <v/>
      </c>
    </row>
    <row r="102" customFormat="false" ht="15" hidden="false" customHeight="false" outlineLevel="0" collapsed="false">
      <c r="A102" s="5" t="str">
        <f aca="false">IF(Stock_Diario!A102="","",Stock_Diario!A102)</f>
        <v/>
      </c>
      <c r="B102" s="4" t="str">
        <f aca="false">IF($A102="","",$A102-$A101)</f>
        <v/>
      </c>
      <c r="C102" s="24" t="str">
        <f aca="false">IF($A102="","",Stock_Diario!E102)</f>
        <v/>
      </c>
      <c r="D102" s="24" t="str">
        <f aca="false">IF($A102="","",IF(SUMIFS(Recepciones!$C$5:$C$2000,Recepciones!$B$5:$B$2000,Config!$A$23,Recepciones!$A$5:$A$2000,"&gt;"&amp;$A101,Recepciones!$A$5:$A$2000,"&lt;="&amp;$A102)&gt;0,SUMIFS(Recepciones!$C$5:$C$2000,Recepciones!$B$5:$B$2000,Config!$A$23,Recepciones!$A$5:$A$2000,"&gt;"&amp;$A101,Recepciones!$A$5:$A$2000,"&lt;="&amp;$A102),MAX(0,C102-C101)))</f>
        <v/>
      </c>
      <c r="E102" s="24" t="str">
        <f aca="false">IF($A102="","",MAX(0,C101+D102-C102))</f>
        <v/>
      </c>
      <c r="F102" s="24" t="str">
        <f aca="false">IF($A102="","",Stock_Diario!F102)</f>
        <v/>
      </c>
      <c r="G102" s="24" t="str">
        <f aca="false">IF($A102="","",IF(SUMIFS(Recepciones!$C$5:$C$2000,Recepciones!$B$5:$B$2000,Config!$A$24,Recepciones!$A$5:$A$2000,"&gt;"&amp;$A101,Recepciones!$A$5:$A$2000,"&lt;="&amp;$A102)&gt;0,SUMIFS(Recepciones!$C$5:$C$2000,Recepciones!$B$5:$B$2000,Config!$A$24,Recepciones!$A$5:$A$2000,"&gt;"&amp;$A101,Recepciones!$A$5:$A$2000,"&lt;="&amp;$A102),MAX(0,F102-F101)))</f>
        <v/>
      </c>
      <c r="H102" s="24" t="str">
        <f aca="false">IF($A102="","",MAX(0,F101+G102-F102))</f>
        <v/>
      </c>
      <c r="I102" s="24" t="str">
        <f aca="false">IF($A102="","",Stock_Diario!G102)</f>
        <v/>
      </c>
      <c r="J102" s="24" t="str">
        <f aca="false">IF($A102="","",IF(SUMIFS(Recepciones!$C$5:$C$2000,Recepciones!$B$5:$B$2000,Config!$A$25,Recepciones!$A$5:$A$2000,"&gt;"&amp;$A101,Recepciones!$A$5:$A$2000,"&lt;="&amp;$A102)&gt;0,SUMIFS(Recepciones!$C$5:$C$2000,Recepciones!$B$5:$B$2000,Config!$A$25,Recepciones!$A$5:$A$2000,"&gt;"&amp;$A101,Recepciones!$A$5:$A$2000,"&lt;="&amp;$A102),MAX(0,I102-I101)))</f>
        <v/>
      </c>
      <c r="K102" s="24" t="str">
        <f aca="false">IF($A102="","",MAX(0,I101+J102-I102))</f>
        <v/>
      </c>
      <c r="L102" s="24" t="str">
        <f aca="false">IF($A102="","",E102+H102+K102)</f>
        <v/>
      </c>
      <c r="M102" s="4" t="str">
        <f aca="false">IF($A102="","",IF(AND(D102+G102+J102&gt;0,SUMIFS(Recepciones!$C$5:$C$2000,Recepciones!$A$5:$A$2000,"&gt;"&amp;$A101,Recepciones!$A$5:$A$2000,"&lt;="&amp;$A102)=0),"Aumento de stock sin recepción registrada",IF(B102&gt;1,"Intervalo de "&amp;B102&amp;" días","")))</f>
        <v/>
      </c>
    </row>
    <row r="103" customFormat="false" ht="15" hidden="false" customHeight="false" outlineLevel="0" collapsed="false">
      <c r="A103" s="5" t="str">
        <f aca="false">IF(Stock_Diario!A103="","",Stock_Diario!A103)</f>
        <v/>
      </c>
      <c r="B103" s="4" t="str">
        <f aca="false">IF($A103="","",$A103-$A102)</f>
        <v/>
      </c>
      <c r="C103" s="24" t="str">
        <f aca="false">IF($A103="","",Stock_Diario!E103)</f>
        <v/>
      </c>
      <c r="D103" s="24" t="str">
        <f aca="false">IF($A103="","",IF(SUMIFS(Recepciones!$C$5:$C$2000,Recepciones!$B$5:$B$2000,Config!$A$23,Recepciones!$A$5:$A$2000,"&gt;"&amp;$A102,Recepciones!$A$5:$A$2000,"&lt;="&amp;$A103)&gt;0,SUMIFS(Recepciones!$C$5:$C$2000,Recepciones!$B$5:$B$2000,Config!$A$23,Recepciones!$A$5:$A$2000,"&gt;"&amp;$A102,Recepciones!$A$5:$A$2000,"&lt;="&amp;$A103),MAX(0,C103-C102)))</f>
        <v/>
      </c>
      <c r="E103" s="24" t="str">
        <f aca="false">IF($A103="","",MAX(0,C102+D103-C103))</f>
        <v/>
      </c>
      <c r="F103" s="24" t="str">
        <f aca="false">IF($A103="","",Stock_Diario!F103)</f>
        <v/>
      </c>
      <c r="G103" s="24" t="str">
        <f aca="false">IF($A103="","",IF(SUMIFS(Recepciones!$C$5:$C$2000,Recepciones!$B$5:$B$2000,Config!$A$24,Recepciones!$A$5:$A$2000,"&gt;"&amp;$A102,Recepciones!$A$5:$A$2000,"&lt;="&amp;$A103)&gt;0,SUMIFS(Recepciones!$C$5:$C$2000,Recepciones!$B$5:$B$2000,Config!$A$24,Recepciones!$A$5:$A$2000,"&gt;"&amp;$A102,Recepciones!$A$5:$A$2000,"&lt;="&amp;$A103),MAX(0,F103-F102)))</f>
        <v/>
      </c>
      <c r="H103" s="24" t="str">
        <f aca="false">IF($A103="","",MAX(0,F102+G103-F103))</f>
        <v/>
      </c>
      <c r="I103" s="24" t="str">
        <f aca="false">IF($A103="","",Stock_Diario!G103)</f>
        <v/>
      </c>
      <c r="J103" s="24" t="str">
        <f aca="false">IF($A103="","",IF(SUMIFS(Recepciones!$C$5:$C$2000,Recepciones!$B$5:$B$2000,Config!$A$25,Recepciones!$A$5:$A$2000,"&gt;"&amp;$A102,Recepciones!$A$5:$A$2000,"&lt;="&amp;$A103)&gt;0,SUMIFS(Recepciones!$C$5:$C$2000,Recepciones!$B$5:$B$2000,Config!$A$25,Recepciones!$A$5:$A$2000,"&gt;"&amp;$A102,Recepciones!$A$5:$A$2000,"&lt;="&amp;$A103),MAX(0,I103-I102)))</f>
        <v/>
      </c>
      <c r="K103" s="24" t="str">
        <f aca="false">IF($A103="","",MAX(0,I102+J103-I103))</f>
        <v/>
      </c>
      <c r="L103" s="24" t="str">
        <f aca="false">IF($A103="","",E103+H103+K103)</f>
        <v/>
      </c>
      <c r="M103" s="4" t="str">
        <f aca="false">IF($A103="","",IF(AND(D103+G103+J103&gt;0,SUMIFS(Recepciones!$C$5:$C$2000,Recepciones!$A$5:$A$2000,"&gt;"&amp;$A102,Recepciones!$A$5:$A$2000,"&lt;="&amp;$A103)=0),"Aumento de stock sin recepción registrada",IF(B103&gt;1,"Intervalo de "&amp;B103&amp;" días","")))</f>
        <v/>
      </c>
    </row>
    <row r="104" customFormat="false" ht="15" hidden="false" customHeight="false" outlineLevel="0" collapsed="false">
      <c r="A104" s="5" t="str">
        <f aca="false">IF(Stock_Diario!A104="","",Stock_Diario!A104)</f>
        <v/>
      </c>
      <c r="B104" s="4" t="str">
        <f aca="false">IF($A104="","",$A104-$A103)</f>
        <v/>
      </c>
      <c r="C104" s="24" t="str">
        <f aca="false">IF($A104="","",Stock_Diario!E104)</f>
        <v/>
      </c>
      <c r="D104" s="24" t="str">
        <f aca="false">IF($A104="","",IF(SUMIFS(Recepciones!$C$5:$C$2000,Recepciones!$B$5:$B$2000,Config!$A$23,Recepciones!$A$5:$A$2000,"&gt;"&amp;$A103,Recepciones!$A$5:$A$2000,"&lt;="&amp;$A104)&gt;0,SUMIFS(Recepciones!$C$5:$C$2000,Recepciones!$B$5:$B$2000,Config!$A$23,Recepciones!$A$5:$A$2000,"&gt;"&amp;$A103,Recepciones!$A$5:$A$2000,"&lt;="&amp;$A104),MAX(0,C104-C103)))</f>
        <v/>
      </c>
      <c r="E104" s="24" t="str">
        <f aca="false">IF($A104="","",MAX(0,C103+D104-C104))</f>
        <v/>
      </c>
      <c r="F104" s="24" t="str">
        <f aca="false">IF($A104="","",Stock_Diario!F104)</f>
        <v/>
      </c>
      <c r="G104" s="24" t="str">
        <f aca="false">IF($A104="","",IF(SUMIFS(Recepciones!$C$5:$C$2000,Recepciones!$B$5:$B$2000,Config!$A$24,Recepciones!$A$5:$A$2000,"&gt;"&amp;$A103,Recepciones!$A$5:$A$2000,"&lt;="&amp;$A104)&gt;0,SUMIFS(Recepciones!$C$5:$C$2000,Recepciones!$B$5:$B$2000,Config!$A$24,Recepciones!$A$5:$A$2000,"&gt;"&amp;$A103,Recepciones!$A$5:$A$2000,"&lt;="&amp;$A104),MAX(0,F104-F103)))</f>
        <v/>
      </c>
      <c r="H104" s="24" t="str">
        <f aca="false">IF($A104="","",MAX(0,F103+G104-F104))</f>
        <v/>
      </c>
      <c r="I104" s="24" t="str">
        <f aca="false">IF($A104="","",Stock_Diario!G104)</f>
        <v/>
      </c>
      <c r="J104" s="24" t="str">
        <f aca="false">IF($A104="","",IF(SUMIFS(Recepciones!$C$5:$C$2000,Recepciones!$B$5:$B$2000,Config!$A$25,Recepciones!$A$5:$A$2000,"&gt;"&amp;$A103,Recepciones!$A$5:$A$2000,"&lt;="&amp;$A104)&gt;0,SUMIFS(Recepciones!$C$5:$C$2000,Recepciones!$B$5:$B$2000,Config!$A$25,Recepciones!$A$5:$A$2000,"&gt;"&amp;$A103,Recepciones!$A$5:$A$2000,"&lt;="&amp;$A104),MAX(0,I104-I103)))</f>
        <v/>
      </c>
      <c r="K104" s="24" t="str">
        <f aca="false">IF($A104="","",MAX(0,I103+J104-I104))</f>
        <v/>
      </c>
      <c r="L104" s="24" t="str">
        <f aca="false">IF($A104="","",E104+H104+K104)</f>
        <v/>
      </c>
      <c r="M104" s="4" t="str">
        <f aca="false">IF($A104="","",IF(AND(D104+G104+J104&gt;0,SUMIFS(Recepciones!$C$5:$C$2000,Recepciones!$A$5:$A$2000,"&gt;"&amp;$A103,Recepciones!$A$5:$A$2000,"&lt;="&amp;$A104)=0),"Aumento de stock sin recepción registrada",IF(B104&gt;1,"Intervalo de "&amp;B104&amp;" días","")))</f>
        <v/>
      </c>
    </row>
    <row r="105" customFormat="false" ht="15" hidden="false" customHeight="false" outlineLevel="0" collapsed="false">
      <c r="A105" s="5" t="str">
        <f aca="false">IF(Stock_Diario!A105="","",Stock_Diario!A105)</f>
        <v/>
      </c>
      <c r="B105" s="4" t="str">
        <f aca="false">IF($A105="","",$A105-$A104)</f>
        <v/>
      </c>
      <c r="C105" s="24" t="str">
        <f aca="false">IF($A105="","",Stock_Diario!E105)</f>
        <v/>
      </c>
      <c r="D105" s="24" t="str">
        <f aca="false">IF($A105="","",IF(SUMIFS(Recepciones!$C$5:$C$2000,Recepciones!$B$5:$B$2000,Config!$A$23,Recepciones!$A$5:$A$2000,"&gt;"&amp;$A104,Recepciones!$A$5:$A$2000,"&lt;="&amp;$A105)&gt;0,SUMIFS(Recepciones!$C$5:$C$2000,Recepciones!$B$5:$B$2000,Config!$A$23,Recepciones!$A$5:$A$2000,"&gt;"&amp;$A104,Recepciones!$A$5:$A$2000,"&lt;="&amp;$A105),MAX(0,C105-C104)))</f>
        <v/>
      </c>
      <c r="E105" s="24" t="str">
        <f aca="false">IF($A105="","",MAX(0,C104+D105-C105))</f>
        <v/>
      </c>
      <c r="F105" s="24" t="str">
        <f aca="false">IF($A105="","",Stock_Diario!F105)</f>
        <v/>
      </c>
      <c r="G105" s="24" t="str">
        <f aca="false">IF($A105="","",IF(SUMIFS(Recepciones!$C$5:$C$2000,Recepciones!$B$5:$B$2000,Config!$A$24,Recepciones!$A$5:$A$2000,"&gt;"&amp;$A104,Recepciones!$A$5:$A$2000,"&lt;="&amp;$A105)&gt;0,SUMIFS(Recepciones!$C$5:$C$2000,Recepciones!$B$5:$B$2000,Config!$A$24,Recepciones!$A$5:$A$2000,"&gt;"&amp;$A104,Recepciones!$A$5:$A$2000,"&lt;="&amp;$A105),MAX(0,F105-F104)))</f>
        <v/>
      </c>
      <c r="H105" s="24" t="str">
        <f aca="false">IF($A105="","",MAX(0,F104+G105-F105))</f>
        <v/>
      </c>
      <c r="I105" s="24" t="str">
        <f aca="false">IF($A105="","",Stock_Diario!G105)</f>
        <v/>
      </c>
      <c r="J105" s="24" t="str">
        <f aca="false">IF($A105="","",IF(SUMIFS(Recepciones!$C$5:$C$2000,Recepciones!$B$5:$B$2000,Config!$A$25,Recepciones!$A$5:$A$2000,"&gt;"&amp;$A104,Recepciones!$A$5:$A$2000,"&lt;="&amp;$A105)&gt;0,SUMIFS(Recepciones!$C$5:$C$2000,Recepciones!$B$5:$B$2000,Config!$A$25,Recepciones!$A$5:$A$2000,"&gt;"&amp;$A104,Recepciones!$A$5:$A$2000,"&lt;="&amp;$A105),MAX(0,I105-I104)))</f>
        <v/>
      </c>
      <c r="K105" s="24" t="str">
        <f aca="false">IF($A105="","",MAX(0,I104+J105-I105))</f>
        <v/>
      </c>
      <c r="L105" s="24" t="str">
        <f aca="false">IF($A105="","",E105+H105+K105)</f>
        <v/>
      </c>
      <c r="M105" s="4" t="str">
        <f aca="false">IF($A105="","",IF(AND(D105+G105+J105&gt;0,SUMIFS(Recepciones!$C$5:$C$2000,Recepciones!$A$5:$A$2000,"&gt;"&amp;$A104,Recepciones!$A$5:$A$2000,"&lt;="&amp;$A105)=0),"Aumento de stock sin recepción registrada",IF(B105&gt;1,"Intervalo de "&amp;B105&amp;" días","")))</f>
        <v/>
      </c>
    </row>
    <row r="106" customFormat="false" ht="15" hidden="false" customHeight="false" outlineLevel="0" collapsed="false">
      <c r="A106" s="5" t="str">
        <f aca="false">IF(Stock_Diario!A106="","",Stock_Diario!A106)</f>
        <v/>
      </c>
      <c r="B106" s="4" t="str">
        <f aca="false">IF($A106="","",$A106-$A105)</f>
        <v/>
      </c>
      <c r="C106" s="24" t="str">
        <f aca="false">IF($A106="","",Stock_Diario!E106)</f>
        <v/>
      </c>
      <c r="D106" s="24" t="str">
        <f aca="false">IF($A106="","",IF(SUMIFS(Recepciones!$C$5:$C$2000,Recepciones!$B$5:$B$2000,Config!$A$23,Recepciones!$A$5:$A$2000,"&gt;"&amp;$A105,Recepciones!$A$5:$A$2000,"&lt;="&amp;$A106)&gt;0,SUMIFS(Recepciones!$C$5:$C$2000,Recepciones!$B$5:$B$2000,Config!$A$23,Recepciones!$A$5:$A$2000,"&gt;"&amp;$A105,Recepciones!$A$5:$A$2000,"&lt;="&amp;$A106),MAX(0,C106-C105)))</f>
        <v/>
      </c>
      <c r="E106" s="24" t="str">
        <f aca="false">IF($A106="","",MAX(0,C105+D106-C106))</f>
        <v/>
      </c>
      <c r="F106" s="24" t="str">
        <f aca="false">IF($A106="","",Stock_Diario!F106)</f>
        <v/>
      </c>
      <c r="G106" s="24" t="str">
        <f aca="false">IF($A106="","",IF(SUMIFS(Recepciones!$C$5:$C$2000,Recepciones!$B$5:$B$2000,Config!$A$24,Recepciones!$A$5:$A$2000,"&gt;"&amp;$A105,Recepciones!$A$5:$A$2000,"&lt;="&amp;$A106)&gt;0,SUMIFS(Recepciones!$C$5:$C$2000,Recepciones!$B$5:$B$2000,Config!$A$24,Recepciones!$A$5:$A$2000,"&gt;"&amp;$A105,Recepciones!$A$5:$A$2000,"&lt;="&amp;$A106),MAX(0,F106-F105)))</f>
        <v/>
      </c>
      <c r="H106" s="24" t="str">
        <f aca="false">IF($A106="","",MAX(0,F105+G106-F106))</f>
        <v/>
      </c>
      <c r="I106" s="24" t="str">
        <f aca="false">IF($A106="","",Stock_Diario!G106)</f>
        <v/>
      </c>
      <c r="J106" s="24" t="str">
        <f aca="false">IF($A106="","",IF(SUMIFS(Recepciones!$C$5:$C$2000,Recepciones!$B$5:$B$2000,Config!$A$25,Recepciones!$A$5:$A$2000,"&gt;"&amp;$A105,Recepciones!$A$5:$A$2000,"&lt;="&amp;$A106)&gt;0,SUMIFS(Recepciones!$C$5:$C$2000,Recepciones!$B$5:$B$2000,Config!$A$25,Recepciones!$A$5:$A$2000,"&gt;"&amp;$A105,Recepciones!$A$5:$A$2000,"&lt;="&amp;$A106),MAX(0,I106-I105)))</f>
        <v/>
      </c>
      <c r="K106" s="24" t="str">
        <f aca="false">IF($A106="","",MAX(0,I105+J106-I106))</f>
        <v/>
      </c>
      <c r="L106" s="24" t="str">
        <f aca="false">IF($A106="","",E106+H106+K106)</f>
        <v/>
      </c>
      <c r="M106" s="4" t="str">
        <f aca="false">IF($A106="","",IF(AND(D106+G106+J106&gt;0,SUMIFS(Recepciones!$C$5:$C$2000,Recepciones!$A$5:$A$2000,"&gt;"&amp;$A105,Recepciones!$A$5:$A$2000,"&lt;="&amp;$A106)=0),"Aumento de stock sin recepción registrada",IF(B106&gt;1,"Intervalo de "&amp;B106&amp;" días","")))</f>
        <v/>
      </c>
    </row>
    <row r="107" customFormat="false" ht="15" hidden="false" customHeight="false" outlineLevel="0" collapsed="false">
      <c r="A107" s="5" t="str">
        <f aca="false">IF(Stock_Diario!A107="","",Stock_Diario!A107)</f>
        <v/>
      </c>
      <c r="B107" s="4" t="str">
        <f aca="false">IF($A107="","",$A107-$A106)</f>
        <v/>
      </c>
      <c r="C107" s="24" t="str">
        <f aca="false">IF($A107="","",Stock_Diario!E107)</f>
        <v/>
      </c>
      <c r="D107" s="24" t="str">
        <f aca="false">IF($A107="","",IF(SUMIFS(Recepciones!$C$5:$C$2000,Recepciones!$B$5:$B$2000,Config!$A$23,Recepciones!$A$5:$A$2000,"&gt;"&amp;$A106,Recepciones!$A$5:$A$2000,"&lt;="&amp;$A107)&gt;0,SUMIFS(Recepciones!$C$5:$C$2000,Recepciones!$B$5:$B$2000,Config!$A$23,Recepciones!$A$5:$A$2000,"&gt;"&amp;$A106,Recepciones!$A$5:$A$2000,"&lt;="&amp;$A107),MAX(0,C107-C106)))</f>
        <v/>
      </c>
      <c r="E107" s="24" t="str">
        <f aca="false">IF($A107="","",MAX(0,C106+D107-C107))</f>
        <v/>
      </c>
      <c r="F107" s="24" t="str">
        <f aca="false">IF($A107="","",Stock_Diario!F107)</f>
        <v/>
      </c>
      <c r="G107" s="24" t="str">
        <f aca="false">IF($A107="","",IF(SUMIFS(Recepciones!$C$5:$C$2000,Recepciones!$B$5:$B$2000,Config!$A$24,Recepciones!$A$5:$A$2000,"&gt;"&amp;$A106,Recepciones!$A$5:$A$2000,"&lt;="&amp;$A107)&gt;0,SUMIFS(Recepciones!$C$5:$C$2000,Recepciones!$B$5:$B$2000,Config!$A$24,Recepciones!$A$5:$A$2000,"&gt;"&amp;$A106,Recepciones!$A$5:$A$2000,"&lt;="&amp;$A107),MAX(0,F107-F106)))</f>
        <v/>
      </c>
      <c r="H107" s="24" t="str">
        <f aca="false">IF($A107="","",MAX(0,F106+G107-F107))</f>
        <v/>
      </c>
      <c r="I107" s="24" t="str">
        <f aca="false">IF($A107="","",Stock_Diario!G107)</f>
        <v/>
      </c>
      <c r="J107" s="24" t="str">
        <f aca="false">IF($A107="","",IF(SUMIFS(Recepciones!$C$5:$C$2000,Recepciones!$B$5:$B$2000,Config!$A$25,Recepciones!$A$5:$A$2000,"&gt;"&amp;$A106,Recepciones!$A$5:$A$2000,"&lt;="&amp;$A107)&gt;0,SUMIFS(Recepciones!$C$5:$C$2000,Recepciones!$B$5:$B$2000,Config!$A$25,Recepciones!$A$5:$A$2000,"&gt;"&amp;$A106,Recepciones!$A$5:$A$2000,"&lt;="&amp;$A107),MAX(0,I107-I106)))</f>
        <v/>
      </c>
      <c r="K107" s="24" t="str">
        <f aca="false">IF($A107="","",MAX(0,I106+J107-I107))</f>
        <v/>
      </c>
      <c r="L107" s="24" t="str">
        <f aca="false">IF($A107="","",E107+H107+K107)</f>
        <v/>
      </c>
      <c r="M107" s="4" t="str">
        <f aca="false">IF($A107="","",IF(AND(D107+G107+J107&gt;0,SUMIFS(Recepciones!$C$5:$C$2000,Recepciones!$A$5:$A$2000,"&gt;"&amp;$A106,Recepciones!$A$5:$A$2000,"&lt;="&amp;$A107)=0),"Aumento de stock sin recepción registrada",IF(B107&gt;1,"Intervalo de "&amp;B107&amp;" días","")))</f>
        <v/>
      </c>
    </row>
    <row r="108" customFormat="false" ht="15" hidden="false" customHeight="false" outlineLevel="0" collapsed="false">
      <c r="A108" s="5" t="str">
        <f aca="false">IF(Stock_Diario!A108="","",Stock_Diario!A108)</f>
        <v/>
      </c>
      <c r="B108" s="4" t="str">
        <f aca="false">IF($A108="","",$A108-$A107)</f>
        <v/>
      </c>
      <c r="C108" s="24" t="str">
        <f aca="false">IF($A108="","",Stock_Diario!E108)</f>
        <v/>
      </c>
      <c r="D108" s="24" t="str">
        <f aca="false">IF($A108="","",IF(SUMIFS(Recepciones!$C$5:$C$2000,Recepciones!$B$5:$B$2000,Config!$A$23,Recepciones!$A$5:$A$2000,"&gt;"&amp;$A107,Recepciones!$A$5:$A$2000,"&lt;="&amp;$A108)&gt;0,SUMIFS(Recepciones!$C$5:$C$2000,Recepciones!$B$5:$B$2000,Config!$A$23,Recepciones!$A$5:$A$2000,"&gt;"&amp;$A107,Recepciones!$A$5:$A$2000,"&lt;="&amp;$A108),MAX(0,C108-C107)))</f>
        <v/>
      </c>
      <c r="E108" s="24" t="str">
        <f aca="false">IF($A108="","",MAX(0,C107+D108-C108))</f>
        <v/>
      </c>
      <c r="F108" s="24" t="str">
        <f aca="false">IF($A108="","",Stock_Diario!F108)</f>
        <v/>
      </c>
      <c r="G108" s="24" t="str">
        <f aca="false">IF($A108="","",IF(SUMIFS(Recepciones!$C$5:$C$2000,Recepciones!$B$5:$B$2000,Config!$A$24,Recepciones!$A$5:$A$2000,"&gt;"&amp;$A107,Recepciones!$A$5:$A$2000,"&lt;="&amp;$A108)&gt;0,SUMIFS(Recepciones!$C$5:$C$2000,Recepciones!$B$5:$B$2000,Config!$A$24,Recepciones!$A$5:$A$2000,"&gt;"&amp;$A107,Recepciones!$A$5:$A$2000,"&lt;="&amp;$A108),MAX(0,F108-F107)))</f>
        <v/>
      </c>
      <c r="H108" s="24" t="str">
        <f aca="false">IF($A108="","",MAX(0,F107+G108-F108))</f>
        <v/>
      </c>
      <c r="I108" s="24" t="str">
        <f aca="false">IF($A108="","",Stock_Diario!G108)</f>
        <v/>
      </c>
      <c r="J108" s="24" t="str">
        <f aca="false">IF($A108="","",IF(SUMIFS(Recepciones!$C$5:$C$2000,Recepciones!$B$5:$B$2000,Config!$A$25,Recepciones!$A$5:$A$2000,"&gt;"&amp;$A107,Recepciones!$A$5:$A$2000,"&lt;="&amp;$A108)&gt;0,SUMIFS(Recepciones!$C$5:$C$2000,Recepciones!$B$5:$B$2000,Config!$A$25,Recepciones!$A$5:$A$2000,"&gt;"&amp;$A107,Recepciones!$A$5:$A$2000,"&lt;="&amp;$A108),MAX(0,I108-I107)))</f>
        <v/>
      </c>
      <c r="K108" s="24" t="str">
        <f aca="false">IF($A108="","",MAX(0,I107+J108-I108))</f>
        <v/>
      </c>
      <c r="L108" s="24" t="str">
        <f aca="false">IF($A108="","",E108+H108+K108)</f>
        <v/>
      </c>
      <c r="M108" s="4" t="str">
        <f aca="false">IF($A108="","",IF(AND(D108+G108+J108&gt;0,SUMIFS(Recepciones!$C$5:$C$2000,Recepciones!$A$5:$A$2000,"&gt;"&amp;$A107,Recepciones!$A$5:$A$2000,"&lt;="&amp;$A108)=0),"Aumento de stock sin recepción registrada",IF(B108&gt;1,"Intervalo de "&amp;B108&amp;" días","")))</f>
        <v/>
      </c>
    </row>
    <row r="109" customFormat="false" ht="15" hidden="false" customHeight="false" outlineLevel="0" collapsed="false">
      <c r="A109" s="5" t="str">
        <f aca="false">IF(Stock_Diario!A109="","",Stock_Diario!A109)</f>
        <v/>
      </c>
      <c r="B109" s="4" t="str">
        <f aca="false">IF($A109="","",$A109-$A108)</f>
        <v/>
      </c>
      <c r="C109" s="24" t="str">
        <f aca="false">IF($A109="","",Stock_Diario!E109)</f>
        <v/>
      </c>
      <c r="D109" s="24" t="str">
        <f aca="false">IF($A109="","",IF(SUMIFS(Recepciones!$C$5:$C$2000,Recepciones!$B$5:$B$2000,Config!$A$23,Recepciones!$A$5:$A$2000,"&gt;"&amp;$A108,Recepciones!$A$5:$A$2000,"&lt;="&amp;$A109)&gt;0,SUMIFS(Recepciones!$C$5:$C$2000,Recepciones!$B$5:$B$2000,Config!$A$23,Recepciones!$A$5:$A$2000,"&gt;"&amp;$A108,Recepciones!$A$5:$A$2000,"&lt;="&amp;$A109),MAX(0,C109-C108)))</f>
        <v/>
      </c>
      <c r="E109" s="24" t="str">
        <f aca="false">IF($A109="","",MAX(0,C108+D109-C109))</f>
        <v/>
      </c>
      <c r="F109" s="24" t="str">
        <f aca="false">IF($A109="","",Stock_Diario!F109)</f>
        <v/>
      </c>
      <c r="G109" s="24" t="str">
        <f aca="false">IF($A109="","",IF(SUMIFS(Recepciones!$C$5:$C$2000,Recepciones!$B$5:$B$2000,Config!$A$24,Recepciones!$A$5:$A$2000,"&gt;"&amp;$A108,Recepciones!$A$5:$A$2000,"&lt;="&amp;$A109)&gt;0,SUMIFS(Recepciones!$C$5:$C$2000,Recepciones!$B$5:$B$2000,Config!$A$24,Recepciones!$A$5:$A$2000,"&gt;"&amp;$A108,Recepciones!$A$5:$A$2000,"&lt;="&amp;$A109),MAX(0,F109-F108)))</f>
        <v/>
      </c>
      <c r="H109" s="24" t="str">
        <f aca="false">IF($A109="","",MAX(0,F108+G109-F109))</f>
        <v/>
      </c>
      <c r="I109" s="24" t="str">
        <f aca="false">IF($A109="","",Stock_Diario!G109)</f>
        <v/>
      </c>
      <c r="J109" s="24" t="str">
        <f aca="false">IF($A109="","",IF(SUMIFS(Recepciones!$C$5:$C$2000,Recepciones!$B$5:$B$2000,Config!$A$25,Recepciones!$A$5:$A$2000,"&gt;"&amp;$A108,Recepciones!$A$5:$A$2000,"&lt;="&amp;$A109)&gt;0,SUMIFS(Recepciones!$C$5:$C$2000,Recepciones!$B$5:$B$2000,Config!$A$25,Recepciones!$A$5:$A$2000,"&gt;"&amp;$A108,Recepciones!$A$5:$A$2000,"&lt;="&amp;$A109),MAX(0,I109-I108)))</f>
        <v/>
      </c>
      <c r="K109" s="24" t="str">
        <f aca="false">IF($A109="","",MAX(0,I108+J109-I109))</f>
        <v/>
      </c>
      <c r="L109" s="24" t="str">
        <f aca="false">IF($A109="","",E109+H109+K109)</f>
        <v/>
      </c>
      <c r="M109" s="4" t="str">
        <f aca="false">IF($A109="","",IF(AND(D109+G109+J109&gt;0,SUMIFS(Recepciones!$C$5:$C$2000,Recepciones!$A$5:$A$2000,"&gt;"&amp;$A108,Recepciones!$A$5:$A$2000,"&lt;="&amp;$A109)=0),"Aumento de stock sin recepción registrada",IF(B109&gt;1,"Intervalo de "&amp;B109&amp;" días","")))</f>
        <v/>
      </c>
    </row>
    <row r="110" customFormat="false" ht="15" hidden="false" customHeight="false" outlineLevel="0" collapsed="false">
      <c r="A110" s="5" t="str">
        <f aca="false">IF(Stock_Diario!A110="","",Stock_Diario!A110)</f>
        <v/>
      </c>
      <c r="B110" s="4" t="str">
        <f aca="false">IF($A110="","",$A110-$A109)</f>
        <v/>
      </c>
      <c r="C110" s="24" t="str">
        <f aca="false">IF($A110="","",Stock_Diario!E110)</f>
        <v/>
      </c>
      <c r="D110" s="24" t="str">
        <f aca="false">IF($A110="","",IF(SUMIFS(Recepciones!$C$5:$C$2000,Recepciones!$B$5:$B$2000,Config!$A$23,Recepciones!$A$5:$A$2000,"&gt;"&amp;$A109,Recepciones!$A$5:$A$2000,"&lt;="&amp;$A110)&gt;0,SUMIFS(Recepciones!$C$5:$C$2000,Recepciones!$B$5:$B$2000,Config!$A$23,Recepciones!$A$5:$A$2000,"&gt;"&amp;$A109,Recepciones!$A$5:$A$2000,"&lt;="&amp;$A110),MAX(0,C110-C109)))</f>
        <v/>
      </c>
      <c r="E110" s="24" t="str">
        <f aca="false">IF($A110="","",MAX(0,C109+D110-C110))</f>
        <v/>
      </c>
      <c r="F110" s="24" t="str">
        <f aca="false">IF($A110="","",Stock_Diario!F110)</f>
        <v/>
      </c>
      <c r="G110" s="24" t="str">
        <f aca="false">IF($A110="","",IF(SUMIFS(Recepciones!$C$5:$C$2000,Recepciones!$B$5:$B$2000,Config!$A$24,Recepciones!$A$5:$A$2000,"&gt;"&amp;$A109,Recepciones!$A$5:$A$2000,"&lt;="&amp;$A110)&gt;0,SUMIFS(Recepciones!$C$5:$C$2000,Recepciones!$B$5:$B$2000,Config!$A$24,Recepciones!$A$5:$A$2000,"&gt;"&amp;$A109,Recepciones!$A$5:$A$2000,"&lt;="&amp;$A110),MAX(0,F110-F109)))</f>
        <v/>
      </c>
      <c r="H110" s="24" t="str">
        <f aca="false">IF($A110="","",MAX(0,F109+G110-F110))</f>
        <v/>
      </c>
      <c r="I110" s="24" t="str">
        <f aca="false">IF($A110="","",Stock_Diario!G110)</f>
        <v/>
      </c>
      <c r="J110" s="24" t="str">
        <f aca="false">IF($A110="","",IF(SUMIFS(Recepciones!$C$5:$C$2000,Recepciones!$B$5:$B$2000,Config!$A$25,Recepciones!$A$5:$A$2000,"&gt;"&amp;$A109,Recepciones!$A$5:$A$2000,"&lt;="&amp;$A110)&gt;0,SUMIFS(Recepciones!$C$5:$C$2000,Recepciones!$B$5:$B$2000,Config!$A$25,Recepciones!$A$5:$A$2000,"&gt;"&amp;$A109,Recepciones!$A$5:$A$2000,"&lt;="&amp;$A110),MAX(0,I110-I109)))</f>
        <v/>
      </c>
      <c r="K110" s="24" t="str">
        <f aca="false">IF($A110="","",MAX(0,I109+J110-I110))</f>
        <v/>
      </c>
      <c r="L110" s="24" t="str">
        <f aca="false">IF($A110="","",E110+H110+K110)</f>
        <v/>
      </c>
      <c r="M110" s="4" t="str">
        <f aca="false">IF($A110="","",IF(AND(D110+G110+J110&gt;0,SUMIFS(Recepciones!$C$5:$C$2000,Recepciones!$A$5:$A$2000,"&gt;"&amp;$A109,Recepciones!$A$5:$A$2000,"&lt;="&amp;$A110)=0),"Aumento de stock sin recepción registrada",IF(B110&gt;1,"Intervalo de "&amp;B110&amp;" días","")))</f>
        <v/>
      </c>
    </row>
    <row r="111" customFormat="false" ht="15" hidden="false" customHeight="false" outlineLevel="0" collapsed="false">
      <c r="A111" s="5" t="str">
        <f aca="false">IF(Stock_Diario!A111="","",Stock_Diario!A111)</f>
        <v/>
      </c>
      <c r="B111" s="4" t="str">
        <f aca="false">IF($A111="","",$A111-$A110)</f>
        <v/>
      </c>
      <c r="C111" s="24" t="str">
        <f aca="false">IF($A111="","",Stock_Diario!E111)</f>
        <v/>
      </c>
      <c r="D111" s="24" t="str">
        <f aca="false">IF($A111="","",IF(SUMIFS(Recepciones!$C$5:$C$2000,Recepciones!$B$5:$B$2000,Config!$A$23,Recepciones!$A$5:$A$2000,"&gt;"&amp;$A110,Recepciones!$A$5:$A$2000,"&lt;="&amp;$A111)&gt;0,SUMIFS(Recepciones!$C$5:$C$2000,Recepciones!$B$5:$B$2000,Config!$A$23,Recepciones!$A$5:$A$2000,"&gt;"&amp;$A110,Recepciones!$A$5:$A$2000,"&lt;="&amp;$A111),MAX(0,C111-C110)))</f>
        <v/>
      </c>
      <c r="E111" s="24" t="str">
        <f aca="false">IF($A111="","",MAX(0,C110+D111-C111))</f>
        <v/>
      </c>
      <c r="F111" s="24" t="str">
        <f aca="false">IF($A111="","",Stock_Diario!F111)</f>
        <v/>
      </c>
      <c r="G111" s="24" t="str">
        <f aca="false">IF($A111="","",IF(SUMIFS(Recepciones!$C$5:$C$2000,Recepciones!$B$5:$B$2000,Config!$A$24,Recepciones!$A$5:$A$2000,"&gt;"&amp;$A110,Recepciones!$A$5:$A$2000,"&lt;="&amp;$A111)&gt;0,SUMIFS(Recepciones!$C$5:$C$2000,Recepciones!$B$5:$B$2000,Config!$A$24,Recepciones!$A$5:$A$2000,"&gt;"&amp;$A110,Recepciones!$A$5:$A$2000,"&lt;="&amp;$A111),MAX(0,F111-F110)))</f>
        <v/>
      </c>
      <c r="H111" s="24" t="str">
        <f aca="false">IF($A111="","",MAX(0,F110+G111-F111))</f>
        <v/>
      </c>
      <c r="I111" s="24" t="str">
        <f aca="false">IF($A111="","",Stock_Diario!G111)</f>
        <v/>
      </c>
      <c r="J111" s="24" t="str">
        <f aca="false">IF($A111="","",IF(SUMIFS(Recepciones!$C$5:$C$2000,Recepciones!$B$5:$B$2000,Config!$A$25,Recepciones!$A$5:$A$2000,"&gt;"&amp;$A110,Recepciones!$A$5:$A$2000,"&lt;="&amp;$A111)&gt;0,SUMIFS(Recepciones!$C$5:$C$2000,Recepciones!$B$5:$B$2000,Config!$A$25,Recepciones!$A$5:$A$2000,"&gt;"&amp;$A110,Recepciones!$A$5:$A$2000,"&lt;="&amp;$A111),MAX(0,I111-I110)))</f>
        <v/>
      </c>
      <c r="K111" s="24" t="str">
        <f aca="false">IF($A111="","",MAX(0,I110+J111-I111))</f>
        <v/>
      </c>
      <c r="L111" s="24" t="str">
        <f aca="false">IF($A111="","",E111+H111+K111)</f>
        <v/>
      </c>
      <c r="M111" s="4" t="str">
        <f aca="false">IF($A111="","",IF(AND(D111+G111+J111&gt;0,SUMIFS(Recepciones!$C$5:$C$2000,Recepciones!$A$5:$A$2000,"&gt;"&amp;$A110,Recepciones!$A$5:$A$2000,"&lt;="&amp;$A111)=0),"Aumento de stock sin recepción registrada",IF(B111&gt;1,"Intervalo de "&amp;B111&amp;" días","")))</f>
        <v/>
      </c>
    </row>
    <row r="112" customFormat="false" ht="15" hidden="false" customHeight="false" outlineLevel="0" collapsed="false">
      <c r="A112" s="5" t="str">
        <f aca="false">IF(Stock_Diario!A112="","",Stock_Diario!A112)</f>
        <v/>
      </c>
      <c r="B112" s="4" t="str">
        <f aca="false">IF($A112="","",$A112-$A111)</f>
        <v/>
      </c>
      <c r="C112" s="24" t="str">
        <f aca="false">IF($A112="","",Stock_Diario!E112)</f>
        <v/>
      </c>
      <c r="D112" s="24" t="str">
        <f aca="false">IF($A112="","",IF(SUMIFS(Recepciones!$C$5:$C$2000,Recepciones!$B$5:$B$2000,Config!$A$23,Recepciones!$A$5:$A$2000,"&gt;"&amp;$A111,Recepciones!$A$5:$A$2000,"&lt;="&amp;$A112)&gt;0,SUMIFS(Recepciones!$C$5:$C$2000,Recepciones!$B$5:$B$2000,Config!$A$23,Recepciones!$A$5:$A$2000,"&gt;"&amp;$A111,Recepciones!$A$5:$A$2000,"&lt;="&amp;$A112),MAX(0,C112-C111)))</f>
        <v/>
      </c>
      <c r="E112" s="24" t="str">
        <f aca="false">IF($A112="","",MAX(0,C111+D112-C112))</f>
        <v/>
      </c>
      <c r="F112" s="24" t="str">
        <f aca="false">IF($A112="","",Stock_Diario!F112)</f>
        <v/>
      </c>
      <c r="G112" s="24" t="str">
        <f aca="false">IF($A112="","",IF(SUMIFS(Recepciones!$C$5:$C$2000,Recepciones!$B$5:$B$2000,Config!$A$24,Recepciones!$A$5:$A$2000,"&gt;"&amp;$A111,Recepciones!$A$5:$A$2000,"&lt;="&amp;$A112)&gt;0,SUMIFS(Recepciones!$C$5:$C$2000,Recepciones!$B$5:$B$2000,Config!$A$24,Recepciones!$A$5:$A$2000,"&gt;"&amp;$A111,Recepciones!$A$5:$A$2000,"&lt;="&amp;$A112),MAX(0,F112-F111)))</f>
        <v/>
      </c>
      <c r="H112" s="24" t="str">
        <f aca="false">IF($A112="","",MAX(0,F111+G112-F112))</f>
        <v/>
      </c>
      <c r="I112" s="24" t="str">
        <f aca="false">IF($A112="","",Stock_Diario!G112)</f>
        <v/>
      </c>
      <c r="J112" s="24" t="str">
        <f aca="false">IF($A112="","",IF(SUMIFS(Recepciones!$C$5:$C$2000,Recepciones!$B$5:$B$2000,Config!$A$25,Recepciones!$A$5:$A$2000,"&gt;"&amp;$A111,Recepciones!$A$5:$A$2000,"&lt;="&amp;$A112)&gt;0,SUMIFS(Recepciones!$C$5:$C$2000,Recepciones!$B$5:$B$2000,Config!$A$25,Recepciones!$A$5:$A$2000,"&gt;"&amp;$A111,Recepciones!$A$5:$A$2000,"&lt;="&amp;$A112),MAX(0,I112-I111)))</f>
        <v/>
      </c>
      <c r="K112" s="24" t="str">
        <f aca="false">IF($A112="","",MAX(0,I111+J112-I112))</f>
        <v/>
      </c>
      <c r="L112" s="24" t="str">
        <f aca="false">IF($A112="","",E112+H112+K112)</f>
        <v/>
      </c>
      <c r="M112" s="4" t="str">
        <f aca="false">IF($A112="","",IF(AND(D112+G112+J112&gt;0,SUMIFS(Recepciones!$C$5:$C$2000,Recepciones!$A$5:$A$2000,"&gt;"&amp;$A111,Recepciones!$A$5:$A$2000,"&lt;="&amp;$A112)=0),"Aumento de stock sin recepción registrada",IF(B112&gt;1,"Intervalo de "&amp;B112&amp;" días","")))</f>
        <v/>
      </c>
    </row>
    <row r="113" customFormat="false" ht="15" hidden="false" customHeight="false" outlineLevel="0" collapsed="false">
      <c r="A113" s="5" t="str">
        <f aca="false">IF(Stock_Diario!A113="","",Stock_Diario!A113)</f>
        <v/>
      </c>
      <c r="B113" s="4" t="str">
        <f aca="false">IF($A113="","",$A113-$A112)</f>
        <v/>
      </c>
      <c r="C113" s="24" t="str">
        <f aca="false">IF($A113="","",Stock_Diario!E113)</f>
        <v/>
      </c>
      <c r="D113" s="24" t="str">
        <f aca="false">IF($A113="","",IF(SUMIFS(Recepciones!$C$5:$C$2000,Recepciones!$B$5:$B$2000,Config!$A$23,Recepciones!$A$5:$A$2000,"&gt;"&amp;$A112,Recepciones!$A$5:$A$2000,"&lt;="&amp;$A113)&gt;0,SUMIFS(Recepciones!$C$5:$C$2000,Recepciones!$B$5:$B$2000,Config!$A$23,Recepciones!$A$5:$A$2000,"&gt;"&amp;$A112,Recepciones!$A$5:$A$2000,"&lt;="&amp;$A113),MAX(0,C113-C112)))</f>
        <v/>
      </c>
      <c r="E113" s="24" t="str">
        <f aca="false">IF($A113="","",MAX(0,C112+D113-C113))</f>
        <v/>
      </c>
      <c r="F113" s="24" t="str">
        <f aca="false">IF($A113="","",Stock_Diario!F113)</f>
        <v/>
      </c>
      <c r="G113" s="24" t="str">
        <f aca="false">IF($A113="","",IF(SUMIFS(Recepciones!$C$5:$C$2000,Recepciones!$B$5:$B$2000,Config!$A$24,Recepciones!$A$5:$A$2000,"&gt;"&amp;$A112,Recepciones!$A$5:$A$2000,"&lt;="&amp;$A113)&gt;0,SUMIFS(Recepciones!$C$5:$C$2000,Recepciones!$B$5:$B$2000,Config!$A$24,Recepciones!$A$5:$A$2000,"&gt;"&amp;$A112,Recepciones!$A$5:$A$2000,"&lt;="&amp;$A113),MAX(0,F113-F112)))</f>
        <v/>
      </c>
      <c r="H113" s="24" t="str">
        <f aca="false">IF($A113="","",MAX(0,F112+G113-F113))</f>
        <v/>
      </c>
      <c r="I113" s="24" t="str">
        <f aca="false">IF($A113="","",Stock_Diario!G113)</f>
        <v/>
      </c>
      <c r="J113" s="24" t="str">
        <f aca="false">IF($A113="","",IF(SUMIFS(Recepciones!$C$5:$C$2000,Recepciones!$B$5:$B$2000,Config!$A$25,Recepciones!$A$5:$A$2000,"&gt;"&amp;$A112,Recepciones!$A$5:$A$2000,"&lt;="&amp;$A113)&gt;0,SUMIFS(Recepciones!$C$5:$C$2000,Recepciones!$B$5:$B$2000,Config!$A$25,Recepciones!$A$5:$A$2000,"&gt;"&amp;$A112,Recepciones!$A$5:$A$2000,"&lt;="&amp;$A113),MAX(0,I113-I112)))</f>
        <v/>
      </c>
      <c r="K113" s="24" t="str">
        <f aca="false">IF($A113="","",MAX(0,I112+J113-I113))</f>
        <v/>
      </c>
      <c r="L113" s="24" t="str">
        <f aca="false">IF($A113="","",E113+H113+K113)</f>
        <v/>
      </c>
      <c r="M113" s="4" t="str">
        <f aca="false">IF($A113="","",IF(AND(D113+G113+J113&gt;0,SUMIFS(Recepciones!$C$5:$C$2000,Recepciones!$A$5:$A$2000,"&gt;"&amp;$A112,Recepciones!$A$5:$A$2000,"&lt;="&amp;$A113)=0),"Aumento de stock sin recepción registrada",IF(B113&gt;1,"Intervalo de "&amp;B113&amp;" días","")))</f>
        <v/>
      </c>
    </row>
    <row r="114" customFormat="false" ht="15" hidden="false" customHeight="false" outlineLevel="0" collapsed="false">
      <c r="A114" s="5" t="str">
        <f aca="false">IF(Stock_Diario!A114="","",Stock_Diario!A114)</f>
        <v/>
      </c>
      <c r="B114" s="4" t="str">
        <f aca="false">IF($A114="","",$A114-$A113)</f>
        <v/>
      </c>
      <c r="C114" s="24" t="str">
        <f aca="false">IF($A114="","",Stock_Diario!E114)</f>
        <v/>
      </c>
      <c r="D114" s="24" t="str">
        <f aca="false">IF($A114="","",IF(SUMIFS(Recepciones!$C$5:$C$2000,Recepciones!$B$5:$B$2000,Config!$A$23,Recepciones!$A$5:$A$2000,"&gt;"&amp;$A113,Recepciones!$A$5:$A$2000,"&lt;="&amp;$A114)&gt;0,SUMIFS(Recepciones!$C$5:$C$2000,Recepciones!$B$5:$B$2000,Config!$A$23,Recepciones!$A$5:$A$2000,"&gt;"&amp;$A113,Recepciones!$A$5:$A$2000,"&lt;="&amp;$A114),MAX(0,C114-C113)))</f>
        <v/>
      </c>
      <c r="E114" s="24" t="str">
        <f aca="false">IF($A114="","",MAX(0,C113+D114-C114))</f>
        <v/>
      </c>
      <c r="F114" s="24" t="str">
        <f aca="false">IF($A114="","",Stock_Diario!F114)</f>
        <v/>
      </c>
      <c r="G114" s="24" t="str">
        <f aca="false">IF($A114="","",IF(SUMIFS(Recepciones!$C$5:$C$2000,Recepciones!$B$5:$B$2000,Config!$A$24,Recepciones!$A$5:$A$2000,"&gt;"&amp;$A113,Recepciones!$A$5:$A$2000,"&lt;="&amp;$A114)&gt;0,SUMIFS(Recepciones!$C$5:$C$2000,Recepciones!$B$5:$B$2000,Config!$A$24,Recepciones!$A$5:$A$2000,"&gt;"&amp;$A113,Recepciones!$A$5:$A$2000,"&lt;="&amp;$A114),MAX(0,F114-F113)))</f>
        <v/>
      </c>
      <c r="H114" s="24" t="str">
        <f aca="false">IF($A114="","",MAX(0,F113+G114-F114))</f>
        <v/>
      </c>
      <c r="I114" s="24" t="str">
        <f aca="false">IF($A114="","",Stock_Diario!G114)</f>
        <v/>
      </c>
      <c r="J114" s="24" t="str">
        <f aca="false">IF($A114="","",IF(SUMIFS(Recepciones!$C$5:$C$2000,Recepciones!$B$5:$B$2000,Config!$A$25,Recepciones!$A$5:$A$2000,"&gt;"&amp;$A113,Recepciones!$A$5:$A$2000,"&lt;="&amp;$A114)&gt;0,SUMIFS(Recepciones!$C$5:$C$2000,Recepciones!$B$5:$B$2000,Config!$A$25,Recepciones!$A$5:$A$2000,"&gt;"&amp;$A113,Recepciones!$A$5:$A$2000,"&lt;="&amp;$A114),MAX(0,I114-I113)))</f>
        <v/>
      </c>
      <c r="K114" s="24" t="str">
        <f aca="false">IF($A114="","",MAX(0,I113+J114-I114))</f>
        <v/>
      </c>
      <c r="L114" s="24" t="str">
        <f aca="false">IF($A114="","",E114+H114+K114)</f>
        <v/>
      </c>
      <c r="M114" s="4" t="str">
        <f aca="false">IF($A114="","",IF(AND(D114+G114+J114&gt;0,SUMIFS(Recepciones!$C$5:$C$2000,Recepciones!$A$5:$A$2000,"&gt;"&amp;$A113,Recepciones!$A$5:$A$2000,"&lt;="&amp;$A114)=0),"Aumento de stock sin recepción registrada",IF(B114&gt;1,"Intervalo de "&amp;B114&amp;" días","")))</f>
        <v/>
      </c>
    </row>
    <row r="115" customFormat="false" ht="15" hidden="false" customHeight="false" outlineLevel="0" collapsed="false">
      <c r="A115" s="5" t="str">
        <f aca="false">IF(Stock_Diario!A115="","",Stock_Diario!A115)</f>
        <v/>
      </c>
      <c r="B115" s="4" t="str">
        <f aca="false">IF($A115="","",$A115-$A114)</f>
        <v/>
      </c>
      <c r="C115" s="24" t="str">
        <f aca="false">IF($A115="","",Stock_Diario!E115)</f>
        <v/>
      </c>
      <c r="D115" s="24" t="str">
        <f aca="false">IF($A115="","",IF(SUMIFS(Recepciones!$C$5:$C$2000,Recepciones!$B$5:$B$2000,Config!$A$23,Recepciones!$A$5:$A$2000,"&gt;"&amp;$A114,Recepciones!$A$5:$A$2000,"&lt;="&amp;$A115)&gt;0,SUMIFS(Recepciones!$C$5:$C$2000,Recepciones!$B$5:$B$2000,Config!$A$23,Recepciones!$A$5:$A$2000,"&gt;"&amp;$A114,Recepciones!$A$5:$A$2000,"&lt;="&amp;$A115),MAX(0,C115-C114)))</f>
        <v/>
      </c>
      <c r="E115" s="24" t="str">
        <f aca="false">IF($A115="","",MAX(0,C114+D115-C115))</f>
        <v/>
      </c>
      <c r="F115" s="24" t="str">
        <f aca="false">IF($A115="","",Stock_Diario!F115)</f>
        <v/>
      </c>
      <c r="G115" s="24" t="str">
        <f aca="false">IF($A115="","",IF(SUMIFS(Recepciones!$C$5:$C$2000,Recepciones!$B$5:$B$2000,Config!$A$24,Recepciones!$A$5:$A$2000,"&gt;"&amp;$A114,Recepciones!$A$5:$A$2000,"&lt;="&amp;$A115)&gt;0,SUMIFS(Recepciones!$C$5:$C$2000,Recepciones!$B$5:$B$2000,Config!$A$24,Recepciones!$A$5:$A$2000,"&gt;"&amp;$A114,Recepciones!$A$5:$A$2000,"&lt;="&amp;$A115),MAX(0,F115-F114)))</f>
        <v/>
      </c>
      <c r="H115" s="24" t="str">
        <f aca="false">IF($A115="","",MAX(0,F114+G115-F115))</f>
        <v/>
      </c>
      <c r="I115" s="24" t="str">
        <f aca="false">IF($A115="","",Stock_Diario!G115)</f>
        <v/>
      </c>
      <c r="J115" s="24" t="str">
        <f aca="false">IF($A115="","",IF(SUMIFS(Recepciones!$C$5:$C$2000,Recepciones!$B$5:$B$2000,Config!$A$25,Recepciones!$A$5:$A$2000,"&gt;"&amp;$A114,Recepciones!$A$5:$A$2000,"&lt;="&amp;$A115)&gt;0,SUMIFS(Recepciones!$C$5:$C$2000,Recepciones!$B$5:$B$2000,Config!$A$25,Recepciones!$A$5:$A$2000,"&gt;"&amp;$A114,Recepciones!$A$5:$A$2000,"&lt;="&amp;$A115),MAX(0,I115-I114)))</f>
        <v/>
      </c>
      <c r="K115" s="24" t="str">
        <f aca="false">IF($A115="","",MAX(0,I114+J115-I115))</f>
        <v/>
      </c>
      <c r="L115" s="24" t="str">
        <f aca="false">IF($A115="","",E115+H115+K115)</f>
        <v/>
      </c>
      <c r="M115" s="4" t="str">
        <f aca="false">IF($A115="","",IF(AND(D115+G115+J115&gt;0,SUMIFS(Recepciones!$C$5:$C$2000,Recepciones!$A$5:$A$2000,"&gt;"&amp;$A114,Recepciones!$A$5:$A$2000,"&lt;="&amp;$A115)=0),"Aumento de stock sin recepción registrada",IF(B115&gt;1,"Intervalo de "&amp;B115&amp;" días","")))</f>
        <v/>
      </c>
    </row>
    <row r="116" customFormat="false" ht="15" hidden="false" customHeight="false" outlineLevel="0" collapsed="false">
      <c r="A116" s="5" t="str">
        <f aca="false">IF(Stock_Diario!A116="","",Stock_Diario!A116)</f>
        <v/>
      </c>
      <c r="B116" s="4" t="str">
        <f aca="false">IF($A116="","",$A116-$A115)</f>
        <v/>
      </c>
      <c r="C116" s="24" t="str">
        <f aca="false">IF($A116="","",Stock_Diario!E116)</f>
        <v/>
      </c>
      <c r="D116" s="24" t="str">
        <f aca="false">IF($A116="","",IF(SUMIFS(Recepciones!$C$5:$C$2000,Recepciones!$B$5:$B$2000,Config!$A$23,Recepciones!$A$5:$A$2000,"&gt;"&amp;$A115,Recepciones!$A$5:$A$2000,"&lt;="&amp;$A116)&gt;0,SUMIFS(Recepciones!$C$5:$C$2000,Recepciones!$B$5:$B$2000,Config!$A$23,Recepciones!$A$5:$A$2000,"&gt;"&amp;$A115,Recepciones!$A$5:$A$2000,"&lt;="&amp;$A116),MAX(0,C116-C115)))</f>
        <v/>
      </c>
      <c r="E116" s="24" t="str">
        <f aca="false">IF($A116="","",MAX(0,C115+D116-C116))</f>
        <v/>
      </c>
      <c r="F116" s="24" t="str">
        <f aca="false">IF($A116="","",Stock_Diario!F116)</f>
        <v/>
      </c>
      <c r="G116" s="24" t="str">
        <f aca="false">IF($A116="","",IF(SUMIFS(Recepciones!$C$5:$C$2000,Recepciones!$B$5:$B$2000,Config!$A$24,Recepciones!$A$5:$A$2000,"&gt;"&amp;$A115,Recepciones!$A$5:$A$2000,"&lt;="&amp;$A116)&gt;0,SUMIFS(Recepciones!$C$5:$C$2000,Recepciones!$B$5:$B$2000,Config!$A$24,Recepciones!$A$5:$A$2000,"&gt;"&amp;$A115,Recepciones!$A$5:$A$2000,"&lt;="&amp;$A116),MAX(0,F116-F115)))</f>
        <v/>
      </c>
      <c r="H116" s="24" t="str">
        <f aca="false">IF($A116="","",MAX(0,F115+G116-F116))</f>
        <v/>
      </c>
      <c r="I116" s="24" t="str">
        <f aca="false">IF($A116="","",Stock_Diario!G116)</f>
        <v/>
      </c>
      <c r="J116" s="24" t="str">
        <f aca="false">IF($A116="","",IF(SUMIFS(Recepciones!$C$5:$C$2000,Recepciones!$B$5:$B$2000,Config!$A$25,Recepciones!$A$5:$A$2000,"&gt;"&amp;$A115,Recepciones!$A$5:$A$2000,"&lt;="&amp;$A116)&gt;0,SUMIFS(Recepciones!$C$5:$C$2000,Recepciones!$B$5:$B$2000,Config!$A$25,Recepciones!$A$5:$A$2000,"&gt;"&amp;$A115,Recepciones!$A$5:$A$2000,"&lt;="&amp;$A116),MAX(0,I116-I115)))</f>
        <v/>
      </c>
      <c r="K116" s="24" t="str">
        <f aca="false">IF($A116="","",MAX(0,I115+J116-I116))</f>
        <v/>
      </c>
      <c r="L116" s="24" t="str">
        <f aca="false">IF($A116="","",E116+H116+K116)</f>
        <v/>
      </c>
      <c r="M116" s="4" t="str">
        <f aca="false">IF($A116="","",IF(AND(D116+G116+J116&gt;0,SUMIFS(Recepciones!$C$5:$C$2000,Recepciones!$A$5:$A$2000,"&gt;"&amp;$A115,Recepciones!$A$5:$A$2000,"&lt;="&amp;$A116)=0),"Aumento de stock sin recepción registrada",IF(B116&gt;1,"Intervalo de "&amp;B116&amp;" días","")))</f>
        <v/>
      </c>
    </row>
    <row r="117" customFormat="false" ht="15" hidden="false" customHeight="false" outlineLevel="0" collapsed="false">
      <c r="A117" s="5" t="str">
        <f aca="false">IF(Stock_Diario!A117="","",Stock_Diario!A117)</f>
        <v/>
      </c>
      <c r="B117" s="4" t="str">
        <f aca="false">IF($A117="","",$A117-$A116)</f>
        <v/>
      </c>
      <c r="C117" s="24" t="str">
        <f aca="false">IF($A117="","",Stock_Diario!E117)</f>
        <v/>
      </c>
      <c r="D117" s="24" t="str">
        <f aca="false">IF($A117="","",IF(SUMIFS(Recepciones!$C$5:$C$2000,Recepciones!$B$5:$B$2000,Config!$A$23,Recepciones!$A$5:$A$2000,"&gt;"&amp;$A116,Recepciones!$A$5:$A$2000,"&lt;="&amp;$A117)&gt;0,SUMIFS(Recepciones!$C$5:$C$2000,Recepciones!$B$5:$B$2000,Config!$A$23,Recepciones!$A$5:$A$2000,"&gt;"&amp;$A116,Recepciones!$A$5:$A$2000,"&lt;="&amp;$A117),MAX(0,C117-C116)))</f>
        <v/>
      </c>
      <c r="E117" s="24" t="str">
        <f aca="false">IF($A117="","",MAX(0,C116+D117-C117))</f>
        <v/>
      </c>
      <c r="F117" s="24" t="str">
        <f aca="false">IF($A117="","",Stock_Diario!F117)</f>
        <v/>
      </c>
      <c r="G117" s="24" t="str">
        <f aca="false">IF($A117="","",IF(SUMIFS(Recepciones!$C$5:$C$2000,Recepciones!$B$5:$B$2000,Config!$A$24,Recepciones!$A$5:$A$2000,"&gt;"&amp;$A116,Recepciones!$A$5:$A$2000,"&lt;="&amp;$A117)&gt;0,SUMIFS(Recepciones!$C$5:$C$2000,Recepciones!$B$5:$B$2000,Config!$A$24,Recepciones!$A$5:$A$2000,"&gt;"&amp;$A116,Recepciones!$A$5:$A$2000,"&lt;="&amp;$A117),MAX(0,F117-F116)))</f>
        <v/>
      </c>
      <c r="H117" s="24" t="str">
        <f aca="false">IF($A117="","",MAX(0,F116+G117-F117))</f>
        <v/>
      </c>
      <c r="I117" s="24" t="str">
        <f aca="false">IF($A117="","",Stock_Diario!G117)</f>
        <v/>
      </c>
      <c r="J117" s="24" t="str">
        <f aca="false">IF($A117="","",IF(SUMIFS(Recepciones!$C$5:$C$2000,Recepciones!$B$5:$B$2000,Config!$A$25,Recepciones!$A$5:$A$2000,"&gt;"&amp;$A116,Recepciones!$A$5:$A$2000,"&lt;="&amp;$A117)&gt;0,SUMIFS(Recepciones!$C$5:$C$2000,Recepciones!$B$5:$B$2000,Config!$A$25,Recepciones!$A$5:$A$2000,"&gt;"&amp;$A116,Recepciones!$A$5:$A$2000,"&lt;="&amp;$A117),MAX(0,I117-I116)))</f>
        <v/>
      </c>
      <c r="K117" s="24" t="str">
        <f aca="false">IF($A117="","",MAX(0,I116+J117-I117))</f>
        <v/>
      </c>
      <c r="L117" s="24" t="str">
        <f aca="false">IF($A117="","",E117+H117+K117)</f>
        <v/>
      </c>
      <c r="M117" s="4" t="str">
        <f aca="false">IF($A117="","",IF(AND(D117+G117+J117&gt;0,SUMIFS(Recepciones!$C$5:$C$2000,Recepciones!$A$5:$A$2000,"&gt;"&amp;$A116,Recepciones!$A$5:$A$2000,"&lt;="&amp;$A117)=0),"Aumento de stock sin recepción registrada",IF(B117&gt;1,"Intervalo de "&amp;B117&amp;" días","")))</f>
        <v/>
      </c>
    </row>
    <row r="118" customFormat="false" ht="15" hidden="false" customHeight="false" outlineLevel="0" collapsed="false">
      <c r="A118" s="5" t="str">
        <f aca="false">IF(Stock_Diario!A118="","",Stock_Diario!A118)</f>
        <v/>
      </c>
      <c r="B118" s="4" t="str">
        <f aca="false">IF($A118="","",$A118-$A117)</f>
        <v/>
      </c>
      <c r="C118" s="24" t="str">
        <f aca="false">IF($A118="","",Stock_Diario!E118)</f>
        <v/>
      </c>
      <c r="D118" s="24" t="str">
        <f aca="false">IF($A118="","",IF(SUMIFS(Recepciones!$C$5:$C$2000,Recepciones!$B$5:$B$2000,Config!$A$23,Recepciones!$A$5:$A$2000,"&gt;"&amp;$A117,Recepciones!$A$5:$A$2000,"&lt;="&amp;$A118)&gt;0,SUMIFS(Recepciones!$C$5:$C$2000,Recepciones!$B$5:$B$2000,Config!$A$23,Recepciones!$A$5:$A$2000,"&gt;"&amp;$A117,Recepciones!$A$5:$A$2000,"&lt;="&amp;$A118),MAX(0,C118-C117)))</f>
        <v/>
      </c>
      <c r="E118" s="24" t="str">
        <f aca="false">IF($A118="","",MAX(0,C117+D118-C118))</f>
        <v/>
      </c>
      <c r="F118" s="24" t="str">
        <f aca="false">IF($A118="","",Stock_Diario!F118)</f>
        <v/>
      </c>
      <c r="G118" s="24" t="str">
        <f aca="false">IF($A118="","",IF(SUMIFS(Recepciones!$C$5:$C$2000,Recepciones!$B$5:$B$2000,Config!$A$24,Recepciones!$A$5:$A$2000,"&gt;"&amp;$A117,Recepciones!$A$5:$A$2000,"&lt;="&amp;$A118)&gt;0,SUMIFS(Recepciones!$C$5:$C$2000,Recepciones!$B$5:$B$2000,Config!$A$24,Recepciones!$A$5:$A$2000,"&gt;"&amp;$A117,Recepciones!$A$5:$A$2000,"&lt;="&amp;$A118),MAX(0,F118-F117)))</f>
        <v/>
      </c>
      <c r="H118" s="24" t="str">
        <f aca="false">IF($A118="","",MAX(0,F117+G118-F118))</f>
        <v/>
      </c>
      <c r="I118" s="24" t="str">
        <f aca="false">IF($A118="","",Stock_Diario!G118)</f>
        <v/>
      </c>
      <c r="J118" s="24" t="str">
        <f aca="false">IF($A118="","",IF(SUMIFS(Recepciones!$C$5:$C$2000,Recepciones!$B$5:$B$2000,Config!$A$25,Recepciones!$A$5:$A$2000,"&gt;"&amp;$A117,Recepciones!$A$5:$A$2000,"&lt;="&amp;$A118)&gt;0,SUMIFS(Recepciones!$C$5:$C$2000,Recepciones!$B$5:$B$2000,Config!$A$25,Recepciones!$A$5:$A$2000,"&gt;"&amp;$A117,Recepciones!$A$5:$A$2000,"&lt;="&amp;$A118),MAX(0,I118-I117)))</f>
        <v/>
      </c>
      <c r="K118" s="24" t="str">
        <f aca="false">IF($A118="","",MAX(0,I117+J118-I118))</f>
        <v/>
      </c>
      <c r="L118" s="24" t="str">
        <f aca="false">IF($A118="","",E118+H118+K118)</f>
        <v/>
      </c>
      <c r="M118" s="4" t="str">
        <f aca="false">IF($A118="","",IF(AND(D118+G118+J118&gt;0,SUMIFS(Recepciones!$C$5:$C$2000,Recepciones!$A$5:$A$2000,"&gt;"&amp;$A117,Recepciones!$A$5:$A$2000,"&lt;="&amp;$A118)=0),"Aumento de stock sin recepción registrada",IF(B118&gt;1,"Intervalo de "&amp;B118&amp;" días","")))</f>
        <v/>
      </c>
    </row>
    <row r="119" customFormat="false" ht="15" hidden="false" customHeight="false" outlineLevel="0" collapsed="false">
      <c r="A119" s="5" t="str">
        <f aca="false">IF(Stock_Diario!A119="","",Stock_Diario!A119)</f>
        <v/>
      </c>
      <c r="B119" s="4" t="str">
        <f aca="false">IF($A119="","",$A119-$A118)</f>
        <v/>
      </c>
      <c r="C119" s="24" t="str">
        <f aca="false">IF($A119="","",Stock_Diario!E119)</f>
        <v/>
      </c>
      <c r="D119" s="24" t="str">
        <f aca="false">IF($A119="","",IF(SUMIFS(Recepciones!$C$5:$C$2000,Recepciones!$B$5:$B$2000,Config!$A$23,Recepciones!$A$5:$A$2000,"&gt;"&amp;$A118,Recepciones!$A$5:$A$2000,"&lt;="&amp;$A119)&gt;0,SUMIFS(Recepciones!$C$5:$C$2000,Recepciones!$B$5:$B$2000,Config!$A$23,Recepciones!$A$5:$A$2000,"&gt;"&amp;$A118,Recepciones!$A$5:$A$2000,"&lt;="&amp;$A119),MAX(0,C119-C118)))</f>
        <v/>
      </c>
      <c r="E119" s="24" t="str">
        <f aca="false">IF($A119="","",MAX(0,C118+D119-C119))</f>
        <v/>
      </c>
      <c r="F119" s="24" t="str">
        <f aca="false">IF($A119="","",Stock_Diario!F119)</f>
        <v/>
      </c>
      <c r="G119" s="24" t="str">
        <f aca="false">IF($A119="","",IF(SUMIFS(Recepciones!$C$5:$C$2000,Recepciones!$B$5:$B$2000,Config!$A$24,Recepciones!$A$5:$A$2000,"&gt;"&amp;$A118,Recepciones!$A$5:$A$2000,"&lt;="&amp;$A119)&gt;0,SUMIFS(Recepciones!$C$5:$C$2000,Recepciones!$B$5:$B$2000,Config!$A$24,Recepciones!$A$5:$A$2000,"&gt;"&amp;$A118,Recepciones!$A$5:$A$2000,"&lt;="&amp;$A119),MAX(0,F119-F118)))</f>
        <v/>
      </c>
      <c r="H119" s="24" t="str">
        <f aca="false">IF($A119="","",MAX(0,F118+G119-F119))</f>
        <v/>
      </c>
      <c r="I119" s="24" t="str">
        <f aca="false">IF($A119="","",Stock_Diario!G119)</f>
        <v/>
      </c>
      <c r="J119" s="24" t="str">
        <f aca="false">IF($A119="","",IF(SUMIFS(Recepciones!$C$5:$C$2000,Recepciones!$B$5:$B$2000,Config!$A$25,Recepciones!$A$5:$A$2000,"&gt;"&amp;$A118,Recepciones!$A$5:$A$2000,"&lt;="&amp;$A119)&gt;0,SUMIFS(Recepciones!$C$5:$C$2000,Recepciones!$B$5:$B$2000,Config!$A$25,Recepciones!$A$5:$A$2000,"&gt;"&amp;$A118,Recepciones!$A$5:$A$2000,"&lt;="&amp;$A119),MAX(0,I119-I118)))</f>
        <v/>
      </c>
      <c r="K119" s="24" t="str">
        <f aca="false">IF($A119="","",MAX(0,I118+J119-I119))</f>
        <v/>
      </c>
      <c r="L119" s="24" t="str">
        <f aca="false">IF($A119="","",E119+H119+K119)</f>
        <v/>
      </c>
      <c r="M119" s="4" t="str">
        <f aca="false">IF($A119="","",IF(AND(D119+G119+J119&gt;0,SUMIFS(Recepciones!$C$5:$C$2000,Recepciones!$A$5:$A$2000,"&gt;"&amp;$A118,Recepciones!$A$5:$A$2000,"&lt;="&amp;$A119)=0),"Aumento de stock sin recepción registrada",IF(B119&gt;1,"Intervalo de "&amp;B119&amp;" días","")))</f>
        <v/>
      </c>
    </row>
    <row r="120" customFormat="false" ht="15" hidden="false" customHeight="false" outlineLevel="0" collapsed="false">
      <c r="A120" s="5" t="str">
        <f aca="false">IF(Stock_Diario!A120="","",Stock_Diario!A120)</f>
        <v/>
      </c>
      <c r="B120" s="4" t="str">
        <f aca="false">IF($A120="","",$A120-$A119)</f>
        <v/>
      </c>
      <c r="C120" s="24" t="str">
        <f aca="false">IF($A120="","",Stock_Diario!E120)</f>
        <v/>
      </c>
      <c r="D120" s="24" t="str">
        <f aca="false">IF($A120="","",IF(SUMIFS(Recepciones!$C$5:$C$2000,Recepciones!$B$5:$B$2000,Config!$A$23,Recepciones!$A$5:$A$2000,"&gt;"&amp;$A119,Recepciones!$A$5:$A$2000,"&lt;="&amp;$A120)&gt;0,SUMIFS(Recepciones!$C$5:$C$2000,Recepciones!$B$5:$B$2000,Config!$A$23,Recepciones!$A$5:$A$2000,"&gt;"&amp;$A119,Recepciones!$A$5:$A$2000,"&lt;="&amp;$A120),MAX(0,C120-C119)))</f>
        <v/>
      </c>
      <c r="E120" s="24" t="str">
        <f aca="false">IF($A120="","",MAX(0,C119+D120-C120))</f>
        <v/>
      </c>
      <c r="F120" s="24" t="str">
        <f aca="false">IF($A120="","",Stock_Diario!F120)</f>
        <v/>
      </c>
      <c r="G120" s="24" t="str">
        <f aca="false">IF($A120="","",IF(SUMIFS(Recepciones!$C$5:$C$2000,Recepciones!$B$5:$B$2000,Config!$A$24,Recepciones!$A$5:$A$2000,"&gt;"&amp;$A119,Recepciones!$A$5:$A$2000,"&lt;="&amp;$A120)&gt;0,SUMIFS(Recepciones!$C$5:$C$2000,Recepciones!$B$5:$B$2000,Config!$A$24,Recepciones!$A$5:$A$2000,"&gt;"&amp;$A119,Recepciones!$A$5:$A$2000,"&lt;="&amp;$A120),MAX(0,F120-F119)))</f>
        <v/>
      </c>
      <c r="H120" s="24" t="str">
        <f aca="false">IF($A120="","",MAX(0,F119+G120-F120))</f>
        <v/>
      </c>
      <c r="I120" s="24" t="str">
        <f aca="false">IF($A120="","",Stock_Diario!G120)</f>
        <v/>
      </c>
      <c r="J120" s="24" t="str">
        <f aca="false">IF($A120="","",IF(SUMIFS(Recepciones!$C$5:$C$2000,Recepciones!$B$5:$B$2000,Config!$A$25,Recepciones!$A$5:$A$2000,"&gt;"&amp;$A119,Recepciones!$A$5:$A$2000,"&lt;="&amp;$A120)&gt;0,SUMIFS(Recepciones!$C$5:$C$2000,Recepciones!$B$5:$B$2000,Config!$A$25,Recepciones!$A$5:$A$2000,"&gt;"&amp;$A119,Recepciones!$A$5:$A$2000,"&lt;="&amp;$A120),MAX(0,I120-I119)))</f>
        <v/>
      </c>
      <c r="K120" s="24" t="str">
        <f aca="false">IF($A120="","",MAX(0,I119+J120-I120))</f>
        <v/>
      </c>
      <c r="L120" s="24" t="str">
        <f aca="false">IF($A120="","",E120+H120+K120)</f>
        <v/>
      </c>
      <c r="M120" s="4" t="str">
        <f aca="false">IF($A120="","",IF(AND(D120+G120+J120&gt;0,SUMIFS(Recepciones!$C$5:$C$2000,Recepciones!$A$5:$A$2000,"&gt;"&amp;$A119,Recepciones!$A$5:$A$2000,"&lt;="&amp;$A120)=0),"Aumento de stock sin recepción registrada",IF(B120&gt;1,"Intervalo de "&amp;B120&amp;" días","")))</f>
        <v/>
      </c>
    </row>
    <row r="121" customFormat="false" ht="15" hidden="false" customHeight="false" outlineLevel="0" collapsed="false">
      <c r="A121" s="5" t="str">
        <f aca="false">IF(Stock_Diario!A121="","",Stock_Diario!A121)</f>
        <v/>
      </c>
      <c r="B121" s="4" t="str">
        <f aca="false">IF($A121="","",$A121-$A120)</f>
        <v/>
      </c>
      <c r="C121" s="24" t="str">
        <f aca="false">IF($A121="","",Stock_Diario!E121)</f>
        <v/>
      </c>
      <c r="D121" s="24" t="str">
        <f aca="false">IF($A121="","",IF(SUMIFS(Recepciones!$C$5:$C$2000,Recepciones!$B$5:$B$2000,Config!$A$23,Recepciones!$A$5:$A$2000,"&gt;"&amp;$A120,Recepciones!$A$5:$A$2000,"&lt;="&amp;$A121)&gt;0,SUMIFS(Recepciones!$C$5:$C$2000,Recepciones!$B$5:$B$2000,Config!$A$23,Recepciones!$A$5:$A$2000,"&gt;"&amp;$A120,Recepciones!$A$5:$A$2000,"&lt;="&amp;$A121),MAX(0,C121-C120)))</f>
        <v/>
      </c>
      <c r="E121" s="24" t="str">
        <f aca="false">IF($A121="","",MAX(0,C120+D121-C121))</f>
        <v/>
      </c>
      <c r="F121" s="24" t="str">
        <f aca="false">IF($A121="","",Stock_Diario!F121)</f>
        <v/>
      </c>
      <c r="G121" s="24" t="str">
        <f aca="false">IF($A121="","",IF(SUMIFS(Recepciones!$C$5:$C$2000,Recepciones!$B$5:$B$2000,Config!$A$24,Recepciones!$A$5:$A$2000,"&gt;"&amp;$A120,Recepciones!$A$5:$A$2000,"&lt;="&amp;$A121)&gt;0,SUMIFS(Recepciones!$C$5:$C$2000,Recepciones!$B$5:$B$2000,Config!$A$24,Recepciones!$A$5:$A$2000,"&gt;"&amp;$A120,Recepciones!$A$5:$A$2000,"&lt;="&amp;$A121),MAX(0,F121-F120)))</f>
        <v/>
      </c>
      <c r="H121" s="24" t="str">
        <f aca="false">IF($A121="","",MAX(0,F120+G121-F121))</f>
        <v/>
      </c>
      <c r="I121" s="24" t="str">
        <f aca="false">IF($A121="","",Stock_Diario!G121)</f>
        <v/>
      </c>
      <c r="J121" s="24" t="str">
        <f aca="false">IF($A121="","",IF(SUMIFS(Recepciones!$C$5:$C$2000,Recepciones!$B$5:$B$2000,Config!$A$25,Recepciones!$A$5:$A$2000,"&gt;"&amp;$A120,Recepciones!$A$5:$A$2000,"&lt;="&amp;$A121)&gt;0,SUMIFS(Recepciones!$C$5:$C$2000,Recepciones!$B$5:$B$2000,Config!$A$25,Recepciones!$A$5:$A$2000,"&gt;"&amp;$A120,Recepciones!$A$5:$A$2000,"&lt;="&amp;$A121),MAX(0,I121-I120)))</f>
        <v/>
      </c>
      <c r="K121" s="24" t="str">
        <f aca="false">IF($A121="","",MAX(0,I120+J121-I121))</f>
        <v/>
      </c>
      <c r="L121" s="24" t="str">
        <f aca="false">IF($A121="","",E121+H121+K121)</f>
        <v/>
      </c>
      <c r="M121" s="4" t="str">
        <f aca="false">IF($A121="","",IF(AND(D121+G121+J121&gt;0,SUMIFS(Recepciones!$C$5:$C$2000,Recepciones!$A$5:$A$2000,"&gt;"&amp;$A120,Recepciones!$A$5:$A$2000,"&lt;="&amp;$A121)=0),"Aumento de stock sin recepción registrada",IF(B121&gt;1,"Intervalo de "&amp;B121&amp;" días","")))</f>
        <v/>
      </c>
    </row>
    <row r="122" customFormat="false" ht="15" hidden="false" customHeight="false" outlineLevel="0" collapsed="false">
      <c r="A122" s="5" t="str">
        <f aca="false">IF(Stock_Diario!A122="","",Stock_Diario!A122)</f>
        <v/>
      </c>
      <c r="B122" s="4" t="str">
        <f aca="false">IF($A122="","",$A122-$A121)</f>
        <v/>
      </c>
      <c r="C122" s="24" t="str">
        <f aca="false">IF($A122="","",Stock_Diario!E122)</f>
        <v/>
      </c>
      <c r="D122" s="24" t="str">
        <f aca="false">IF($A122="","",IF(SUMIFS(Recepciones!$C$5:$C$2000,Recepciones!$B$5:$B$2000,Config!$A$23,Recepciones!$A$5:$A$2000,"&gt;"&amp;$A121,Recepciones!$A$5:$A$2000,"&lt;="&amp;$A122)&gt;0,SUMIFS(Recepciones!$C$5:$C$2000,Recepciones!$B$5:$B$2000,Config!$A$23,Recepciones!$A$5:$A$2000,"&gt;"&amp;$A121,Recepciones!$A$5:$A$2000,"&lt;="&amp;$A122),MAX(0,C122-C121)))</f>
        <v/>
      </c>
      <c r="E122" s="24" t="str">
        <f aca="false">IF($A122="","",MAX(0,C121+D122-C122))</f>
        <v/>
      </c>
      <c r="F122" s="24" t="str">
        <f aca="false">IF($A122="","",Stock_Diario!F122)</f>
        <v/>
      </c>
      <c r="G122" s="24" t="str">
        <f aca="false">IF($A122="","",IF(SUMIFS(Recepciones!$C$5:$C$2000,Recepciones!$B$5:$B$2000,Config!$A$24,Recepciones!$A$5:$A$2000,"&gt;"&amp;$A121,Recepciones!$A$5:$A$2000,"&lt;="&amp;$A122)&gt;0,SUMIFS(Recepciones!$C$5:$C$2000,Recepciones!$B$5:$B$2000,Config!$A$24,Recepciones!$A$5:$A$2000,"&gt;"&amp;$A121,Recepciones!$A$5:$A$2000,"&lt;="&amp;$A122),MAX(0,F122-F121)))</f>
        <v/>
      </c>
      <c r="H122" s="24" t="str">
        <f aca="false">IF($A122="","",MAX(0,F121+G122-F122))</f>
        <v/>
      </c>
      <c r="I122" s="24" t="str">
        <f aca="false">IF($A122="","",Stock_Diario!G122)</f>
        <v/>
      </c>
      <c r="J122" s="24" t="str">
        <f aca="false">IF($A122="","",IF(SUMIFS(Recepciones!$C$5:$C$2000,Recepciones!$B$5:$B$2000,Config!$A$25,Recepciones!$A$5:$A$2000,"&gt;"&amp;$A121,Recepciones!$A$5:$A$2000,"&lt;="&amp;$A122)&gt;0,SUMIFS(Recepciones!$C$5:$C$2000,Recepciones!$B$5:$B$2000,Config!$A$25,Recepciones!$A$5:$A$2000,"&gt;"&amp;$A121,Recepciones!$A$5:$A$2000,"&lt;="&amp;$A122),MAX(0,I122-I121)))</f>
        <v/>
      </c>
      <c r="K122" s="24" t="str">
        <f aca="false">IF($A122="","",MAX(0,I121+J122-I122))</f>
        <v/>
      </c>
      <c r="L122" s="24" t="str">
        <f aca="false">IF($A122="","",E122+H122+K122)</f>
        <v/>
      </c>
      <c r="M122" s="4" t="str">
        <f aca="false">IF($A122="","",IF(AND(D122+G122+J122&gt;0,SUMIFS(Recepciones!$C$5:$C$2000,Recepciones!$A$5:$A$2000,"&gt;"&amp;$A121,Recepciones!$A$5:$A$2000,"&lt;="&amp;$A122)=0),"Aumento de stock sin recepción registrada",IF(B122&gt;1,"Intervalo de "&amp;B122&amp;" días","")))</f>
        <v/>
      </c>
    </row>
    <row r="123" customFormat="false" ht="15" hidden="false" customHeight="false" outlineLevel="0" collapsed="false">
      <c r="A123" s="5" t="str">
        <f aca="false">IF(Stock_Diario!A123="","",Stock_Diario!A123)</f>
        <v/>
      </c>
      <c r="B123" s="4" t="str">
        <f aca="false">IF($A123="","",$A123-$A122)</f>
        <v/>
      </c>
      <c r="C123" s="24" t="str">
        <f aca="false">IF($A123="","",Stock_Diario!E123)</f>
        <v/>
      </c>
      <c r="D123" s="24" t="str">
        <f aca="false">IF($A123="","",IF(SUMIFS(Recepciones!$C$5:$C$2000,Recepciones!$B$5:$B$2000,Config!$A$23,Recepciones!$A$5:$A$2000,"&gt;"&amp;$A122,Recepciones!$A$5:$A$2000,"&lt;="&amp;$A123)&gt;0,SUMIFS(Recepciones!$C$5:$C$2000,Recepciones!$B$5:$B$2000,Config!$A$23,Recepciones!$A$5:$A$2000,"&gt;"&amp;$A122,Recepciones!$A$5:$A$2000,"&lt;="&amp;$A123),MAX(0,C123-C122)))</f>
        <v/>
      </c>
      <c r="E123" s="24" t="str">
        <f aca="false">IF($A123="","",MAX(0,C122+D123-C123))</f>
        <v/>
      </c>
      <c r="F123" s="24" t="str">
        <f aca="false">IF($A123="","",Stock_Diario!F123)</f>
        <v/>
      </c>
      <c r="G123" s="24" t="str">
        <f aca="false">IF($A123="","",IF(SUMIFS(Recepciones!$C$5:$C$2000,Recepciones!$B$5:$B$2000,Config!$A$24,Recepciones!$A$5:$A$2000,"&gt;"&amp;$A122,Recepciones!$A$5:$A$2000,"&lt;="&amp;$A123)&gt;0,SUMIFS(Recepciones!$C$5:$C$2000,Recepciones!$B$5:$B$2000,Config!$A$24,Recepciones!$A$5:$A$2000,"&gt;"&amp;$A122,Recepciones!$A$5:$A$2000,"&lt;="&amp;$A123),MAX(0,F123-F122)))</f>
        <v/>
      </c>
      <c r="H123" s="24" t="str">
        <f aca="false">IF($A123="","",MAX(0,F122+G123-F123))</f>
        <v/>
      </c>
      <c r="I123" s="24" t="str">
        <f aca="false">IF($A123="","",Stock_Diario!G123)</f>
        <v/>
      </c>
      <c r="J123" s="24" t="str">
        <f aca="false">IF($A123="","",IF(SUMIFS(Recepciones!$C$5:$C$2000,Recepciones!$B$5:$B$2000,Config!$A$25,Recepciones!$A$5:$A$2000,"&gt;"&amp;$A122,Recepciones!$A$5:$A$2000,"&lt;="&amp;$A123)&gt;0,SUMIFS(Recepciones!$C$5:$C$2000,Recepciones!$B$5:$B$2000,Config!$A$25,Recepciones!$A$5:$A$2000,"&gt;"&amp;$A122,Recepciones!$A$5:$A$2000,"&lt;="&amp;$A123),MAX(0,I123-I122)))</f>
        <v/>
      </c>
      <c r="K123" s="24" t="str">
        <f aca="false">IF($A123="","",MAX(0,I122+J123-I123))</f>
        <v/>
      </c>
      <c r="L123" s="24" t="str">
        <f aca="false">IF($A123="","",E123+H123+K123)</f>
        <v/>
      </c>
      <c r="M123" s="4" t="str">
        <f aca="false">IF($A123="","",IF(AND(D123+G123+J123&gt;0,SUMIFS(Recepciones!$C$5:$C$2000,Recepciones!$A$5:$A$2000,"&gt;"&amp;$A122,Recepciones!$A$5:$A$2000,"&lt;="&amp;$A123)=0),"Aumento de stock sin recepción registrada",IF(B123&gt;1,"Intervalo de "&amp;B123&amp;" días","")))</f>
        <v/>
      </c>
    </row>
    <row r="124" customFormat="false" ht="15" hidden="false" customHeight="false" outlineLevel="0" collapsed="false">
      <c r="A124" s="5" t="str">
        <f aca="false">IF(Stock_Diario!A124="","",Stock_Diario!A124)</f>
        <v/>
      </c>
      <c r="B124" s="4" t="str">
        <f aca="false">IF($A124="","",$A124-$A123)</f>
        <v/>
      </c>
      <c r="C124" s="24" t="str">
        <f aca="false">IF($A124="","",Stock_Diario!E124)</f>
        <v/>
      </c>
      <c r="D124" s="24" t="str">
        <f aca="false">IF($A124="","",IF(SUMIFS(Recepciones!$C$5:$C$2000,Recepciones!$B$5:$B$2000,Config!$A$23,Recepciones!$A$5:$A$2000,"&gt;"&amp;$A123,Recepciones!$A$5:$A$2000,"&lt;="&amp;$A124)&gt;0,SUMIFS(Recepciones!$C$5:$C$2000,Recepciones!$B$5:$B$2000,Config!$A$23,Recepciones!$A$5:$A$2000,"&gt;"&amp;$A123,Recepciones!$A$5:$A$2000,"&lt;="&amp;$A124),MAX(0,C124-C123)))</f>
        <v/>
      </c>
      <c r="E124" s="24" t="str">
        <f aca="false">IF($A124="","",MAX(0,C123+D124-C124))</f>
        <v/>
      </c>
      <c r="F124" s="24" t="str">
        <f aca="false">IF($A124="","",Stock_Diario!F124)</f>
        <v/>
      </c>
      <c r="G124" s="24" t="str">
        <f aca="false">IF($A124="","",IF(SUMIFS(Recepciones!$C$5:$C$2000,Recepciones!$B$5:$B$2000,Config!$A$24,Recepciones!$A$5:$A$2000,"&gt;"&amp;$A123,Recepciones!$A$5:$A$2000,"&lt;="&amp;$A124)&gt;0,SUMIFS(Recepciones!$C$5:$C$2000,Recepciones!$B$5:$B$2000,Config!$A$24,Recepciones!$A$5:$A$2000,"&gt;"&amp;$A123,Recepciones!$A$5:$A$2000,"&lt;="&amp;$A124),MAX(0,F124-F123)))</f>
        <v/>
      </c>
      <c r="H124" s="24" t="str">
        <f aca="false">IF($A124="","",MAX(0,F123+G124-F124))</f>
        <v/>
      </c>
      <c r="I124" s="24" t="str">
        <f aca="false">IF($A124="","",Stock_Diario!G124)</f>
        <v/>
      </c>
      <c r="J124" s="24" t="str">
        <f aca="false">IF($A124="","",IF(SUMIFS(Recepciones!$C$5:$C$2000,Recepciones!$B$5:$B$2000,Config!$A$25,Recepciones!$A$5:$A$2000,"&gt;"&amp;$A123,Recepciones!$A$5:$A$2000,"&lt;="&amp;$A124)&gt;0,SUMIFS(Recepciones!$C$5:$C$2000,Recepciones!$B$5:$B$2000,Config!$A$25,Recepciones!$A$5:$A$2000,"&gt;"&amp;$A123,Recepciones!$A$5:$A$2000,"&lt;="&amp;$A124),MAX(0,I124-I123)))</f>
        <v/>
      </c>
      <c r="K124" s="24" t="str">
        <f aca="false">IF($A124="","",MAX(0,I123+J124-I124))</f>
        <v/>
      </c>
      <c r="L124" s="24" t="str">
        <f aca="false">IF($A124="","",E124+H124+K124)</f>
        <v/>
      </c>
      <c r="M124" s="4" t="str">
        <f aca="false">IF($A124="","",IF(AND(D124+G124+J124&gt;0,SUMIFS(Recepciones!$C$5:$C$2000,Recepciones!$A$5:$A$2000,"&gt;"&amp;$A123,Recepciones!$A$5:$A$2000,"&lt;="&amp;$A124)=0),"Aumento de stock sin recepción registrada",IF(B124&gt;1,"Intervalo de "&amp;B124&amp;" días","")))</f>
        <v/>
      </c>
    </row>
    <row r="125" customFormat="false" ht="15" hidden="false" customHeight="false" outlineLevel="0" collapsed="false">
      <c r="A125" s="5" t="str">
        <f aca="false">IF(Stock_Diario!A125="","",Stock_Diario!A125)</f>
        <v/>
      </c>
      <c r="B125" s="4" t="str">
        <f aca="false">IF($A125="","",$A125-$A124)</f>
        <v/>
      </c>
      <c r="C125" s="24" t="str">
        <f aca="false">IF($A125="","",Stock_Diario!E125)</f>
        <v/>
      </c>
      <c r="D125" s="24" t="str">
        <f aca="false">IF($A125="","",IF(SUMIFS(Recepciones!$C$5:$C$2000,Recepciones!$B$5:$B$2000,Config!$A$23,Recepciones!$A$5:$A$2000,"&gt;"&amp;$A124,Recepciones!$A$5:$A$2000,"&lt;="&amp;$A125)&gt;0,SUMIFS(Recepciones!$C$5:$C$2000,Recepciones!$B$5:$B$2000,Config!$A$23,Recepciones!$A$5:$A$2000,"&gt;"&amp;$A124,Recepciones!$A$5:$A$2000,"&lt;="&amp;$A125),MAX(0,C125-C124)))</f>
        <v/>
      </c>
      <c r="E125" s="24" t="str">
        <f aca="false">IF($A125="","",MAX(0,C124+D125-C125))</f>
        <v/>
      </c>
      <c r="F125" s="24" t="str">
        <f aca="false">IF($A125="","",Stock_Diario!F125)</f>
        <v/>
      </c>
      <c r="G125" s="24" t="str">
        <f aca="false">IF($A125="","",IF(SUMIFS(Recepciones!$C$5:$C$2000,Recepciones!$B$5:$B$2000,Config!$A$24,Recepciones!$A$5:$A$2000,"&gt;"&amp;$A124,Recepciones!$A$5:$A$2000,"&lt;="&amp;$A125)&gt;0,SUMIFS(Recepciones!$C$5:$C$2000,Recepciones!$B$5:$B$2000,Config!$A$24,Recepciones!$A$5:$A$2000,"&gt;"&amp;$A124,Recepciones!$A$5:$A$2000,"&lt;="&amp;$A125),MAX(0,F125-F124)))</f>
        <v/>
      </c>
      <c r="H125" s="24" t="str">
        <f aca="false">IF($A125="","",MAX(0,F124+G125-F125))</f>
        <v/>
      </c>
      <c r="I125" s="24" t="str">
        <f aca="false">IF($A125="","",Stock_Diario!G125)</f>
        <v/>
      </c>
      <c r="J125" s="24" t="str">
        <f aca="false">IF($A125="","",IF(SUMIFS(Recepciones!$C$5:$C$2000,Recepciones!$B$5:$B$2000,Config!$A$25,Recepciones!$A$5:$A$2000,"&gt;"&amp;$A124,Recepciones!$A$5:$A$2000,"&lt;="&amp;$A125)&gt;0,SUMIFS(Recepciones!$C$5:$C$2000,Recepciones!$B$5:$B$2000,Config!$A$25,Recepciones!$A$5:$A$2000,"&gt;"&amp;$A124,Recepciones!$A$5:$A$2000,"&lt;="&amp;$A125),MAX(0,I125-I124)))</f>
        <v/>
      </c>
      <c r="K125" s="24" t="str">
        <f aca="false">IF($A125="","",MAX(0,I124+J125-I125))</f>
        <v/>
      </c>
      <c r="L125" s="24" t="str">
        <f aca="false">IF($A125="","",E125+H125+K125)</f>
        <v/>
      </c>
      <c r="M125" s="4" t="str">
        <f aca="false">IF($A125="","",IF(AND(D125+G125+J125&gt;0,SUMIFS(Recepciones!$C$5:$C$2000,Recepciones!$A$5:$A$2000,"&gt;"&amp;$A124,Recepciones!$A$5:$A$2000,"&lt;="&amp;$A125)=0),"Aumento de stock sin recepción registrada",IF(B125&gt;1,"Intervalo de "&amp;B125&amp;" días","")))</f>
        <v/>
      </c>
    </row>
    <row r="126" customFormat="false" ht="15" hidden="false" customHeight="false" outlineLevel="0" collapsed="false">
      <c r="A126" s="5" t="str">
        <f aca="false">IF(Stock_Diario!A126="","",Stock_Diario!A126)</f>
        <v/>
      </c>
      <c r="B126" s="4" t="str">
        <f aca="false">IF($A126="","",$A126-$A125)</f>
        <v/>
      </c>
      <c r="C126" s="24" t="str">
        <f aca="false">IF($A126="","",Stock_Diario!E126)</f>
        <v/>
      </c>
      <c r="D126" s="24" t="str">
        <f aca="false">IF($A126="","",IF(SUMIFS(Recepciones!$C$5:$C$2000,Recepciones!$B$5:$B$2000,Config!$A$23,Recepciones!$A$5:$A$2000,"&gt;"&amp;$A125,Recepciones!$A$5:$A$2000,"&lt;="&amp;$A126)&gt;0,SUMIFS(Recepciones!$C$5:$C$2000,Recepciones!$B$5:$B$2000,Config!$A$23,Recepciones!$A$5:$A$2000,"&gt;"&amp;$A125,Recepciones!$A$5:$A$2000,"&lt;="&amp;$A126),MAX(0,C126-C125)))</f>
        <v/>
      </c>
      <c r="E126" s="24" t="str">
        <f aca="false">IF($A126="","",MAX(0,C125+D126-C126))</f>
        <v/>
      </c>
      <c r="F126" s="24" t="str">
        <f aca="false">IF($A126="","",Stock_Diario!F126)</f>
        <v/>
      </c>
      <c r="G126" s="24" t="str">
        <f aca="false">IF($A126="","",IF(SUMIFS(Recepciones!$C$5:$C$2000,Recepciones!$B$5:$B$2000,Config!$A$24,Recepciones!$A$5:$A$2000,"&gt;"&amp;$A125,Recepciones!$A$5:$A$2000,"&lt;="&amp;$A126)&gt;0,SUMIFS(Recepciones!$C$5:$C$2000,Recepciones!$B$5:$B$2000,Config!$A$24,Recepciones!$A$5:$A$2000,"&gt;"&amp;$A125,Recepciones!$A$5:$A$2000,"&lt;="&amp;$A126),MAX(0,F126-F125)))</f>
        <v/>
      </c>
      <c r="H126" s="24" t="str">
        <f aca="false">IF($A126="","",MAX(0,F125+G126-F126))</f>
        <v/>
      </c>
      <c r="I126" s="24" t="str">
        <f aca="false">IF($A126="","",Stock_Diario!G126)</f>
        <v/>
      </c>
      <c r="J126" s="24" t="str">
        <f aca="false">IF($A126="","",IF(SUMIFS(Recepciones!$C$5:$C$2000,Recepciones!$B$5:$B$2000,Config!$A$25,Recepciones!$A$5:$A$2000,"&gt;"&amp;$A125,Recepciones!$A$5:$A$2000,"&lt;="&amp;$A126)&gt;0,SUMIFS(Recepciones!$C$5:$C$2000,Recepciones!$B$5:$B$2000,Config!$A$25,Recepciones!$A$5:$A$2000,"&gt;"&amp;$A125,Recepciones!$A$5:$A$2000,"&lt;="&amp;$A126),MAX(0,I126-I125)))</f>
        <v/>
      </c>
      <c r="K126" s="24" t="str">
        <f aca="false">IF($A126="","",MAX(0,I125+J126-I126))</f>
        <v/>
      </c>
      <c r="L126" s="24" t="str">
        <f aca="false">IF($A126="","",E126+H126+K126)</f>
        <v/>
      </c>
      <c r="M126" s="4" t="str">
        <f aca="false">IF($A126="","",IF(AND(D126+G126+J126&gt;0,SUMIFS(Recepciones!$C$5:$C$2000,Recepciones!$A$5:$A$2000,"&gt;"&amp;$A125,Recepciones!$A$5:$A$2000,"&lt;="&amp;$A126)=0),"Aumento de stock sin recepción registrada",IF(B126&gt;1,"Intervalo de "&amp;B126&amp;" días","")))</f>
        <v/>
      </c>
    </row>
    <row r="127" customFormat="false" ht="15" hidden="false" customHeight="false" outlineLevel="0" collapsed="false">
      <c r="A127" s="5" t="str">
        <f aca="false">IF(Stock_Diario!A127="","",Stock_Diario!A127)</f>
        <v/>
      </c>
      <c r="B127" s="4" t="str">
        <f aca="false">IF($A127="","",$A127-$A126)</f>
        <v/>
      </c>
      <c r="C127" s="24" t="str">
        <f aca="false">IF($A127="","",Stock_Diario!E127)</f>
        <v/>
      </c>
      <c r="D127" s="24" t="str">
        <f aca="false">IF($A127="","",IF(SUMIFS(Recepciones!$C$5:$C$2000,Recepciones!$B$5:$B$2000,Config!$A$23,Recepciones!$A$5:$A$2000,"&gt;"&amp;$A126,Recepciones!$A$5:$A$2000,"&lt;="&amp;$A127)&gt;0,SUMIFS(Recepciones!$C$5:$C$2000,Recepciones!$B$5:$B$2000,Config!$A$23,Recepciones!$A$5:$A$2000,"&gt;"&amp;$A126,Recepciones!$A$5:$A$2000,"&lt;="&amp;$A127),MAX(0,C127-C126)))</f>
        <v/>
      </c>
      <c r="E127" s="24" t="str">
        <f aca="false">IF($A127="","",MAX(0,C126+D127-C127))</f>
        <v/>
      </c>
      <c r="F127" s="24" t="str">
        <f aca="false">IF($A127="","",Stock_Diario!F127)</f>
        <v/>
      </c>
      <c r="G127" s="24" t="str">
        <f aca="false">IF($A127="","",IF(SUMIFS(Recepciones!$C$5:$C$2000,Recepciones!$B$5:$B$2000,Config!$A$24,Recepciones!$A$5:$A$2000,"&gt;"&amp;$A126,Recepciones!$A$5:$A$2000,"&lt;="&amp;$A127)&gt;0,SUMIFS(Recepciones!$C$5:$C$2000,Recepciones!$B$5:$B$2000,Config!$A$24,Recepciones!$A$5:$A$2000,"&gt;"&amp;$A126,Recepciones!$A$5:$A$2000,"&lt;="&amp;$A127),MAX(0,F127-F126)))</f>
        <v/>
      </c>
      <c r="H127" s="24" t="str">
        <f aca="false">IF($A127="","",MAX(0,F126+G127-F127))</f>
        <v/>
      </c>
      <c r="I127" s="24" t="str">
        <f aca="false">IF($A127="","",Stock_Diario!G127)</f>
        <v/>
      </c>
      <c r="J127" s="24" t="str">
        <f aca="false">IF($A127="","",IF(SUMIFS(Recepciones!$C$5:$C$2000,Recepciones!$B$5:$B$2000,Config!$A$25,Recepciones!$A$5:$A$2000,"&gt;"&amp;$A126,Recepciones!$A$5:$A$2000,"&lt;="&amp;$A127)&gt;0,SUMIFS(Recepciones!$C$5:$C$2000,Recepciones!$B$5:$B$2000,Config!$A$25,Recepciones!$A$5:$A$2000,"&gt;"&amp;$A126,Recepciones!$A$5:$A$2000,"&lt;="&amp;$A127),MAX(0,I127-I126)))</f>
        <v/>
      </c>
      <c r="K127" s="24" t="str">
        <f aca="false">IF($A127="","",MAX(0,I126+J127-I127))</f>
        <v/>
      </c>
      <c r="L127" s="24" t="str">
        <f aca="false">IF($A127="","",E127+H127+K127)</f>
        <v/>
      </c>
      <c r="M127" s="4" t="str">
        <f aca="false">IF($A127="","",IF(AND(D127+G127+J127&gt;0,SUMIFS(Recepciones!$C$5:$C$2000,Recepciones!$A$5:$A$2000,"&gt;"&amp;$A126,Recepciones!$A$5:$A$2000,"&lt;="&amp;$A127)=0),"Aumento de stock sin recepción registrada",IF(B127&gt;1,"Intervalo de "&amp;B127&amp;" días","")))</f>
        <v/>
      </c>
    </row>
    <row r="128" customFormat="false" ht="15" hidden="false" customHeight="false" outlineLevel="0" collapsed="false">
      <c r="A128" s="5" t="str">
        <f aca="false">IF(Stock_Diario!A128="","",Stock_Diario!A128)</f>
        <v/>
      </c>
      <c r="B128" s="4" t="str">
        <f aca="false">IF($A128="","",$A128-$A127)</f>
        <v/>
      </c>
      <c r="C128" s="24" t="str">
        <f aca="false">IF($A128="","",Stock_Diario!E128)</f>
        <v/>
      </c>
      <c r="D128" s="24" t="str">
        <f aca="false">IF($A128="","",IF(SUMIFS(Recepciones!$C$5:$C$2000,Recepciones!$B$5:$B$2000,Config!$A$23,Recepciones!$A$5:$A$2000,"&gt;"&amp;$A127,Recepciones!$A$5:$A$2000,"&lt;="&amp;$A128)&gt;0,SUMIFS(Recepciones!$C$5:$C$2000,Recepciones!$B$5:$B$2000,Config!$A$23,Recepciones!$A$5:$A$2000,"&gt;"&amp;$A127,Recepciones!$A$5:$A$2000,"&lt;="&amp;$A128),MAX(0,C128-C127)))</f>
        <v/>
      </c>
      <c r="E128" s="24" t="str">
        <f aca="false">IF($A128="","",MAX(0,C127+D128-C128))</f>
        <v/>
      </c>
      <c r="F128" s="24" t="str">
        <f aca="false">IF($A128="","",Stock_Diario!F128)</f>
        <v/>
      </c>
      <c r="G128" s="24" t="str">
        <f aca="false">IF($A128="","",IF(SUMIFS(Recepciones!$C$5:$C$2000,Recepciones!$B$5:$B$2000,Config!$A$24,Recepciones!$A$5:$A$2000,"&gt;"&amp;$A127,Recepciones!$A$5:$A$2000,"&lt;="&amp;$A128)&gt;0,SUMIFS(Recepciones!$C$5:$C$2000,Recepciones!$B$5:$B$2000,Config!$A$24,Recepciones!$A$5:$A$2000,"&gt;"&amp;$A127,Recepciones!$A$5:$A$2000,"&lt;="&amp;$A128),MAX(0,F128-F127)))</f>
        <v/>
      </c>
      <c r="H128" s="24" t="str">
        <f aca="false">IF($A128="","",MAX(0,F127+G128-F128))</f>
        <v/>
      </c>
      <c r="I128" s="24" t="str">
        <f aca="false">IF($A128="","",Stock_Diario!G128)</f>
        <v/>
      </c>
      <c r="J128" s="24" t="str">
        <f aca="false">IF($A128="","",IF(SUMIFS(Recepciones!$C$5:$C$2000,Recepciones!$B$5:$B$2000,Config!$A$25,Recepciones!$A$5:$A$2000,"&gt;"&amp;$A127,Recepciones!$A$5:$A$2000,"&lt;="&amp;$A128)&gt;0,SUMIFS(Recepciones!$C$5:$C$2000,Recepciones!$B$5:$B$2000,Config!$A$25,Recepciones!$A$5:$A$2000,"&gt;"&amp;$A127,Recepciones!$A$5:$A$2000,"&lt;="&amp;$A128),MAX(0,I128-I127)))</f>
        <v/>
      </c>
      <c r="K128" s="24" t="str">
        <f aca="false">IF($A128="","",MAX(0,I127+J128-I128))</f>
        <v/>
      </c>
      <c r="L128" s="24" t="str">
        <f aca="false">IF($A128="","",E128+H128+K128)</f>
        <v/>
      </c>
      <c r="M128" s="4" t="str">
        <f aca="false">IF($A128="","",IF(AND(D128+G128+J128&gt;0,SUMIFS(Recepciones!$C$5:$C$2000,Recepciones!$A$5:$A$2000,"&gt;"&amp;$A127,Recepciones!$A$5:$A$2000,"&lt;="&amp;$A128)=0),"Aumento de stock sin recepción registrada",IF(B128&gt;1,"Intervalo de "&amp;B128&amp;" días","")))</f>
        <v/>
      </c>
    </row>
    <row r="129" customFormat="false" ht="15" hidden="false" customHeight="false" outlineLevel="0" collapsed="false">
      <c r="A129" s="5" t="str">
        <f aca="false">IF(Stock_Diario!A129="","",Stock_Diario!A129)</f>
        <v/>
      </c>
      <c r="B129" s="4" t="str">
        <f aca="false">IF($A129="","",$A129-$A128)</f>
        <v/>
      </c>
      <c r="C129" s="24" t="str">
        <f aca="false">IF($A129="","",Stock_Diario!E129)</f>
        <v/>
      </c>
      <c r="D129" s="24" t="str">
        <f aca="false">IF($A129="","",IF(SUMIFS(Recepciones!$C$5:$C$2000,Recepciones!$B$5:$B$2000,Config!$A$23,Recepciones!$A$5:$A$2000,"&gt;"&amp;$A128,Recepciones!$A$5:$A$2000,"&lt;="&amp;$A129)&gt;0,SUMIFS(Recepciones!$C$5:$C$2000,Recepciones!$B$5:$B$2000,Config!$A$23,Recepciones!$A$5:$A$2000,"&gt;"&amp;$A128,Recepciones!$A$5:$A$2000,"&lt;="&amp;$A129),MAX(0,C129-C128)))</f>
        <v/>
      </c>
      <c r="E129" s="24" t="str">
        <f aca="false">IF($A129="","",MAX(0,C128+D129-C129))</f>
        <v/>
      </c>
      <c r="F129" s="24" t="str">
        <f aca="false">IF($A129="","",Stock_Diario!F129)</f>
        <v/>
      </c>
      <c r="G129" s="24" t="str">
        <f aca="false">IF($A129="","",IF(SUMIFS(Recepciones!$C$5:$C$2000,Recepciones!$B$5:$B$2000,Config!$A$24,Recepciones!$A$5:$A$2000,"&gt;"&amp;$A128,Recepciones!$A$5:$A$2000,"&lt;="&amp;$A129)&gt;0,SUMIFS(Recepciones!$C$5:$C$2000,Recepciones!$B$5:$B$2000,Config!$A$24,Recepciones!$A$5:$A$2000,"&gt;"&amp;$A128,Recepciones!$A$5:$A$2000,"&lt;="&amp;$A129),MAX(0,F129-F128)))</f>
        <v/>
      </c>
      <c r="H129" s="24" t="str">
        <f aca="false">IF($A129="","",MAX(0,F128+G129-F129))</f>
        <v/>
      </c>
      <c r="I129" s="24" t="str">
        <f aca="false">IF($A129="","",Stock_Diario!G129)</f>
        <v/>
      </c>
      <c r="J129" s="24" t="str">
        <f aca="false">IF($A129="","",IF(SUMIFS(Recepciones!$C$5:$C$2000,Recepciones!$B$5:$B$2000,Config!$A$25,Recepciones!$A$5:$A$2000,"&gt;"&amp;$A128,Recepciones!$A$5:$A$2000,"&lt;="&amp;$A129)&gt;0,SUMIFS(Recepciones!$C$5:$C$2000,Recepciones!$B$5:$B$2000,Config!$A$25,Recepciones!$A$5:$A$2000,"&gt;"&amp;$A128,Recepciones!$A$5:$A$2000,"&lt;="&amp;$A129),MAX(0,I129-I128)))</f>
        <v/>
      </c>
      <c r="K129" s="24" t="str">
        <f aca="false">IF($A129="","",MAX(0,I128+J129-I129))</f>
        <v/>
      </c>
      <c r="L129" s="24" t="str">
        <f aca="false">IF($A129="","",E129+H129+K129)</f>
        <v/>
      </c>
      <c r="M129" s="4" t="str">
        <f aca="false">IF($A129="","",IF(AND(D129+G129+J129&gt;0,SUMIFS(Recepciones!$C$5:$C$2000,Recepciones!$A$5:$A$2000,"&gt;"&amp;$A128,Recepciones!$A$5:$A$2000,"&lt;="&amp;$A129)=0),"Aumento de stock sin recepción registrada",IF(B129&gt;1,"Intervalo de "&amp;B129&amp;" días","")))</f>
        <v/>
      </c>
    </row>
    <row r="130" customFormat="false" ht="15" hidden="false" customHeight="false" outlineLevel="0" collapsed="false">
      <c r="A130" s="5" t="str">
        <f aca="false">IF(Stock_Diario!A130="","",Stock_Diario!A130)</f>
        <v/>
      </c>
      <c r="B130" s="4" t="str">
        <f aca="false">IF($A130="","",$A130-$A129)</f>
        <v/>
      </c>
      <c r="C130" s="24" t="str">
        <f aca="false">IF($A130="","",Stock_Diario!E130)</f>
        <v/>
      </c>
      <c r="D130" s="24" t="str">
        <f aca="false">IF($A130="","",IF(SUMIFS(Recepciones!$C$5:$C$2000,Recepciones!$B$5:$B$2000,Config!$A$23,Recepciones!$A$5:$A$2000,"&gt;"&amp;$A129,Recepciones!$A$5:$A$2000,"&lt;="&amp;$A130)&gt;0,SUMIFS(Recepciones!$C$5:$C$2000,Recepciones!$B$5:$B$2000,Config!$A$23,Recepciones!$A$5:$A$2000,"&gt;"&amp;$A129,Recepciones!$A$5:$A$2000,"&lt;="&amp;$A130),MAX(0,C130-C129)))</f>
        <v/>
      </c>
      <c r="E130" s="24" t="str">
        <f aca="false">IF($A130="","",MAX(0,C129+D130-C130))</f>
        <v/>
      </c>
      <c r="F130" s="24" t="str">
        <f aca="false">IF($A130="","",Stock_Diario!F130)</f>
        <v/>
      </c>
      <c r="G130" s="24" t="str">
        <f aca="false">IF($A130="","",IF(SUMIFS(Recepciones!$C$5:$C$2000,Recepciones!$B$5:$B$2000,Config!$A$24,Recepciones!$A$5:$A$2000,"&gt;"&amp;$A129,Recepciones!$A$5:$A$2000,"&lt;="&amp;$A130)&gt;0,SUMIFS(Recepciones!$C$5:$C$2000,Recepciones!$B$5:$B$2000,Config!$A$24,Recepciones!$A$5:$A$2000,"&gt;"&amp;$A129,Recepciones!$A$5:$A$2000,"&lt;="&amp;$A130),MAX(0,F130-F129)))</f>
        <v/>
      </c>
      <c r="H130" s="24" t="str">
        <f aca="false">IF($A130="","",MAX(0,F129+G130-F130))</f>
        <v/>
      </c>
      <c r="I130" s="24" t="str">
        <f aca="false">IF($A130="","",Stock_Diario!G130)</f>
        <v/>
      </c>
      <c r="J130" s="24" t="str">
        <f aca="false">IF($A130="","",IF(SUMIFS(Recepciones!$C$5:$C$2000,Recepciones!$B$5:$B$2000,Config!$A$25,Recepciones!$A$5:$A$2000,"&gt;"&amp;$A129,Recepciones!$A$5:$A$2000,"&lt;="&amp;$A130)&gt;0,SUMIFS(Recepciones!$C$5:$C$2000,Recepciones!$B$5:$B$2000,Config!$A$25,Recepciones!$A$5:$A$2000,"&gt;"&amp;$A129,Recepciones!$A$5:$A$2000,"&lt;="&amp;$A130),MAX(0,I130-I129)))</f>
        <v/>
      </c>
      <c r="K130" s="24" t="str">
        <f aca="false">IF($A130="","",MAX(0,I129+J130-I130))</f>
        <v/>
      </c>
      <c r="L130" s="24" t="str">
        <f aca="false">IF($A130="","",E130+H130+K130)</f>
        <v/>
      </c>
      <c r="M130" s="4" t="str">
        <f aca="false">IF($A130="","",IF(AND(D130+G130+J130&gt;0,SUMIFS(Recepciones!$C$5:$C$2000,Recepciones!$A$5:$A$2000,"&gt;"&amp;$A129,Recepciones!$A$5:$A$2000,"&lt;="&amp;$A130)=0),"Aumento de stock sin recepción registrada",IF(B130&gt;1,"Intervalo de "&amp;B130&amp;" días","")))</f>
        <v/>
      </c>
    </row>
    <row r="131" customFormat="false" ht="15" hidden="false" customHeight="false" outlineLevel="0" collapsed="false">
      <c r="A131" s="5" t="str">
        <f aca="false">IF(Stock_Diario!A131="","",Stock_Diario!A131)</f>
        <v/>
      </c>
      <c r="B131" s="4" t="str">
        <f aca="false">IF($A131="","",$A131-$A130)</f>
        <v/>
      </c>
      <c r="C131" s="24" t="str">
        <f aca="false">IF($A131="","",Stock_Diario!E131)</f>
        <v/>
      </c>
      <c r="D131" s="24" t="str">
        <f aca="false">IF($A131="","",IF(SUMIFS(Recepciones!$C$5:$C$2000,Recepciones!$B$5:$B$2000,Config!$A$23,Recepciones!$A$5:$A$2000,"&gt;"&amp;$A130,Recepciones!$A$5:$A$2000,"&lt;="&amp;$A131)&gt;0,SUMIFS(Recepciones!$C$5:$C$2000,Recepciones!$B$5:$B$2000,Config!$A$23,Recepciones!$A$5:$A$2000,"&gt;"&amp;$A130,Recepciones!$A$5:$A$2000,"&lt;="&amp;$A131),MAX(0,C131-C130)))</f>
        <v/>
      </c>
      <c r="E131" s="24" t="str">
        <f aca="false">IF($A131="","",MAX(0,C130+D131-C131))</f>
        <v/>
      </c>
      <c r="F131" s="24" t="str">
        <f aca="false">IF($A131="","",Stock_Diario!F131)</f>
        <v/>
      </c>
      <c r="G131" s="24" t="str">
        <f aca="false">IF($A131="","",IF(SUMIFS(Recepciones!$C$5:$C$2000,Recepciones!$B$5:$B$2000,Config!$A$24,Recepciones!$A$5:$A$2000,"&gt;"&amp;$A130,Recepciones!$A$5:$A$2000,"&lt;="&amp;$A131)&gt;0,SUMIFS(Recepciones!$C$5:$C$2000,Recepciones!$B$5:$B$2000,Config!$A$24,Recepciones!$A$5:$A$2000,"&gt;"&amp;$A130,Recepciones!$A$5:$A$2000,"&lt;="&amp;$A131),MAX(0,F131-F130)))</f>
        <v/>
      </c>
      <c r="H131" s="24" t="str">
        <f aca="false">IF($A131="","",MAX(0,F130+G131-F131))</f>
        <v/>
      </c>
      <c r="I131" s="24" t="str">
        <f aca="false">IF($A131="","",Stock_Diario!G131)</f>
        <v/>
      </c>
      <c r="J131" s="24" t="str">
        <f aca="false">IF($A131="","",IF(SUMIFS(Recepciones!$C$5:$C$2000,Recepciones!$B$5:$B$2000,Config!$A$25,Recepciones!$A$5:$A$2000,"&gt;"&amp;$A130,Recepciones!$A$5:$A$2000,"&lt;="&amp;$A131)&gt;0,SUMIFS(Recepciones!$C$5:$C$2000,Recepciones!$B$5:$B$2000,Config!$A$25,Recepciones!$A$5:$A$2000,"&gt;"&amp;$A130,Recepciones!$A$5:$A$2000,"&lt;="&amp;$A131),MAX(0,I131-I130)))</f>
        <v/>
      </c>
      <c r="K131" s="24" t="str">
        <f aca="false">IF($A131="","",MAX(0,I130+J131-I131))</f>
        <v/>
      </c>
      <c r="L131" s="24" t="str">
        <f aca="false">IF($A131="","",E131+H131+K131)</f>
        <v/>
      </c>
      <c r="M131" s="4" t="str">
        <f aca="false">IF($A131="","",IF(AND(D131+G131+J131&gt;0,SUMIFS(Recepciones!$C$5:$C$2000,Recepciones!$A$5:$A$2000,"&gt;"&amp;$A130,Recepciones!$A$5:$A$2000,"&lt;="&amp;$A131)=0),"Aumento de stock sin recepción registrada",IF(B131&gt;1,"Intervalo de "&amp;B131&amp;" días","")))</f>
        <v/>
      </c>
    </row>
    <row r="132" customFormat="false" ht="15" hidden="false" customHeight="false" outlineLevel="0" collapsed="false">
      <c r="A132" s="5" t="str">
        <f aca="false">IF(Stock_Diario!A132="","",Stock_Diario!A132)</f>
        <v/>
      </c>
      <c r="B132" s="4" t="str">
        <f aca="false">IF($A132="","",$A132-$A131)</f>
        <v/>
      </c>
      <c r="C132" s="24" t="str">
        <f aca="false">IF($A132="","",Stock_Diario!E132)</f>
        <v/>
      </c>
      <c r="D132" s="24" t="str">
        <f aca="false">IF($A132="","",IF(SUMIFS(Recepciones!$C$5:$C$2000,Recepciones!$B$5:$B$2000,Config!$A$23,Recepciones!$A$5:$A$2000,"&gt;"&amp;$A131,Recepciones!$A$5:$A$2000,"&lt;="&amp;$A132)&gt;0,SUMIFS(Recepciones!$C$5:$C$2000,Recepciones!$B$5:$B$2000,Config!$A$23,Recepciones!$A$5:$A$2000,"&gt;"&amp;$A131,Recepciones!$A$5:$A$2000,"&lt;="&amp;$A132),MAX(0,C132-C131)))</f>
        <v/>
      </c>
      <c r="E132" s="24" t="str">
        <f aca="false">IF($A132="","",MAX(0,C131+D132-C132))</f>
        <v/>
      </c>
      <c r="F132" s="24" t="str">
        <f aca="false">IF($A132="","",Stock_Diario!F132)</f>
        <v/>
      </c>
      <c r="G132" s="24" t="str">
        <f aca="false">IF($A132="","",IF(SUMIFS(Recepciones!$C$5:$C$2000,Recepciones!$B$5:$B$2000,Config!$A$24,Recepciones!$A$5:$A$2000,"&gt;"&amp;$A131,Recepciones!$A$5:$A$2000,"&lt;="&amp;$A132)&gt;0,SUMIFS(Recepciones!$C$5:$C$2000,Recepciones!$B$5:$B$2000,Config!$A$24,Recepciones!$A$5:$A$2000,"&gt;"&amp;$A131,Recepciones!$A$5:$A$2000,"&lt;="&amp;$A132),MAX(0,F132-F131)))</f>
        <v/>
      </c>
      <c r="H132" s="24" t="str">
        <f aca="false">IF($A132="","",MAX(0,F131+G132-F132))</f>
        <v/>
      </c>
      <c r="I132" s="24" t="str">
        <f aca="false">IF($A132="","",Stock_Diario!G132)</f>
        <v/>
      </c>
      <c r="J132" s="24" t="str">
        <f aca="false">IF($A132="","",IF(SUMIFS(Recepciones!$C$5:$C$2000,Recepciones!$B$5:$B$2000,Config!$A$25,Recepciones!$A$5:$A$2000,"&gt;"&amp;$A131,Recepciones!$A$5:$A$2000,"&lt;="&amp;$A132)&gt;0,SUMIFS(Recepciones!$C$5:$C$2000,Recepciones!$B$5:$B$2000,Config!$A$25,Recepciones!$A$5:$A$2000,"&gt;"&amp;$A131,Recepciones!$A$5:$A$2000,"&lt;="&amp;$A132),MAX(0,I132-I131)))</f>
        <v/>
      </c>
      <c r="K132" s="24" t="str">
        <f aca="false">IF($A132="","",MAX(0,I131+J132-I132))</f>
        <v/>
      </c>
      <c r="L132" s="24" t="str">
        <f aca="false">IF($A132="","",E132+H132+K132)</f>
        <v/>
      </c>
      <c r="M132" s="4" t="str">
        <f aca="false">IF($A132="","",IF(AND(D132+G132+J132&gt;0,SUMIFS(Recepciones!$C$5:$C$2000,Recepciones!$A$5:$A$2000,"&gt;"&amp;$A131,Recepciones!$A$5:$A$2000,"&lt;="&amp;$A132)=0),"Aumento de stock sin recepción registrada",IF(B132&gt;1,"Intervalo de "&amp;B132&amp;" días","")))</f>
        <v/>
      </c>
    </row>
    <row r="133" customFormat="false" ht="15" hidden="false" customHeight="false" outlineLevel="0" collapsed="false">
      <c r="A133" s="5" t="str">
        <f aca="false">IF(Stock_Diario!A133="","",Stock_Diario!A133)</f>
        <v/>
      </c>
      <c r="B133" s="4" t="str">
        <f aca="false">IF($A133="","",$A133-$A132)</f>
        <v/>
      </c>
      <c r="C133" s="24" t="str">
        <f aca="false">IF($A133="","",Stock_Diario!E133)</f>
        <v/>
      </c>
      <c r="D133" s="24" t="str">
        <f aca="false">IF($A133="","",IF(SUMIFS(Recepciones!$C$5:$C$2000,Recepciones!$B$5:$B$2000,Config!$A$23,Recepciones!$A$5:$A$2000,"&gt;"&amp;$A132,Recepciones!$A$5:$A$2000,"&lt;="&amp;$A133)&gt;0,SUMIFS(Recepciones!$C$5:$C$2000,Recepciones!$B$5:$B$2000,Config!$A$23,Recepciones!$A$5:$A$2000,"&gt;"&amp;$A132,Recepciones!$A$5:$A$2000,"&lt;="&amp;$A133),MAX(0,C133-C132)))</f>
        <v/>
      </c>
      <c r="E133" s="24" t="str">
        <f aca="false">IF($A133="","",MAX(0,C132+D133-C133))</f>
        <v/>
      </c>
      <c r="F133" s="24" t="str">
        <f aca="false">IF($A133="","",Stock_Diario!F133)</f>
        <v/>
      </c>
      <c r="G133" s="24" t="str">
        <f aca="false">IF($A133="","",IF(SUMIFS(Recepciones!$C$5:$C$2000,Recepciones!$B$5:$B$2000,Config!$A$24,Recepciones!$A$5:$A$2000,"&gt;"&amp;$A132,Recepciones!$A$5:$A$2000,"&lt;="&amp;$A133)&gt;0,SUMIFS(Recepciones!$C$5:$C$2000,Recepciones!$B$5:$B$2000,Config!$A$24,Recepciones!$A$5:$A$2000,"&gt;"&amp;$A132,Recepciones!$A$5:$A$2000,"&lt;="&amp;$A133),MAX(0,F133-F132)))</f>
        <v/>
      </c>
      <c r="H133" s="24" t="str">
        <f aca="false">IF($A133="","",MAX(0,F132+G133-F133))</f>
        <v/>
      </c>
      <c r="I133" s="24" t="str">
        <f aca="false">IF($A133="","",Stock_Diario!G133)</f>
        <v/>
      </c>
      <c r="J133" s="24" t="str">
        <f aca="false">IF($A133="","",IF(SUMIFS(Recepciones!$C$5:$C$2000,Recepciones!$B$5:$B$2000,Config!$A$25,Recepciones!$A$5:$A$2000,"&gt;"&amp;$A132,Recepciones!$A$5:$A$2000,"&lt;="&amp;$A133)&gt;0,SUMIFS(Recepciones!$C$5:$C$2000,Recepciones!$B$5:$B$2000,Config!$A$25,Recepciones!$A$5:$A$2000,"&gt;"&amp;$A132,Recepciones!$A$5:$A$2000,"&lt;="&amp;$A133),MAX(0,I133-I132)))</f>
        <v/>
      </c>
      <c r="K133" s="24" t="str">
        <f aca="false">IF($A133="","",MAX(0,I132+J133-I133))</f>
        <v/>
      </c>
      <c r="L133" s="24" t="str">
        <f aca="false">IF($A133="","",E133+H133+K133)</f>
        <v/>
      </c>
      <c r="M133" s="4" t="str">
        <f aca="false">IF($A133="","",IF(AND(D133+G133+J133&gt;0,SUMIFS(Recepciones!$C$5:$C$2000,Recepciones!$A$5:$A$2000,"&gt;"&amp;$A132,Recepciones!$A$5:$A$2000,"&lt;="&amp;$A133)=0),"Aumento de stock sin recepción registrada",IF(B133&gt;1,"Intervalo de "&amp;B133&amp;" días","")))</f>
        <v/>
      </c>
    </row>
    <row r="134" customFormat="false" ht="15" hidden="false" customHeight="false" outlineLevel="0" collapsed="false">
      <c r="A134" s="5" t="str">
        <f aca="false">IF(Stock_Diario!A134="","",Stock_Diario!A134)</f>
        <v/>
      </c>
      <c r="B134" s="4" t="str">
        <f aca="false">IF($A134="","",$A134-$A133)</f>
        <v/>
      </c>
      <c r="C134" s="24" t="str">
        <f aca="false">IF($A134="","",Stock_Diario!E134)</f>
        <v/>
      </c>
      <c r="D134" s="24" t="str">
        <f aca="false">IF($A134="","",IF(SUMIFS(Recepciones!$C$5:$C$2000,Recepciones!$B$5:$B$2000,Config!$A$23,Recepciones!$A$5:$A$2000,"&gt;"&amp;$A133,Recepciones!$A$5:$A$2000,"&lt;="&amp;$A134)&gt;0,SUMIFS(Recepciones!$C$5:$C$2000,Recepciones!$B$5:$B$2000,Config!$A$23,Recepciones!$A$5:$A$2000,"&gt;"&amp;$A133,Recepciones!$A$5:$A$2000,"&lt;="&amp;$A134),MAX(0,C134-C133)))</f>
        <v/>
      </c>
      <c r="E134" s="24" t="str">
        <f aca="false">IF($A134="","",MAX(0,C133+D134-C134))</f>
        <v/>
      </c>
      <c r="F134" s="24" t="str">
        <f aca="false">IF($A134="","",Stock_Diario!F134)</f>
        <v/>
      </c>
      <c r="G134" s="24" t="str">
        <f aca="false">IF($A134="","",IF(SUMIFS(Recepciones!$C$5:$C$2000,Recepciones!$B$5:$B$2000,Config!$A$24,Recepciones!$A$5:$A$2000,"&gt;"&amp;$A133,Recepciones!$A$5:$A$2000,"&lt;="&amp;$A134)&gt;0,SUMIFS(Recepciones!$C$5:$C$2000,Recepciones!$B$5:$B$2000,Config!$A$24,Recepciones!$A$5:$A$2000,"&gt;"&amp;$A133,Recepciones!$A$5:$A$2000,"&lt;="&amp;$A134),MAX(0,F134-F133)))</f>
        <v/>
      </c>
      <c r="H134" s="24" t="str">
        <f aca="false">IF($A134="","",MAX(0,F133+G134-F134))</f>
        <v/>
      </c>
      <c r="I134" s="24" t="str">
        <f aca="false">IF($A134="","",Stock_Diario!G134)</f>
        <v/>
      </c>
      <c r="J134" s="24" t="str">
        <f aca="false">IF($A134="","",IF(SUMIFS(Recepciones!$C$5:$C$2000,Recepciones!$B$5:$B$2000,Config!$A$25,Recepciones!$A$5:$A$2000,"&gt;"&amp;$A133,Recepciones!$A$5:$A$2000,"&lt;="&amp;$A134)&gt;0,SUMIFS(Recepciones!$C$5:$C$2000,Recepciones!$B$5:$B$2000,Config!$A$25,Recepciones!$A$5:$A$2000,"&gt;"&amp;$A133,Recepciones!$A$5:$A$2000,"&lt;="&amp;$A134),MAX(0,I134-I133)))</f>
        <v/>
      </c>
      <c r="K134" s="24" t="str">
        <f aca="false">IF($A134="","",MAX(0,I133+J134-I134))</f>
        <v/>
      </c>
      <c r="L134" s="24" t="str">
        <f aca="false">IF($A134="","",E134+H134+K134)</f>
        <v/>
      </c>
      <c r="M134" s="4" t="str">
        <f aca="false">IF($A134="","",IF(AND(D134+G134+J134&gt;0,SUMIFS(Recepciones!$C$5:$C$2000,Recepciones!$A$5:$A$2000,"&gt;"&amp;$A133,Recepciones!$A$5:$A$2000,"&lt;="&amp;$A134)=0),"Aumento de stock sin recepción registrada",IF(B134&gt;1,"Intervalo de "&amp;B134&amp;" días","")))</f>
        <v/>
      </c>
    </row>
    <row r="135" customFormat="false" ht="15" hidden="false" customHeight="false" outlineLevel="0" collapsed="false">
      <c r="A135" s="5" t="str">
        <f aca="false">IF(Stock_Diario!A135="","",Stock_Diario!A135)</f>
        <v/>
      </c>
      <c r="B135" s="4" t="str">
        <f aca="false">IF($A135="","",$A135-$A134)</f>
        <v/>
      </c>
      <c r="C135" s="24" t="str">
        <f aca="false">IF($A135="","",Stock_Diario!E135)</f>
        <v/>
      </c>
      <c r="D135" s="24" t="str">
        <f aca="false">IF($A135="","",IF(SUMIFS(Recepciones!$C$5:$C$2000,Recepciones!$B$5:$B$2000,Config!$A$23,Recepciones!$A$5:$A$2000,"&gt;"&amp;$A134,Recepciones!$A$5:$A$2000,"&lt;="&amp;$A135)&gt;0,SUMIFS(Recepciones!$C$5:$C$2000,Recepciones!$B$5:$B$2000,Config!$A$23,Recepciones!$A$5:$A$2000,"&gt;"&amp;$A134,Recepciones!$A$5:$A$2000,"&lt;="&amp;$A135),MAX(0,C135-C134)))</f>
        <v/>
      </c>
      <c r="E135" s="24" t="str">
        <f aca="false">IF($A135="","",MAX(0,C134+D135-C135))</f>
        <v/>
      </c>
      <c r="F135" s="24" t="str">
        <f aca="false">IF($A135="","",Stock_Diario!F135)</f>
        <v/>
      </c>
      <c r="G135" s="24" t="str">
        <f aca="false">IF($A135="","",IF(SUMIFS(Recepciones!$C$5:$C$2000,Recepciones!$B$5:$B$2000,Config!$A$24,Recepciones!$A$5:$A$2000,"&gt;"&amp;$A134,Recepciones!$A$5:$A$2000,"&lt;="&amp;$A135)&gt;0,SUMIFS(Recepciones!$C$5:$C$2000,Recepciones!$B$5:$B$2000,Config!$A$24,Recepciones!$A$5:$A$2000,"&gt;"&amp;$A134,Recepciones!$A$5:$A$2000,"&lt;="&amp;$A135),MAX(0,F135-F134)))</f>
        <v/>
      </c>
      <c r="H135" s="24" t="str">
        <f aca="false">IF($A135="","",MAX(0,F134+G135-F135))</f>
        <v/>
      </c>
      <c r="I135" s="24" t="str">
        <f aca="false">IF($A135="","",Stock_Diario!G135)</f>
        <v/>
      </c>
      <c r="J135" s="24" t="str">
        <f aca="false">IF($A135="","",IF(SUMIFS(Recepciones!$C$5:$C$2000,Recepciones!$B$5:$B$2000,Config!$A$25,Recepciones!$A$5:$A$2000,"&gt;"&amp;$A134,Recepciones!$A$5:$A$2000,"&lt;="&amp;$A135)&gt;0,SUMIFS(Recepciones!$C$5:$C$2000,Recepciones!$B$5:$B$2000,Config!$A$25,Recepciones!$A$5:$A$2000,"&gt;"&amp;$A134,Recepciones!$A$5:$A$2000,"&lt;="&amp;$A135),MAX(0,I135-I134)))</f>
        <v/>
      </c>
      <c r="K135" s="24" t="str">
        <f aca="false">IF($A135="","",MAX(0,I134+J135-I135))</f>
        <v/>
      </c>
      <c r="L135" s="24" t="str">
        <f aca="false">IF($A135="","",E135+H135+K135)</f>
        <v/>
      </c>
      <c r="M135" s="4" t="str">
        <f aca="false">IF($A135="","",IF(AND(D135+G135+J135&gt;0,SUMIFS(Recepciones!$C$5:$C$2000,Recepciones!$A$5:$A$2000,"&gt;"&amp;$A134,Recepciones!$A$5:$A$2000,"&lt;="&amp;$A135)=0),"Aumento de stock sin recepción registrada",IF(B135&gt;1,"Intervalo de "&amp;B135&amp;" días","")))</f>
        <v/>
      </c>
    </row>
    <row r="136" customFormat="false" ht="15" hidden="false" customHeight="false" outlineLevel="0" collapsed="false">
      <c r="A136" s="5" t="str">
        <f aca="false">IF(Stock_Diario!A136="","",Stock_Diario!A136)</f>
        <v/>
      </c>
      <c r="B136" s="4" t="str">
        <f aca="false">IF($A136="","",$A136-$A135)</f>
        <v/>
      </c>
      <c r="C136" s="24" t="str">
        <f aca="false">IF($A136="","",Stock_Diario!E136)</f>
        <v/>
      </c>
      <c r="D136" s="24" t="str">
        <f aca="false">IF($A136="","",IF(SUMIFS(Recepciones!$C$5:$C$2000,Recepciones!$B$5:$B$2000,Config!$A$23,Recepciones!$A$5:$A$2000,"&gt;"&amp;$A135,Recepciones!$A$5:$A$2000,"&lt;="&amp;$A136)&gt;0,SUMIFS(Recepciones!$C$5:$C$2000,Recepciones!$B$5:$B$2000,Config!$A$23,Recepciones!$A$5:$A$2000,"&gt;"&amp;$A135,Recepciones!$A$5:$A$2000,"&lt;="&amp;$A136),MAX(0,C136-C135)))</f>
        <v/>
      </c>
      <c r="E136" s="24" t="str">
        <f aca="false">IF($A136="","",MAX(0,C135+D136-C136))</f>
        <v/>
      </c>
      <c r="F136" s="24" t="str">
        <f aca="false">IF($A136="","",Stock_Diario!F136)</f>
        <v/>
      </c>
      <c r="G136" s="24" t="str">
        <f aca="false">IF($A136="","",IF(SUMIFS(Recepciones!$C$5:$C$2000,Recepciones!$B$5:$B$2000,Config!$A$24,Recepciones!$A$5:$A$2000,"&gt;"&amp;$A135,Recepciones!$A$5:$A$2000,"&lt;="&amp;$A136)&gt;0,SUMIFS(Recepciones!$C$5:$C$2000,Recepciones!$B$5:$B$2000,Config!$A$24,Recepciones!$A$5:$A$2000,"&gt;"&amp;$A135,Recepciones!$A$5:$A$2000,"&lt;="&amp;$A136),MAX(0,F136-F135)))</f>
        <v/>
      </c>
      <c r="H136" s="24" t="str">
        <f aca="false">IF($A136="","",MAX(0,F135+G136-F136))</f>
        <v/>
      </c>
      <c r="I136" s="24" t="str">
        <f aca="false">IF($A136="","",Stock_Diario!G136)</f>
        <v/>
      </c>
      <c r="J136" s="24" t="str">
        <f aca="false">IF($A136="","",IF(SUMIFS(Recepciones!$C$5:$C$2000,Recepciones!$B$5:$B$2000,Config!$A$25,Recepciones!$A$5:$A$2000,"&gt;"&amp;$A135,Recepciones!$A$5:$A$2000,"&lt;="&amp;$A136)&gt;0,SUMIFS(Recepciones!$C$5:$C$2000,Recepciones!$B$5:$B$2000,Config!$A$25,Recepciones!$A$5:$A$2000,"&gt;"&amp;$A135,Recepciones!$A$5:$A$2000,"&lt;="&amp;$A136),MAX(0,I136-I135)))</f>
        <v/>
      </c>
      <c r="K136" s="24" t="str">
        <f aca="false">IF($A136="","",MAX(0,I135+J136-I136))</f>
        <v/>
      </c>
      <c r="L136" s="24" t="str">
        <f aca="false">IF($A136="","",E136+H136+K136)</f>
        <v/>
      </c>
      <c r="M136" s="4" t="str">
        <f aca="false">IF($A136="","",IF(AND(D136+G136+J136&gt;0,SUMIFS(Recepciones!$C$5:$C$2000,Recepciones!$A$5:$A$2000,"&gt;"&amp;$A135,Recepciones!$A$5:$A$2000,"&lt;="&amp;$A136)=0),"Aumento de stock sin recepción registrada",IF(B136&gt;1,"Intervalo de "&amp;B136&amp;" días","")))</f>
        <v/>
      </c>
    </row>
    <row r="137" customFormat="false" ht="15" hidden="false" customHeight="false" outlineLevel="0" collapsed="false">
      <c r="A137" s="5" t="str">
        <f aca="false">IF(Stock_Diario!A137="","",Stock_Diario!A137)</f>
        <v/>
      </c>
      <c r="B137" s="4" t="str">
        <f aca="false">IF($A137="","",$A137-$A136)</f>
        <v/>
      </c>
      <c r="C137" s="24" t="str">
        <f aca="false">IF($A137="","",Stock_Diario!E137)</f>
        <v/>
      </c>
      <c r="D137" s="24" t="str">
        <f aca="false">IF($A137="","",IF(SUMIFS(Recepciones!$C$5:$C$2000,Recepciones!$B$5:$B$2000,Config!$A$23,Recepciones!$A$5:$A$2000,"&gt;"&amp;$A136,Recepciones!$A$5:$A$2000,"&lt;="&amp;$A137)&gt;0,SUMIFS(Recepciones!$C$5:$C$2000,Recepciones!$B$5:$B$2000,Config!$A$23,Recepciones!$A$5:$A$2000,"&gt;"&amp;$A136,Recepciones!$A$5:$A$2000,"&lt;="&amp;$A137),MAX(0,C137-C136)))</f>
        <v/>
      </c>
      <c r="E137" s="24" t="str">
        <f aca="false">IF($A137="","",MAX(0,C136+D137-C137))</f>
        <v/>
      </c>
      <c r="F137" s="24" t="str">
        <f aca="false">IF($A137="","",Stock_Diario!F137)</f>
        <v/>
      </c>
      <c r="G137" s="24" t="str">
        <f aca="false">IF($A137="","",IF(SUMIFS(Recepciones!$C$5:$C$2000,Recepciones!$B$5:$B$2000,Config!$A$24,Recepciones!$A$5:$A$2000,"&gt;"&amp;$A136,Recepciones!$A$5:$A$2000,"&lt;="&amp;$A137)&gt;0,SUMIFS(Recepciones!$C$5:$C$2000,Recepciones!$B$5:$B$2000,Config!$A$24,Recepciones!$A$5:$A$2000,"&gt;"&amp;$A136,Recepciones!$A$5:$A$2000,"&lt;="&amp;$A137),MAX(0,F137-F136)))</f>
        <v/>
      </c>
      <c r="H137" s="24" t="str">
        <f aca="false">IF($A137="","",MAX(0,F136+G137-F137))</f>
        <v/>
      </c>
      <c r="I137" s="24" t="str">
        <f aca="false">IF($A137="","",Stock_Diario!G137)</f>
        <v/>
      </c>
      <c r="J137" s="24" t="str">
        <f aca="false">IF($A137="","",IF(SUMIFS(Recepciones!$C$5:$C$2000,Recepciones!$B$5:$B$2000,Config!$A$25,Recepciones!$A$5:$A$2000,"&gt;"&amp;$A136,Recepciones!$A$5:$A$2000,"&lt;="&amp;$A137)&gt;0,SUMIFS(Recepciones!$C$5:$C$2000,Recepciones!$B$5:$B$2000,Config!$A$25,Recepciones!$A$5:$A$2000,"&gt;"&amp;$A136,Recepciones!$A$5:$A$2000,"&lt;="&amp;$A137),MAX(0,I137-I136)))</f>
        <v/>
      </c>
      <c r="K137" s="24" t="str">
        <f aca="false">IF($A137="","",MAX(0,I136+J137-I137))</f>
        <v/>
      </c>
      <c r="L137" s="24" t="str">
        <f aca="false">IF($A137="","",E137+H137+K137)</f>
        <v/>
      </c>
      <c r="M137" s="4" t="str">
        <f aca="false">IF($A137="","",IF(AND(D137+G137+J137&gt;0,SUMIFS(Recepciones!$C$5:$C$2000,Recepciones!$A$5:$A$2000,"&gt;"&amp;$A136,Recepciones!$A$5:$A$2000,"&lt;="&amp;$A137)=0),"Aumento de stock sin recepción registrada",IF(B137&gt;1,"Intervalo de "&amp;B137&amp;" días","")))</f>
        <v/>
      </c>
    </row>
    <row r="138" customFormat="false" ht="15" hidden="false" customHeight="false" outlineLevel="0" collapsed="false">
      <c r="A138" s="5" t="str">
        <f aca="false">IF(Stock_Diario!A138="","",Stock_Diario!A138)</f>
        <v/>
      </c>
      <c r="B138" s="4" t="str">
        <f aca="false">IF($A138="","",$A138-$A137)</f>
        <v/>
      </c>
      <c r="C138" s="24" t="str">
        <f aca="false">IF($A138="","",Stock_Diario!E138)</f>
        <v/>
      </c>
      <c r="D138" s="24" t="str">
        <f aca="false">IF($A138="","",IF(SUMIFS(Recepciones!$C$5:$C$2000,Recepciones!$B$5:$B$2000,Config!$A$23,Recepciones!$A$5:$A$2000,"&gt;"&amp;$A137,Recepciones!$A$5:$A$2000,"&lt;="&amp;$A138)&gt;0,SUMIFS(Recepciones!$C$5:$C$2000,Recepciones!$B$5:$B$2000,Config!$A$23,Recepciones!$A$5:$A$2000,"&gt;"&amp;$A137,Recepciones!$A$5:$A$2000,"&lt;="&amp;$A138),MAX(0,C138-C137)))</f>
        <v/>
      </c>
      <c r="E138" s="24" t="str">
        <f aca="false">IF($A138="","",MAX(0,C137+D138-C138))</f>
        <v/>
      </c>
      <c r="F138" s="24" t="str">
        <f aca="false">IF($A138="","",Stock_Diario!F138)</f>
        <v/>
      </c>
      <c r="G138" s="24" t="str">
        <f aca="false">IF($A138="","",IF(SUMIFS(Recepciones!$C$5:$C$2000,Recepciones!$B$5:$B$2000,Config!$A$24,Recepciones!$A$5:$A$2000,"&gt;"&amp;$A137,Recepciones!$A$5:$A$2000,"&lt;="&amp;$A138)&gt;0,SUMIFS(Recepciones!$C$5:$C$2000,Recepciones!$B$5:$B$2000,Config!$A$24,Recepciones!$A$5:$A$2000,"&gt;"&amp;$A137,Recepciones!$A$5:$A$2000,"&lt;="&amp;$A138),MAX(0,F138-F137)))</f>
        <v/>
      </c>
      <c r="H138" s="24" t="str">
        <f aca="false">IF($A138="","",MAX(0,F137+G138-F138))</f>
        <v/>
      </c>
      <c r="I138" s="24" t="str">
        <f aca="false">IF($A138="","",Stock_Diario!G138)</f>
        <v/>
      </c>
      <c r="J138" s="24" t="str">
        <f aca="false">IF($A138="","",IF(SUMIFS(Recepciones!$C$5:$C$2000,Recepciones!$B$5:$B$2000,Config!$A$25,Recepciones!$A$5:$A$2000,"&gt;"&amp;$A137,Recepciones!$A$5:$A$2000,"&lt;="&amp;$A138)&gt;0,SUMIFS(Recepciones!$C$5:$C$2000,Recepciones!$B$5:$B$2000,Config!$A$25,Recepciones!$A$5:$A$2000,"&gt;"&amp;$A137,Recepciones!$A$5:$A$2000,"&lt;="&amp;$A138),MAX(0,I138-I137)))</f>
        <v/>
      </c>
      <c r="K138" s="24" t="str">
        <f aca="false">IF($A138="","",MAX(0,I137+J138-I138))</f>
        <v/>
      </c>
      <c r="L138" s="24" t="str">
        <f aca="false">IF($A138="","",E138+H138+K138)</f>
        <v/>
      </c>
      <c r="M138" s="4" t="str">
        <f aca="false">IF($A138="","",IF(AND(D138+G138+J138&gt;0,SUMIFS(Recepciones!$C$5:$C$2000,Recepciones!$A$5:$A$2000,"&gt;"&amp;$A137,Recepciones!$A$5:$A$2000,"&lt;="&amp;$A138)=0),"Aumento de stock sin recepción registrada",IF(B138&gt;1,"Intervalo de "&amp;B138&amp;" días","")))</f>
        <v/>
      </c>
    </row>
    <row r="139" customFormat="false" ht="15" hidden="false" customHeight="false" outlineLevel="0" collapsed="false">
      <c r="A139" s="5" t="str">
        <f aca="false">IF(Stock_Diario!A139="","",Stock_Diario!A139)</f>
        <v/>
      </c>
      <c r="B139" s="4" t="str">
        <f aca="false">IF($A139="","",$A139-$A138)</f>
        <v/>
      </c>
      <c r="C139" s="24" t="str">
        <f aca="false">IF($A139="","",Stock_Diario!E139)</f>
        <v/>
      </c>
      <c r="D139" s="24" t="str">
        <f aca="false">IF($A139="","",IF(SUMIFS(Recepciones!$C$5:$C$2000,Recepciones!$B$5:$B$2000,Config!$A$23,Recepciones!$A$5:$A$2000,"&gt;"&amp;$A138,Recepciones!$A$5:$A$2000,"&lt;="&amp;$A139)&gt;0,SUMIFS(Recepciones!$C$5:$C$2000,Recepciones!$B$5:$B$2000,Config!$A$23,Recepciones!$A$5:$A$2000,"&gt;"&amp;$A138,Recepciones!$A$5:$A$2000,"&lt;="&amp;$A139),MAX(0,C139-C138)))</f>
        <v/>
      </c>
      <c r="E139" s="24" t="str">
        <f aca="false">IF($A139="","",MAX(0,C138+D139-C139))</f>
        <v/>
      </c>
      <c r="F139" s="24" t="str">
        <f aca="false">IF($A139="","",Stock_Diario!F139)</f>
        <v/>
      </c>
      <c r="G139" s="24" t="str">
        <f aca="false">IF($A139="","",IF(SUMIFS(Recepciones!$C$5:$C$2000,Recepciones!$B$5:$B$2000,Config!$A$24,Recepciones!$A$5:$A$2000,"&gt;"&amp;$A138,Recepciones!$A$5:$A$2000,"&lt;="&amp;$A139)&gt;0,SUMIFS(Recepciones!$C$5:$C$2000,Recepciones!$B$5:$B$2000,Config!$A$24,Recepciones!$A$5:$A$2000,"&gt;"&amp;$A138,Recepciones!$A$5:$A$2000,"&lt;="&amp;$A139),MAX(0,F139-F138)))</f>
        <v/>
      </c>
      <c r="H139" s="24" t="str">
        <f aca="false">IF($A139="","",MAX(0,F138+G139-F139))</f>
        <v/>
      </c>
      <c r="I139" s="24" t="str">
        <f aca="false">IF($A139="","",Stock_Diario!G139)</f>
        <v/>
      </c>
      <c r="J139" s="24" t="str">
        <f aca="false">IF($A139="","",IF(SUMIFS(Recepciones!$C$5:$C$2000,Recepciones!$B$5:$B$2000,Config!$A$25,Recepciones!$A$5:$A$2000,"&gt;"&amp;$A138,Recepciones!$A$5:$A$2000,"&lt;="&amp;$A139)&gt;0,SUMIFS(Recepciones!$C$5:$C$2000,Recepciones!$B$5:$B$2000,Config!$A$25,Recepciones!$A$5:$A$2000,"&gt;"&amp;$A138,Recepciones!$A$5:$A$2000,"&lt;="&amp;$A139),MAX(0,I139-I138)))</f>
        <v/>
      </c>
      <c r="K139" s="24" t="str">
        <f aca="false">IF($A139="","",MAX(0,I138+J139-I139))</f>
        <v/>
      </c>
      <c r="L139" s="24" t="str">
        <f aca="false">IF($A139="","",E139+H139+K139)</f>
        <v/>
      </c>
      <c r="M139" s="4" t="str">
        <f aca="false">IF($A139="","",IF(AND(D139+G139+J139&gt;0,SUMIFS(Recepciones!$C$5:$C$2000,Recepciones!$A$5:$A$2000,"&gt;"&amp;$A138,Recepciones!$A$5:$A$2000,"&lt;="&amp;$A139)=0),"Aumento de stock sin recepción registrada",IF(B139&gt;1,"Intervalo de "&amp;B139&amp;" días","")))</f>
        <v/>
      </c>
    </row>
    <row r="140" customFormat="false" ht="15" hidden="false" customHeight="false" outlineLevel="0" collapsed="false">
      <c r="A140" s="5" t="str">
        <f aca="false">IF(Stock_Diario!A140="","",Stock_Diario!A140)</f>
        <v/>
      </c>
      <c r="B140" s="4" t="str">
        <f aca="false">IF($A140="","",$A140-$A139)</f>
        <v/>
      </c>
      <c r="C140" s="24" t="str">
        <f aca="false">IF($A140="","",Stock_Diario!E140)</f>
        <v/>
      </c>
      <c r="D140" s="24" t="str">
        <f aca="false">IF($A140="","",IF(SUMIFS(Recepciones!$C$5:$C$2000,Recepciones!$B$5:$B$2000,Config!$A$23,Recepciones!$A$5:$A$2000,"&gt;"&amp;$A139,Recepciones!$A$5:$A$2000,"&lt;="&amp;$A140)&gt;0,SUMIFS(Recepciones!$C$5:$C$2000,Recepciones!$B$5:$B$2000,Config!$A$23,Recepciones!$A$5:$A$2000,"&gt;"&amp;$A139,Recepciones!$A$5:$A$2000,"&lt;="&amp;$A140),MAX(0,C140-C139)))</f>
        <v/>
      </c>
      <c r="E140" s="24" t="str">
        <f aca="false">IF($A140="","",MAX(0,C139+D140-C140))</f>
        <v/>
      </c>
      <c r="F140" s="24" t="str">
        <f aca="false">IF($A140="","",Stock_Diario!F140)</f>
        <v/>
      </c>
      <c r="G140" s="24" t="str">
        <f aca="false">IF($A140="","",IF(SUMIFS(Recepciones!$C$5:$C$2000,Recepciones!$B$5:$B$2000,Config!$A$24,Recepciones!$A$5:$A$2000,"&gt;"&amp;$A139,Recepciones!$A$5:$A$2000,"&lt;="&amp;$A140)&gt;0,SUMIFS(Recepciones!$C$5:$C$2000,Recepciones!$B$5:$B$2000,Config!$A$24,Recepciones!$A$5:$A$2000,"&gt;"&amp;$A139,Recepciones!$A$5:$A$2000,"&lt;="&amp;$A140),MAX(0,F140-F139)))</f>
        <v/>
      </c>
      <c r="H140" s="24" t="str">
        <f aca="false">IF($A140="","",MAX(0,F139+G140-F140))</f>
        <v/>
      </c>
      <c r="I140" s="24" t="str">
        <f aca="false">IF($A140="","",Stock_Diario!G140)</f>
        <v/>
      </c>
      <c r="J140" s="24" t="str">
        <f aca="false">IF($A140="","",IF(SUMIFS(Recepciones!$C$5:$C$2000,Recepciones!$B$5:$B$2000,Config!$A$25,Recepciones!$A$5:$A$2000,"&gt;"&amp;$A139,Recepciones!$A$5:$A$2000,"&lt;="&amp;$A140)&gt;0,SUMIFS(Recepciones!$C$5:$C$2000,Recepciones!$B$5:$B$2000,Config!$A$25,Recepciones!$A$5:$A$2000,"&gt;"&amp;$A139,Recepciones!$A$5:$A$2000,"&lt;="&amp;$A140),MAX(0,I140-I139)))</f>
        <v/>
      </c>
      <c r="K140" s="24" t="str">
        <f aca="false">IF($A140="","",MAX(0,I139+J140-I140))</f>
        <v/>
      </c>
      <c r="L140" s="24" t="str">
        <f aca="false">IF($A140="","",E140+H140+K140)</f>
        <v/>
      </c>
      <c r="M140" s="4" t="str">
        <f aca="false">IF($A140="","",IF(AND(D140+G140+J140&gt;0,SUMIFS(Recepciones!$C$5:$C$2000,Recepciones!$A$5:$A$2000,"&gt;"&amp;$A139,Recepciones!$A$5:$A$2000,"&lt;="&amp;$A140)=0),"Aumento de stock sin recepción registrada",IF(B140&gt;1,"Intervalo de "&amp;B140&amp;" días","")))</f>
        <v/>
      </c>
    </row>
    <row r="141" customFormat="false" ht="15" hidden="false" customHeight="false" outlineLevel="0" collapsed="false">
      <c r="A141" s="5" t="str">
        <f aca="false">IF(Stock_Diario!A141="","",Stock_Diario!A141)</f>
        <v/>
      </c>
      <c r="B141" s="4" t="str">
        <f aca="false">IF($A141="","",$A141-$A140)</f>
        <v/>
      </c>
      <c r="C141" s="24" t="str">
        <f aca="false">IF($A141="","",Stock_Diario!E141)</f>
        <v/>
      </c>
      <c r="D141" s="24" t="str">
        <f aca="false">IF($A141="","",IF(SUMIFS(Recepciones!$C$5:$C$2000,Recepciones!$B$5:$B$2000,Config!$A$23,Recepciones!$A$5:$A$2000,"&gt;"&amp;$A140,Recepciones!$A$5:$A$2000,"&lt;="&amp;$A141)&gt;0,SUMIFS(Recepciones!$C$5:$C$2000,Recepciones!$B$5:$B$2000,Config!$A$23,Recepciones!$A$5:$A$2000,"&gt;"&amp;$A140,Recepciones!$A$5:$A$2000,"&lt;="&amp;$A141),MAX(0,C141-C140)))</f>
        <v/>
      </c>
      <c r="E141" s="24" t="str">
        <f aca="false">IF($A141="","",MAX(0,C140+D141-C141))</f>
        <v/>
      </c>
      <c r="F141" s="24" t="str">
        <f aca="false">IF($A141="","",Stock_Diario!F141)</f>
        <v/>
      </c>
      <c r="G141" s="24" t="str">
        <f aca="false">IF($A141="","",IF(SUMIFS(Recepciones!$C$5:$C$2000,Recepciones!$B$5:$B$2000,Config!$A$24,Recepciones!$A$5:$A$2000,"&gt;"&amp;$A140,Recepciones!$A$5:$A$2000,"&lt;="&amp;$A141)&gt;0,SUMIFS(Recepciones!$C$5:$C$2000,Recepciones!$B$5:$B$2000,Config!$A$24,Recepciones!$A$5:$A$2000,"&gt;"&amp;$A140,Recepciones!$A$5:$A$2000,"&lt;="&amp;$A141),MAX(0,F141-F140)))</f>
        <v/>
      </c>
      <c r="H141" s="24" t="str">
        <f aca="false">IF($A141="","",MAX(0,F140+G141-F141))</f>
        <v/>
      </c>
      <c r="I141" s="24" t="str">
        <f aca="false">IF($A141="","",Stock_Diario!G141)</f>
        <v/>
      </c>
      <c r="J141" s="24" t="str">
        <f aca="false">IF($A141="","",IF(SUMIFS(Recepciones!$C$5:$C$2000,Recepciones!$B$5:$B$2000,Config!$A$25,Recepciones!$A$5:$A$2000,"&gt;"&amp;$A140,Recepciones!$A$5:$A$2000,"&lt;="&amp;$A141)&gt;0,SUMIFS(Recepciones!$C$5:$C$2000,Recepciones!$B$5:$B$2000,Config!$A$25,Recepciones!$A$5:$A$2000,"&gt;"&amp;$A140,Recepciones!$A$5:$A$2000,"&lt;="&amp;$A141),MAX(0,I141-I140)))</f>
        <v/>
      </c>
      <c r="K141" s="24" t="str">
        <f aca="false">IF($A141="","",MAX(0,I140+J141-I141))</f>
        <v/>
      </c>
      <c r="L141" s="24" t="str">
        <f aca="false">IF($A141="","",E141+H141+K141)</f>
        <v/>
      </c>
      <c r="M141" s="4" t="str">
        <f aca="false">IF($A141="","",IF(AND(D141+G141+J141&gt;0,SUMIFS(Recepciones!$C$5:$C$2000,Recepciones!$A$5:$A$2000,"&gt;"&amp;$A140,Recepciones!$A$5:$A$2000,"&lt;="&amp;$A141)=0),"Aumento de stock sin recepción registrada",IF(B141&gt;1,"Intervalo de "&amp;B141&amp;" días","")))</f>
        <v/>
      </c>
    </row>
    <row r="142" customFormat="false" ht="15" hidden="false" customHeight="false" outlineLevel="0" collapsed="false">
      <c r="A142" s="5" t="str">
        <f aca="false">IF(Stock_Diario!A142="","",Stock_Diario!A142)</f>
        <v/>
      </c>
      <c r="B142" s="4" t="str">
        <f aca="false">IF($A142="","",$A142-$A141)</f>
        <v/>
      </c>
      <c r="C142" s="24" t="str">
        <f aca="false">IF($A142="","",Stock_Diario!E142)</f>
        <v/>
      </c>
      <c r="D142" s="24" t="str">
        <f aca="false">IF($A142="","",IF(SUMIFS(Recepciones!$C$5:$C$2000,Recepciones!$B$5:$B$2000,Config!$A$23,Recepciones!$A$5:$A$2000,"&gt;"&amp;$A141,Recepciones!$A$5:$A$2000,"&lt;="&amp;$A142)&gt;0,SUMIFS(Recepciones!$C$5:$C$2000,Recepciones!$B$5:$B$2000,Config!$A$23,Recepciones!$A$5:$A$2000,"&gt;"&amp;$A141,Recepciones!$A$5:$A$2000,"&lt;="&amp;$A142),MAX(0,C142-C141)))</f>
        <v/>
      </c>
      <c r="E142" s="24" t="str">
        <f aca="false">IF($A142="","",MAX(0,C141+D142-C142))</f>
        <v/>
      </c>
      <c r="F142" s="24" t="str">
        <f aca="false">IF($A142="","",Stock_Diario!F142)</f>
        <v/>
      </c>
      <c r="G142" s="24" t="str">
        <f aca="false">IF($A142="","",IF(SUMIFS(Recepciones!$C$5:$C$2000,Recepciones!$B$5:$B$2000,Config!$A$24,Recepciones!$A$5:$A$2000,"&gt;"&amp;$A141,Recepciones!$A$5:$A$2000,"&lt;="&amp;$A142)&gt;0,SUMIFS(Recepciones!$C$5:$C$2000,Recepciones!$B$5:$B$2000,Config!$A$24,Recepciones!$A$5:$A$2000,"&gt;"&amp;$A141,Recepciones!$A$5:$A$2000,"&lt;="&amp;$A142),MAX(0,F142-F141)))</f>
        <v/>
      </c>
      <c r="H142" s="24" t="str">
        <f aca="false">IF($A142="","",MAX(0,F141+G142-F142))</f>
        <v/>
      </c>
      <c r="I142" s="24" t="str">
        <f aca="false">IF($A142="","",Stock_Diario!G142)</f>
        <v/>
      </c>
      <c r="J142" s="24" t="str">
        <f aca="false">IF($A142="","",IF(SUMIFS(Recepciones!$C$5:$C$2000,Recepciones!$B$5:$B$2000,Config!$A$25,Recepciones!$A$5:$A$2000,"&gt;"&amp;$A141,Recepciones!$A$5:$A$2000,"&lt;="&amp;$A142)&gt;0,SUMIFS(Recepciones!$C$5:$C$2000,Recepciones!$B$5:$B$2000,Config!$A$25,Recepciones!$A$5:$A$2000,"&gt;"&amp;$A141,Recepciones!$A$5:$A$2000,"&lt;="&amp;$A142),MAX(0,I142-I141)))</f>
        <v/>
      </c>
      <c r="K142" s="24" t="str">
        <f aca="false">IF($A142="","",MAX(0,I141+J142-I142))</f>
        <v/>
      </c>
      <c r="L142" s="24" t="str">
        <f aca="false">IF($A142="","",E142+H142+K142)</f>
        <v/>
      </c>
      <c r="M142" s="4" t="str">
        <f aca="false">IF($A142="","",IF(AND(D142+G142+J142&gt;0,SUMIFS(Recepciones!$C$5:$C$2000,Recepciones!$A$5:$A$2000,"&gt;"&amp;$A141,Recepciones!$A$5:$A$2000,"&lt;="&amp;$A142)=0),"Aumento de stock sin recepción registrada",IF(B142&gt;1,"Intervalo de "&amp;B142&amp;" días","")))</f>
        <v/>
      </c>
    </row>
    <row r="143" customFormat="false" ht="15" hidden="false" customHeight="false" outlineLevel="0" collapsed="false">
      <c r="A143" s="5" t="str">
        <f aca="false">IF(Stock_Diario!A143="","",Stock_Diario!A143)</f>
        <v/>
      </c>
      <c r="B143" s="4" t="str">
        <f aca="false">IF($A143="","",$A143-$A142)</f>
        <v/>
      </c>
      <c r="C143" s="24" t="str">
        <f aca="false">IF($A143="","",Stock_Diario!E143)</f>
        <v/>
      </c>
      <c r="D143" s="24" t="str">
        <f aca="false">IF($A143="","",IF(SUMIFS(Recepciones!$C$5:$C$2000,Recepciones!$B$5:$B$2000,Config!$A$23,Recepciones!$A$5:$A$2000,"&gt;"&amp;$A142,Recepciones!$A$5:$A$2000,"&lt;="&amp;$A143)&gt;0,SUMIFS(Recepciones!$C$5:$C$2000,Recepciones!$B$5:$B$2000,Config!$A$23,Recepciones!$A$5:$A$2000,"&gt;"&amp;$A142,Recepciones!$A$5:$A$2000,"&lt;="&amp;$A143),MAX(0,C143-C142)))</f>
        <v/>
      </c>
      <c r="E143" s="24" t="str">
        <f aca="false">IF($A143="","",MAX(0,C142+D143-C143))</f>
        <v/>
      </c>
      <c r="F143" s="24" t="str">
        <f aca="false">IF($A143="","",Stock_Diario!F143)</f>
        <v/>
      </c>
      <c r="G143" s="24" t="str">
        <f aca="false">IF($A143="","",IF(SUMIFS(Recepciones!$C$5:$C$2000,Recepciones!$B$5:$B$2000,Config!$A$24,Recepciones!$A$5:$A$2000,"&gt;"&amp;$A142,Recepciones!$A$5:$A$2000,"&lt;="&amp;$A143)&gt;0,SUMIFS(Recepciones!$C$5:$C$2000,Recepciones!$B$5:$B$2000,Config!$A$24,Recepciones!$A$5:$A$2000,"&gt;"&amp;$A142,Recepciones!$A$5:$A$2000,"&lt;="&amp;$A143),MAX(0,F143-F142)))</f>
        <v/>
      </c>
      <c r="H143" s="24" t="str">
        <f aca="false">IF($A143="","",MAX(0,F142+G143-F143))</f>
        <v/>
      </c>
      <c r="I143" s="24" t="str">
        <f aca="false">IF($A143="","",Stock_Diario!G143)</f>
        <v/>
      </c>
      <c r="J143" s="24" t="str">
        <f aca="false">IF($A143="","",IF(SUMIFS(Recepciones!$C$5:$C$2000,Recepciones!$B$5:$B$2000,Config!$A$25,Recepciones!$A$5:$A$2000,"&gt;"&amp;$A142,Recepciones!$A$5:$A$2000,"&lt;="&amp;$A143)&gt;0,SUMIFS(Recepciones!$C$5:$C$2000,Recepciones!$B$5:$B$2000,Config!$A$25,Recepciones!$A$5:$A$2000,"&gt;"&amp;$A142,Recepciones!$A$5:$A$2000,"&lt;="&amp;$A143),MAX(0,I143-I142)))</f>
        <v/>
      </c>
      <c r="K143" s="24" t="str">
        <f aca="false">IF($A143="","",MAX(0,I142+J143-I143))</f>
        <v/>
      </c>
      <c r="L143" s="24" t="str">
        <f aca="false">IF($A143="","",E143+H143+K143)</f>
        <v/>
      </c>
      <c r="M143" s="4" t="str">
        <f aca="false">IF($A143="","",IF(AND(D143+G143+J143&gt;0,SUMIFS(Recepciones!$C$5:$C$2000,Recepciones!$A$5:$A$2000,"&gt;"&amp;$A142,Recepciones!$A$5:$A$2000,"&lt;="&amp;$A143)=0),"Aumento de stock sin recepción registrada",IF(B143&gt;1,"Intervalo de "&amp;B143&amp;" días","")))</f>
        <v/>
      </c>
    </row>
    <row r="144" customFormat="false" ht="15" hidden="false" customHeight="false" outlineLevel="0" collapsed="false">
      <c r="A144" s="5" t="str">
        <f aca="false">IF(Stock_Diario!A144="","",Stock_Diario!A144)</f>
        <v/>
      </c>
      <c r="B144" s="4" t="str">
        <f aca="false">IF($A144="","",$A144-$A143)</f>
        <v/>
      </c>
      <c r="C144" s="24" t="str">
        <f aca="false">IF($A144="","",Stock_Diario!E144)</f>
        <v/>
      </c>
      <c r="D144" s="24" t="str">
        <f aca="false">IF($A144="","",IF(SUMIFS(Recepciones!$C$5:$C$2000,Recepciones!$B$5:$B$2000,Config!$A$23,Recepciones!$A$5:$A$2000,"&gt;"&amp;$A143,Recepciones!$A$5:$A$2000,"&lt;="&amp;$A144)&gt;0,SUMIFS(Recepciones!$C$5:$C$2000,Recepciones!$B$5:$B$2000,Config!$A$23,Recepciones!$A$5:$A$2000,"&gt;"&amp;$A143,Recepciones!$A$5:$A$2000,"&lt;="&amp;$A144),MAX(0,C144-C143)))</f>
        <v/>
      </c>
      <c r="E144" s="24" t="str">
        <f aca="false">IF($A144="","",MAX(0,C143+D144-C144))</f>
        <v/>
      </c>
      <c r="F144" s="24" t="str">
        <f aca="false">IF($A144="","",Stock_Diario!F144)</f>
        <v/>
      </c>
      <c r="G144" s="24" t="str">
        <f aca="false">IF($A144="","",IF(SUMIFS(Recepciones!$C$5:$C$2000,Recepciones!$B$5:$B$2000,Config!$A$24,Recepciones!$A$5:$A$2000,"&gt;"&amp;$A143,Recepciones!$A$5:$A$2000,"&lt;="&amp;$A144)&gt;0,SUMIFS(Recepciones!$C$5:$C$2000,Recepciones!$B$5:$B$2000,Config!$A$24,Recepciones!$A$5:$A$2000,"&gt;"&amp;$A143,Recepciones!$A$5:$A$2000,"&lt;="&amp;$A144),MAX(0,F144-F143)))</f>
        <v/>
      </c>
      <c r="H144" s="24" t="str">
        <f aca="false">IF($A144="","",MAX(0,F143+G144-F144))</f>
        <v/>
      </c>
      <c r="I144" s="24" t="str">
        <f aca="false">IF($A144="","",Stock_Diario!G144)</f>
        <v/>
      </c>
      <c r="J144" s="24" t="str">
        <f aca="false">IF($A144="","",IF(SUMIFS(Recepciones!$C$5:$C$2000,Recepciones!$B$5:$B$2000,Config!$A$25,Recepciones!$A$5:$A$2000,"&gt;"&amp;$A143,Recepciones!$A$5:$A$2000,"&lt;="&amp;$A144)&gt;0,SUMIFS(Recepciones!$C$5:$C$2000,Recepciones!$B$5:$B$2000,Config!$A$25,Recepciones!$A$5:$A$2000,"&gt;"&amp;$A143,Recepciones!$A$5:$A$2000,"&lt;="&amp;$A144),MAX(0,I144-I143)))</f>
        <v/>
      </c>
      <c r="K144" s="24" t="str">
        <f aca="false">IF($A144="","",MAX(0,I143+J144-I144))</f>
        <v/>
      </c>
      <c r="L144" s="24" t="str">
        <f aca="false">IF($A144="","",E144+H144+K144)</f>
        <v/>
      </c>
      <c r="M144" s="4" t="str">
        <f aca="false">IF($A144="","",IF(AND(D144+G144+J144&gt;0,SUMIFS(Recepciones!$C$5:$C$2000,Recepciones!$A$5:$A$2000,"&gt;"&amp;$A143,Recepciones!$A$5:$A$2000,"&lt;="&amp;$A144)=0),"Aumento de stock sin recepción registrada",IF(B144&gt;1,"Intervalo de "&amp;B144&amp;" días","")))</f>
        <v/>
      </c>
    </row>
    <row r="145" customFormat="false" ht="15" hidden="false" customHeight="false" outlineLevel="0" collapsed="false">
      <c r="A145" s="5" t="str">
        <f aca="false">IF(Stock_Diario!A145="","",Stock_Diario!A145)</f>
        <v/>
      </c>
      <c r="B145" s="4" t="str">
        <f aca="false">IF($A145="","",$A145-$A144)</f>
        <v/>
      </c>
      <c r="C145" s="24" t="str">
        <f aca="false">IF($A145="","",Stock_Diario!E145)</f>
        <v/>
      </c>
      <c r="D145" s="24" t="str">
        <f aca="false">IF($A145="","",IF(SUMIFS(Recepciones!$C$5:$C$2000,Recepciones!$B$5:$B$2000,Config!$A$23,Recepciones!$A$5:$A$2000,"&gt;"&amp;$A144,Recepciones!$A$5:$A$2000,"&lt;="&amp;$A145)&gt;0,SUMIFS(Recepciones!$C$5:$C$2000,Recepciones!$B$5:$B$2000,Config!$A$23,Recepciones!$A$5:$A$2000,"&gt;"&amp;$A144,Recepciones!$A$5:$A$2000,"&lt;="&amp;$A145),MAX(0,C145-C144)))</f>
        <v/>
      </c>
      <c r="E145" s="24" t="str">
        <f aca="false">IF($A145="","",MAX(0,C144+D145-C145))</f>
        <v/>
      </c>
      <c r="F145" s="24" t="str">
        <f aca="false">IF($A145="","",Stock_Diario!F145)</f>
        <v/>
      </c>
      <c r="G145" s="24" t="str">
        <f aca="false">IF($A145="","",IF(SUMIFS(Recepciones!$C$5:$C$2000,Recepciones!$B$5:$B$2000,Config!$A$24,Recepciones!$A$5:$A$2000,"&gt;"&amp;$A144,Recepciones!$A$5:$A$2000,"&lt;="&amp;$A145)&gt;0,SUMIFS(Recepciones!$C$5:$C$2000,Recepciones!$B$5:$B$2000,Config!$A$24,Recepciones!$A$5:$A$2000,"&gt;"&amp;$A144,Recepciones!$A$5:$A$2000,"&lt;="&amp;$A145),MAX(0,F145-F144)))</f>
        <v/>
      </c>
      <c r="H145" s="24" t="str">
        <f aca="false">IF($A145="","",MAX(0,F144+G145-F145))</f>
        <v/>
      </c>
      <c r="I145" s="24" t="str">
        <f aca="false">IF($A145="","",Stock_Diario!G145)</f>
        <v/>
      </c>
      <c r="J145" s="24" t="str">
        <f aca="false">IF($A145="","",IF(SUMIFS(Recepciones!$C$5:$C$2000,Recepciones!$B$5:$B$2000,Config!$A$25,Recepciones!$A$5:$A$2000,"&gt;"&amp;$A144,Recepciones!$A$5:$A$2000,"&lt;="&amp;$A145)&gt;0,SUMIFS(Recepciones!$C$5:$C$2000,Recepciones!$B$5:$B$2000,Config!$A$25,Recepciones!$A$5:$A$2000,"&gt;"&amp;$A144,Recepciones!$A$5:$A$2000,"&lt;="&amp;$A145),MAX(0,I145-I144)))</f>
        <v/>
      </c>
      <c r="K145" s="24" t="str">
        <f aca="false">IF($A145="","",MAX(0,I144+J145-I145))</f>
        <v/>
      </c>
      <c r="L145" s="24" t="str">
        <f aca="false">IF($A145="","",E145+H145+K145)</f>
        <v/>
      </c>
      <c r="M145" s="4" t="str">
        <f aca="false">IF($A145="","",IF(AND(D145+G145+J145&gt;0,SUMIFS(Recepciones!$C$5:$C$2000,Recepciones!$A$5:$A$2000,"&gt;"&amp;$A144,Recepciones!$A$5:$A$2000,"&lt;="&amp;$A145)=0),"Aumento de stock sin recepción registrada",IF(B145&gt;1,"Intervalo de "&amp;B145&amp;" días","")))</f>
        <v/>
      </c>
    </row>
    <row r="146" customFormat="false" ht="15" hidden="false" customHeight="false" outlineLevel="0" collapsed="false">
      <c r="A146" s="5" t="str">
        <f aca="false">IF(Stock_Diario!A146="","",Stock_Diario!A146)</f>
        <v/>
      </c>
      <c r="B146" s="4" t="str">
        <f aca="false">IF($A146="","",$A146-$A145)</f>
        <v/>
      </c>
      <c r="C146" s="24" t="str">
        <f aca="false">IF($A146="","",Stock_Diario!E146)</f>
        <v/>
      </c>
      <c r="D146" s="24" t="str">
        <f aca="false">IF($A146="","",IF(SUMIFS(Recepciones!$C$5:$C$2000,Recepciones!$B$5:$B$2000,Config!$A$23,Recepciones!$A$5:$A$2000,"&gt;"&amp;$A145,Recepciones!$A$5:$A$2000,"&lt;="&amp;$A146)&gt;0,SUMIFS(Recepciones!$C$5:$C$2000,Recepciones!$B$5:$B$2000,Config!$A$23,Recepciones!$A$5:$A$2000,"&gt;"&amp;$A145,Recepciones!$A$5:$A$2000,"&lt;="&amp;$A146),MAX(0,C146-C145)))</f>
        <v/>
      </c>
      <c r="E146" s="24" t="str">
        <f aca="false">IF($A146="","",MAX(0,C145+D146-C146))</f>
        <v/>
      </c>
      <c r="F146" s="24" t="str">
        <f aca="false">IF($A146="","",Stock_Diario!F146)</f>
        <v/>
      </c>
      <c r="G146" s="24" t="str">
        <f aca="false">IF($A146="","",IF(SUMIFS(Recepciones!$C$5:$C$2000,Recepciones!$B$5:$B$2000,Config!$A$24,Recepciones!$A$5:$A$2000,"&gt;"&amp;$A145,Recepciones!$A$5:$A$2000,"&lt;="&amp;$A146)&gt;0,SUMIFS(Recepciones!$C$5:$C$2000,Recepciones!$B$5:$B$2000,Config!$A$24,Recepciones!$A$5:$A$2000,"&gt;"&amp;$A145,Recepciones!$A$5:$A$2000,"&lt;="&amp;$A146),MAX(0,F146-F145)))</f>
        <v/>
      </c>
      <c r="H146" s="24" t="str">
        <f aca="false">IF($A146="","",MAX(0,F145+G146-F146))</f>
        <v/>
      </c>
      <c r="I146" s="24" t="str">
        <f aca="false">IF($A146="","",Stock_Diario!G146)</f>
        <v/>
      </c>
      <c r="J146" s="24" t="str">
        <f aca="false">IF($A146="","",IF(SUMIFS(Recepciones!$C$5:$C$2000,Recepciones!$B$5:$B$2000,Config!$A$25,Recepciones!$A$5:$A$2000,"&gt;"&amp;$A145,Recepciones!$A$5:$A$2000,"&lt;="&amp;$A146)&gt;0,SUMIFS(Recepciones!$C$5:$C$2000,Recepciones!$B$5:$B$2000,Config!$A$25,Recepciones!$A$5:$A$2000,"&gt;"&amp;$A145,Recepciones!$A$5:$A$2000,"&lt;="&amp;$A146),MAX(0,I146-I145)))</f>
        <v/>
      </c>
      <c r="K146" s="24" t="str">
        <f aca="false">IF($A146="","",MAX(0,I145+J146-I146))</f>
        <v/>
      </c>
      <c r="L146" s="24" t="str">
        <f aca="false">IF($A146="","",E146+H146+K146)</f>
        <v/>
      </c>
      <c r="M146" s="4" t="str">
        <f aca="false">IF($A146="","",IF(AND(D146+G146+J146&gt;0,SUMIFS(Recepciones!$C$5:$C$2000,Recepciones!$A$5:$A$2000,"&gt;"&amp;$A145,Recepciones!$A$5:$A$2000,"&lt;="&amp;$A146)=0),"Aumento de stock sin recepción registrada",IF(B146&gt;1,"Intervalo de "&amp;B146&amp;" días","")))</f>
        <v/>
      </c>
    </row>
    <row r="147" customFormat="false" ht="15" hidden="false" customHeight="false" outlineLevel="0" collapsed="false">
      <c r="A147" s="5" t="str">
        <f aca="false">IF(Stock_Diario!A147="","",Stock_Diario!A147)</f>
        <v/>
      </c>
      <c r="B147" s="4" t="str">
        <f aca="false">IF($A147="","",$A147-$A146)</f>
        <v/>
      </c>
      <c r="C147" s="24" t="str">
        <f aca="false">IF($A147="","",Stock_Diario!E147)</f>
        <v/>
      </c>
      <c r="D147" s="24" t="str">
        <f aca="false">IF($A147="","",IF(SUMIFS(Recepciones!$C$5:$C$2000,Recepciones!$B$5:$B$2000,Config!$A$23,Recepciones!$A$5:$A$2000,"&gt;"&amp;$A146,Recepciones!$A$5:$A$2000,"&lt;="&amp;$A147)&gt;0,SUMIFS(Recepciones!$C$5:$C$2000,Recepciones!$B$5:$B$2000,Config!$A$23,Recepciones!$A$5:$A$2000,"&gt;"&amp;$A146,Recepciones!$A$5:$A$2000,"&lt;="&amp;$A147),MAX(0,C147-C146)))</f>
        <v/>
      </c>
      <c r="E147" s="24" t="str">
        <f aca="false">IF($A147="","",MAX(0,C146+D147-C147))</f>
        <v/>
      </c>
      <c r="F147" s="24" t="str">
        <f aca="false">IF($A147="","",Stock_Diario!F147)</f>
        <v/>
      </c>
      <c r="G147" s="24" t="str">
        <f aca="false">IF($A147="","",IF(SUMIFS(Recepciones!$C$5:$C$2000,Recepciones!$B$5:$B$2000,Config!$A$24,Recepciones!$A$5:$A$2000,"&gt;"&amp;$A146,Recepciones!$A$5:$A$2000,"&lt;="&amp;$A147)&gt;0,SUMIFS(Recepciones!$C$5:$C$2000,Recepciones!$B$5:$B$2000,Config!$A$24,Recepciones!$A$5:$A$2000,"&gt;"&amp;$A146,Recepciones!$A$5:$A$2000,"&lt;="&amp;$A147),MAX(0,F147-F146)))</f>
        <v/>
      </c>
      <c r="H147" s="24" t="str">
        <f aca="false">IF($A147="","",MAX(0,F146+G147-F147))</f>
        <v/>
      </c>
      <c r="I147" s="24" t="str">
        <f aca="false">IF($A147="","",Stock_Diario!G147)</f>
        <v/>
      </c>
      <c r="J147" s="24" t="str">
        <f aca="false">IF($A147="","",IF(SUMIFS(Recepciones!$C$5:$C$2000,Recepciones!$B$5:$B$2000,Config!$A$25,Recepciones!$A$5:$A$2000,"&gt;"&amp;$A146,Recepciones!$A$5:$A$2000,"&lt;="&amp;$A147)&gt;0,SUMIFS(Recepciones!$C$5:$C$2000,Recepciones!$B$5:$B$2000,Config!$A$25,Recepciones!$A$5:$A$2000,"&gt;"&amp;$A146,Recepciones!$A$5:$A$2000,"&lt;="&amp;$A147),MAX(0,I147-I146)))</f>
        <v/>
      </c>
      <c r="K147" s="24" t="str">
        <f aca="false">IF($A147="","",MAX(0,I146+J147-I147))</f>
        <v/>
      </c>
      <c r="L147" s="24" t="str">
        <f aca="false">IF($A147="","",E147+H147+K147)</f>
        <v/>
      </c>
      <c r="M147" s="4" t="str">
        <f aca="false">IF($A147="","",IF(AND(D147+G147+J147&gt;0,SUMIFS(Recepciones!$C$5:$C$2000,Recepciones!$A$5:$A$2000,"&gt;"&amp;$A146,Recepciones!$A$5:$A$2000,"&lt;="&amp;$A147)=0),"Aumento de stock sin recepción registrada",IF(B147&gt;1,"Intervalo de "&amp;B147&amp;" días","")))</f>
        <v/>
      </c>
    </row>
    <row r="148" customFormat="false" ht="15" hidden="false" customHeight="false" outlineLevel="0" collapsed="false">
      <c r="A148" s="5" t="str">
        <f aca="false">IF(Stock_Diario!A148="","",Stock_Diario!A148)</f>
        <v/>
      </c>
      <c r="B148" s="4" t="str">
        <f aca="false">IF($A148="","",$A148-$A147)</f>
        <v/>
      </c>
      <c r="C148" s="24" t="str">
        <f aca="false">IF($A148="","",Stock_Diario!E148)</f>
        <v/>
      </c>
      <c r="D148" s="24" t="str">
        <f aca="false">IF($A148="","",IF(SUMIFS(Recepciones!$C$5:$C$2000,Recepciones!$B$5:$B$2000,Config!$A$23,Recepciones!$A$5:$A$2000,"&gt;"&amp;$A147,Recepciones!$A$5:$A$2000,"&lt;="&amp;$A148)&gt;0,SUMIFS(Recepciones!$C$5:$C$2000,Recepciones!$B$5:$B$2000,Config!$A$23,Recepciones!$A$5:$A$2000,"&gt;"&amp;$A147,Recepciones!$A$5:$A$2000,"&lt;="&amp;$A148),MAX(0,C148-C147)))</f>
        <v/>
      </c>
      <c r="E148" s="24" t="str">
        <f aca="false">IF($A148="","",MAX(0,C147+D148-C148))</f>
        <v/>
      </c>
      <c r="F148" s="24" t="str">
        <f aca="false">IF($A148="","",Stock_Diario!F148)</f>
        <v/>
      </c>
      <c r="G148" s="24" t="str">
        <f aca="false">IF($A148="","",IF(SUMIFS(Recepciones!$C$5:$C$2000,Recepciones!$B$5:$B$2000,Config!$A$24,Recepciones!$A$5:$A$2000,"&gt;"&amp;$A147,Recepciones!$A$5:$A$2000,"&lt;="&amp;$A148)&gt;0,SUMIFS(Recepciones!$C$5:$C$2000,Recepciones!$B$5:$B$2000,Config!$A$24,Recepciones!$A$5:$A$2000,"&gt;"&amp;$A147,Recepciones!$A$5:$A$2000,"&lt;="&amp;$A148),MAX(0,F148-F147)))</f>
        <v/>
      </c>
      <c r="H148" s="24" t="str">
        <f aca="false">IF($A148="","",MAX(0,F147+G148-F148))</f>
        <v/>
      </c>
      <c r="I148" s="24" t="str">
        <f aca="false">IF($A148="","",Stock_Diario!G148)</f>
        <v/>
      </c>
      <c r="J148" s="24" t="str">
        <f aca="false">IF($A148="","",IF(SUMIFS(Recepciones!$C$5:$C$2000,Recepciones!$B$5:$B$2000,Config!$A$25,Recepciones!$A$5:$A$2000,"&gt;"&amp;$A147,Recepciones!$A$5:$A$2000,"&lt;="&amp;$A148)&gt;0,SUMIFS(Recepciones!$C$5:$C$2000,Recepciones!$B$5:$B$2000,Config!$A$25,Recepciones!$A$5:$A$2000,"&gt;"&amp;$A147,Recepciones!$A$5:$A$2000,"&lt;="&amp;$A148),MAX(0,I148-I147)))</f>
        <v/>
      </c>
      <c r="K148" s="24" t="str">
        <f aca="false">IF($A148="","",MAX(0,I147+J148-I148))</f>
        <v/>
      </c>
      <c r="L148" s="24" t="str">
        <f aca="false">IF($A148="","",E148+H148+K148)</f>
        <v/>
      </c>
      <c r="M148" s="4" t="str">
        <f aca="false">IF($A148="","",IF(AND(D148+G148+J148&gt;0,SUMIFS(Recepciones!$C$5:$C$2000,Recepciones!$A$5:$A$2000,"&gt;"&amp;$A147,Recepciones!$A$5:$A$2000,"&lt;="&amp;$A148)=0),"Aumento de stock sin recepción registrada",IF(B148&gt;1,"Intervalo de "&amp;B148&amp;" días","")))</f>
        <v/>
      </c>
    </row>
    <row r="149" customFormat="false" ht="15" hidden="false" customHeight="false" outlineLevel="0" collapsed="false">
      <c r="A149" s="5" t="str">
        <f aca="false">IF(Stock_Diario!A149="","",Stock_Diario!A149)</f>
        <v/>
      </c>
      <c r="B149" s="4" t="str">
        <f aca="false">IF($A149="","",$A149-$A148)</f>
        <v/>
      </c>
      <c r="C149" s="24" t="str">
        <f aca="false">IF($A149="","",Stock_Diario!E149)</f>
        <v/>
      </c>
      <c r="D149" s="24" t="str">
        <f aca="false">IF($A149="","",IF(SUMIFS(Recepciones!$C$5:$C$2000,Recepciones!$B$5:$B$2000,Config!$A$23,Recepciones!$A$5:$A$2000,"&gt;"&amp;$A148,Recepciones!$A$5:$A$2000,"&lt;="&amp;$A149)&gt;0,SUMIFS(Recepciones!$C$5:$C$2000,Recepciones!$B$5:$B$2000,Config!$A$23,Recepciones!$A$5:$A$2000,"&gt;"&amp;$A148,Recepciones!$A$5:$A$2000,"&lt;="&amp;$A149),MAX(0,C149-C148)))</f>
        <v/>
      </c>
      <c r="E149" s="24" t="str">
        <f aca="false">IF($A149="","",MAX(0,C148+D149-C149))</f>
        <v/>
      </c>
      <c r="F149" s="24" t="str">
        <f aca="false">IF($A149="","",Stock_Diario!F149)</f>
        <v/>
      </c>
      <c r="G149" s="24" t="str">
        <f aca="false">IF($A149="","",IF(SUMIFS(Recepciones!$C$5:$C$2000,Recepciones!$B$5:$B$2000,Config!$A$24,Recepciones!$A$5:$A$2000,"&gt;"&amp;$A148,Recepciones!$A$5:$A$2000,"&lt;="&amp;$A149)&gt;0,SUMIFS(Recepciones!$C$5:$C$2000,Recepciones!$B$5:$B$2000,Config!$A$24,Recepciones!$A$5:$A$2000,"&gt;"&amp;$A148,Recepciones!$A$5:$A$2000,"&lt;="&amp;$A149),MAX(0,F149-F148)))</f>
        <v/>
      </c>
      <c r="H149" s="24" t="str">
        <f aca="false">IF($A149="","",MAX(0,F148+G149-F149))</f>
        <v/>
      </c>
      <c r="I149" s="24" t="str">
        <f aca="false">IF($A149="","",Stock_Diario!G149)</f>
        <v/>
      </c>
      <c r="J149" s="24" t="str">
        <f aca="false">IF($A149="","",IF(SUMIFS(Recepciones!$C$5:$C$2000,Recepciones!$B$5:$B$2000,Config!$A$25,Recepciones!$A$5:$A$2000,"&gt;"&amp;$A148,Recepciones!$A$5:$A$2000,"&lt;="&amp;$A149)&gt;0,SUMIFS(Recepciones!$C$5:$C$2000,Recepciones!$B$5:$B$2000,Config!$A$25,Recepciones!$A$5:$A$2000,"&gt;"&amp;$A148,Recepciones!$A$5:$A$2000,"&lt;="&amp;$A149),MAX(0,I149-I148)))</f>
        <v/>
      </c>
      <c r="K149" s="24" t="str">
        <f aca="false">IF($A149="","",MAX(0,I148+J149-I149))</f>
        <v/>
      </c>
      <c r="L149" s="24" t="str">
        <f aca="false">IF($A149="","",E149+H149+K149)</f>
        <v/>
      </c>
      <c r="M149" s="4" t="str">
        <f aca="false">IF($A149="","",IF(AND(D149+G149+J149&gt;0,SUMIFS(Recepciones!$C$5:$C$2000,Recepciones!$A$5:$A$2000,"&gt;"&amp;$A148,Recepciones!$A$5:$A$2000,"&lt;="&amp;$A149)=0),"Aumento de stock sin recepción registrada",IF(B149&gt;1,"Intervalo de "&amp;B149&amp;" días","")))</f>
        <v/>
      </c>
    </row>
    <row r="150" customFormat="false" ht="15" hidden="false" customHeight="false" outlineLevel="0" collapsed="false">
      <c r="A150" s="5" t="str">
        <f aca="false">IF(Stock_Diario!A150="","",Stock_Diario!A150)</f>
        <v/>
      </c>
      <c r="B150" s="4" t="str">
        <f aca="false">IF($A150="","",$A150-$A149)</f>
        <v/>
      </c>
      <c r="C150" s="24" t="str">
        <f aca="false">IF($A150="","",Stock_Diario!E150)</f>
        <v/>
      </c>
      <c r="D150" s="24" t="str">
        <f aca="false">IF($A150="","",IF(SUMIFS(Recepciones!$C$5:$C$2000,Recepciones!$B$5:$B$2000,Config!$A$23,Recepciones!$A$5:$A$2000,"&gt;"&amp;$A149,Recepciones!$A$5:$A$2000,"&lt;="&amp;$A150)&gt;0,SUMIFS(Recepciones!$C$5:$C$2000,Recepciones!$B$5:$B$2000,Config!$A$23,Recepciones!$A$5:$A$2000,"&gt;"&amp;$A149,Recepciones!$A$5:$A$2000,"&lt;="&amp;$A150),MAX(0,C150-C149)))</f>
        <v/>
      </c>
      <c r="E150" s="24" t="str">
        <f aca="false">IF($A150="","",MAX(0,C149+D150-C150))</f>
        <v/>
      </c>
      <c r="F150" s="24" t="str">
        <f aca="false">IF($A150="","",Stock_Diario!F150)</f>
        <v/>
      </c>
      <c r="G150" s="24" t="str">
        <f aca="false">IF($A150="","",IF(SUMIFS(Recepciones!$C$5:$C$2000,Recepciones!$B$5:$B$2000,Config!$A$24,Recepciones!$A$5:$A$2000,"&gt;"&amp;$A149,Recepciones!$A$5:$A$2000,"&lt;="&amp;$A150)&gt;0,SUMIFS(Recepciones!$C$5:$C$2000,Recepciones!$B$5:$B$2000,Config!$A$24,Recepciones!$A$5:$A$2000,"&gt;"&amp;$A149,Recepciones!$A$5:$A$2000,"&lt;="&amp;$A150),MAX(0,F150-F149)))</f>
        <v/>
      </c>
      <c r="H150" s="24" t="str">
        <f aca="false">IF($A150="","",MAX(0,F149+G150-F150))</f>
        <v/>
      </c>
      <c r="I150" s="24" t="str">
        <f aca="false">IF($A150="","",Stock_Diario!G150)</f>
        <v/>
      </c>
      <c r="J150" s="24" t="str">
        <f aca="false">IF($A150="","",IF(SUMIFS(Recepciones!$C$5:$C$2000,Recepciones!$B$5:$B$2000,Config!$A$25,Recepciones!$A$5:$A$2000,"&gt;"&amp;$A149,Recepciones!$A$5:$A$2000,"&lt;="&amp;$A150)&gt;0,SUMIFS(Recepciones!$C$5:$C$2000,Recepciones!$B$5:$B$2000,Config!$A$25,Recepciones!$A$5:$A$2000,"&gt;"&amp;$A149,Recepciones!$A$5:$A$2000,"&lt;="&amp;$A150),MAX(0,I150-I149)))</f>
        <v/>
      </c>
      <c r="K150" s="24" t="str">
        <f aca="false">IF($A150="","",MAX(0,I149+J150-I150))</f>
        <v/>
      </c>
      <c r="L150" s="24" t="str">
        <f aca="false">IF($A150="","",E150+H150+K150)</f>
        <v/>
      </c>
      <c r="M150" s="4" t="str">
        <f aca="false">IF($A150="","",IF(AND(D150+G150+J150&gt;0,SUMIFS(Recepciones!$C$5:$C$2000,Recepciones!$A$5:$A$2000,"&gt;"&amp;$A149,Recepciones!$A$5:$A$2000,"&lt;="&amp;$A150)=0),"Aumento de stock sin recepción registrada",IF(B150&gt;1,"Intervalo de "&amp;B150&amp;" días","")))</f>
        <v/>
      </c>
    </row>
    <row r="151" customFormat="false" ht="15" hidden="false" customHeight="false" outlineLevel="0" collapsed="false">
      <c r="A151" s="5" t="str">
        <f aca="false">IF(Stock_Diario!A151="","",Stock_Diario!A151)</f>
        <v/>
      </c>
      <c r="B151" s="4" t="str">
        <f aca="false">IF($A151="","",$A151-$A150)</f>
        <v/>
      </c>
      <c r="C151" s="24" t="str">
        <f aca="false">IF($A151="","",Stock_Diario!E151)</f>
        <v/>
      </c>
      <c r="D151" s="24" t="str">
        <f aca="false">IF($A151="","",IF(SUMIFS(Recepciones!$C$5:$C$2000,Recepciones!$B$5:$B$2000,Config!$A$23,Recepciones!$A$5:$A$2000,"&gt;"&amp;$A150,Recepciones!$A$5:$A$2000,"&lt;="&amp;$A151)&gt;0,SUMIFS(Recepciones!$C$5:$C$2000,Recepciones!$B$5:$B$2000,Config!$A$23,Recepciones!$A$5:$A$2000,"&gt;"&amp;$A150,Recepciones!$A$5:$A$2000,"&lt;="&amp;$A151),MAX(0,C151-C150)))</f>
        <v/>
      </c>
      <c r="E151" s="24" t="str">
        <f aca="false">IF($A151="","",MAX(0,C150+D151-C151))</f>
        <v/>
      </c>
      <c r="F151" s="24" t="str">
        <f aca="false">IF($A151="","",Stock_Diario!F151)</f>
        <v/>
      </c>
      <c r="G151" s="24" t="str">
        <f aca="false">IF($A151="","",IF(SUMIFS(Recepciones!$C$5:$C$2000,Recepciones!$B$5:$B$2000,Config!$A$24,Recepciones!$A$5:$A$2000,"&gt;"&amp;$A150,Recepciones!$A$5:$A$2000,"&lt;="&amp;$A151)&gt;0,SUMIFS(Recepciones!$C$5:$C$2000,Recepciones!$B$5:$B$2000,Config!$A$24,Recepciones!$A$5:$A$2000,"&gt;"&amp;$A150,Recepciones!$A$5:$A$2000,"&lt;="&amp;$A151),MAX(0,F151-F150)))</f>
        <v/>
      </c>
      <c r="H151" s="24" t="str">
        <f aca="false">IF($A151="","",MAX(0,F150+G151-F151))</f>
        <v/>
      </c>
      <c r="I151" s="24" t="str">
        <f aca="false">IF($A151="","",Stock_Diario!G151)</f>
        <v/>
      </c>
      <c r="J151" s="24" t="str">
        <f aca="false">IF($A151="","",IF(SUMIFS(Recepciones!$C$5:$C$2000,Recepciones!$B$5:$B$2000,Config!$A$25,Recepciones!$A$5:$A$2000,"&gt;"&amp;$A150,Recepciones!$A$5:$A$2000,"&lt;="&amp;$A151)&gt;0,SUMIFS(Recepciones!$C$5:$C$2000,Recepciones!$B$5:$B$2000,Config!$A$25,Recepciones!$A$5:$A$2000,"&gt;"&amp;$A150,Recepciones!$A$5:$A$2000,"&lt;="&amp;$A151),MAX(0,I151-I150)))</f>
        <v/>
      </c>
      <c r="K151" s="24" t="str">
        <f aca="false">IF($A151="","",MAX(0,I150+J151-I151))</f>
        <v/>
      </c>
      <c r="L151" s="24" t="str">
        <f aca="false">IF($A151="","",E151+H151+K151)</f>
        <v/>
      </c>
      <c r="M151" s="4" t="str">
        <f aca="false">IF($A151="","",IF(AND(D151+G151+J151&gt;0,SUMIFS(Recepciones!$C$5:$C$2000,Recepciones!$A$5:$A$2000,"&gt;"&amp;$A150,Recepciones!$A$5:$A$2000,"&lt;="&amp;$A151)=0),"Aumento de stock sin recepción registrada",IF(B151&gt;1,"Intervalo de "&amp;B151&amp;" días","")))</f>
        <v/>
      </c>
    </row>
    <row r="152" customFormat="false" ht="15" hidden="false" customHeight="false" outlineLevel="0" collapsed="false">
      <c r="A152" s="5" t="str">
        <f aca="false">IF(Stock_Diario!A152="","",Stock_Diario!A152)</f>
        <v/>
      </c>
      <c r="B152" s="4" t="str">
        <f aca="false">IF($A152="","",$A152-$A151)</f>
        <v/>
      </c>
      <c r="C152" s="24" t="str">
        <f aca="false">IF($A152="","",Stock_Diario!E152)</f>
        <v/>
      </c>
      <c r="D152" s="24" t="str">
        <f aca="false">IF($A152="","",IF(SUMIFS(Recepciones!$C$5:$C$2000,Recepciones!$B$5:$B$2000,Config!$A$23,Recepciones!$A$5:$A$2000,"&gt;"&amp;$A151,Recepciones!$A$5:$A$2000,"&lt;="&amp;$A152)&gt;0,SUMIFS(Recepciones!$C$5:$C$2000,Recepciones!$B$5:$B$2000,Config!$A$23,Recepciones!$A$5:$A$2000,"&gt;"&amp;$A151,Recepciones!$A$5:$A$2000,"&lt;="&amp;$A152),MAX(0,C152-C151)))</f>
        <v/>
      </c>
      <c r="E152" s="24" t="str">
        <f aca="false">IF($A152="","",MAX(0,C151+D152-C152))</f>
        <v/>
      </c>
      <c r="F152" s="24" t="str">
        <f aca="false">IF($A152="","",Stock_Diario!F152)</f>
        <v/>
      </c>
      <c r="G152" s="24" t="str">
        <f aca="false">IF($A152="","",IF(SUMIFS(Recepciones!$C$5:$C$2000,Recepciones!$B$5:$B$2000,Config!$A$24,Recepciones!$A$5:$A$2000,"&gt;"&amp;$A151,Recepciones!$A$5:$A$2000,"&lt;="&amp;$A152)&gt;0,SUMIFS(Recepciones!$C$5:$C$2000,Recepciones!$B$5:$B$2000,Config!$A$24,Recepciones!$A$5:$A$2000,"&gt;"&amp;$A151,Recepciones!$A$5:$A$2000,"&lt;="&amp;$A152),MAX(0,F152-F151)))</f>
        <v/>
      </c>
      <c r="H152" s="24" t="str">
        <f aca="false">IF($A152="","",MAX(0,F151+G152-F152))</f>
        <v/>
      </c>
      <c r="I152" s="24" t="str">
        <f aca="false">IF($A152="","",Stock_Diario!G152)</f>
        <v/>
      </c>
      <c r="J152" s="24" t="str">
        <f aca="false">IF($A152="","",IF(SUMIFS(Recepciones!$C$5:$C$2000,Recepciones!$B$5:$B$2000,Config!$A$25,Recepciones!$A$5:$A$2000,"&gt;"&amp;$A151,Recepciones!$A$5:$A$2000,"&lt;="&amp;$A152)&gt;0,SUMIFS(Recepciones!$C$5:$C$2000,Recepciones!$B$5:$B$2000,Config!$A$25,Recepciones!$A$5:$A$2000,"&gt;"&amp;$A151,Recepciones!$A$5:$A$2000,"&lt;="&amp;$A152),MAX(0,I152-I151)))</f>
        <v/>
      </c>
      <c r="K152" s="24" t="str">
        <f aca="false">IF($A152="","",MAX(0,I151+J152-I152))</f>
        <v/>
      </c>
      <c r="L152" s="24" t="str">
        <f aca="false">IF($A152="","",E152+H152+K152)</f>
        <v/>
      </c>
      <c r="M152" s="4" t="str">
        <f aca="false">IF($A152="","",IF(AND(D152+G152+J152&gt;0,SUMIFS(Recepciones!$C$5:$C$2000,Recepciones!$A$5:$A$2000,"&gt;"&amp;$A151,Recepciones!$A$5:$A$2000,"&lt;="&amp;$A152)=0),"Aumento de stock sin recepción registrada",IF(B152&gt;1,"Intervalo de "&amp;B152&amp;" días","")))</f>
        <v/>
      </c>
    </row>
    <row r="153" customFormat="false" ht="15" hidden="false" customHeight="false" outlineLevel="0" collapsed="false">
      <c r="A153" s="5" t="str">
        <f aca="false">IF(Stock_Diario!A153="","",Stock_Diario!A153)</f>
        <v/>
      </c>
      <c r="B153" s="4" t="str">
        <f aca="false">IF($A153="","",$A153-$A152)</f>
        <v/>
      </c>
      <c r="C153" s="24" t="str">
        <f aca="false">IF($A153="","",Stock_Diario!E153)</f>
        <v/>
      </c>
      <c r="D153" s="24" t="str">
        <f aca="false">IF($A153="","",IF(SUMIFS(Recepciones!$C$5:$C$2000,Recepciones!$B$5:$B$2000,Config!$A$23,Recepciones!$A$5:$A$2000,"&gt;"&amp;$A152,Recepciones!$A$5:$A$2000,"&lt;="&amp;$A153)&gt;0,SUMIFS(Recepciones!$C$5:$C$2000,Recepciones!$B$5:$B$2000,Config!$A$23,Recepciones!$A$5:$A$2000,"&gt;"&amp;$A152,Recepciones!$A$5:$A$2000,"&lt;="&amp;$A153),MAX(0,C153-C152)))</f>
        <v/>
      </c>
      <c r="E153" s="24" t="str">
        <f aca="false">IF($A153="","",MAX(0,C152+D153-C153))</f>
        <v/>
      </c>
      <c r="F153" s="24" t="str">
        <f aca="false">IF($A153="","",Stock_Diario!F153)</f>
        <v/>
      </c>
      <c r="G153" s="24" t="str">
        <f aca="false">IF($A153="","",IF(SUMIFS(Recepciones!$C$5:$C$2000,Recepciones!$B$5:$B$2000,Config!$A$24,Recepciones!$A$5:$A$2000,"&gt;"&amp;$A152,Recepciones!$A$5:$A$2000,"&lt;="&amp;$A153)&gt;0,SUMIFS(Recepciones!$C$5:$C$2000,Recepciones!$B$5:$B$2000,Config!$A$24,Recepciones!$A$5:$A$2000,"&gt;"&amp;$A152,Recepciones!$A$5:$A$2000,"&lt;="&amp;$A153),MAX(0,F153-F152)))</f>
        <v/>
      </c>
      <c r="H153" s="24" t="str">
        <f aca="false">IF($A153="","",MAX(0,F152+G153-F153))</f>
        <v/>
      </c>
      <c r="I153" s="24" t="str">
        <f aca="false">IF($A153="","",Stock_Diario!G153)</f>
        <v/>
      </c>
      <c r="J153" s="24" t="str">
        <f aca="false">IF($A153="","",IF(SUMIFS(Recepciones!$C$5:$C$2000,Recepciones!$B$5:$B$2000,Config!$A$25,Recepciones!$A$5:$A$2000,"&gt;"&amp;$A152,Recepciones!$A$5:$A$2000,"&lt;="&amp;$A153)&gt;0,SUMIFS(Recepciones!$C$5:$C$2000,Recepciones!$B$5:$B$2000,Config!$A$25,Recepciones!$A$5:$A$2000,"&gt;"&amp;$A152,Recepciones!$A$5:$A$2000,"&lt;="&amp;$A153),MAX(0,I153-I152)))</f>
        <v/>
      </c>
      <c r="K153" s="24" t="str">
        <f aca="false">IF($A153="","",MAX(0,I152+J153-I153))</f>
        <v/>
      </c>
      <c r="L153" s="24" t="str">
        <f aca="false">IF($A153="","",E153+H153+K153)</f>
        <v/>
      </c>
      <c r="M153" s="4" t="str">
        <f aca="false">IF($A153="","",IF(AND(D153+G153+J153&gt;0,SUMIFS(Recepciones!$C$5:$C$2000,Recepciones!$A$5:$A$2000,"&gt;"&amp;$A152,Recepciones!$A$5:$A$2000,"&lt;="&amp;$A153)=0),"Aumento de stock sin recepción registrada",IF(B153&gt;1,"Intervalo de "&amp;B153&amp;" días","")))</f>
        <v/>
      </c>
    </row>
    <row r="154" customFormat="false" ht="15" hidden="false" customHeight="false" outlineLevel="0" collapsed="false">
      <c r="A154" s="5" t="str">
        <f aca="false">IF(Stock_Diario!A154="","",Stock_Diario!A154)</f>
        <v/>
      </c>
      <c r="B154" s="4" t="str">
        <f aca="false">IF($A154="","",$A154-$A153)</f>
        <v/>
      </c>
      <c r="C154" s="24" t="str">
        <f aca="false">IF($A154="","",Stock_Diario!E154)</f>
        <v/>
      </c>
      <c r="D154" s="24" t="str">
        <f aca="false">IF($A154="","",IF(SUMIFS(Recepciones!$C$5:$C$2000,Recepciones!$B$5:$B$2000,Config!$A$23,Recepciones!$A$5:$A$2000,"&gt;"&amp;$A153,Recepciones!$A$5:$A$2000,"&lt;="&amp;$A154)&gt;0,SUMIFS(Recepciones!$C$5:$C$2000,Recepciones!$B$5:$B$2000,Config!$A$23,Recepciones!$A$5:$A$2000,"&gt;"&amp;$A153,Recepciones!$A$5:$A$2000,"&lt;="&amp;$A154),MAX(0,C154-C153)))</f>
        <v/>
      </c>
      <c r="E154" s="24" t="str">
        <f aca="false">IF($A154="","",MAX(0,C153+D154-C154))</f>
        <v/>
      </c>
      <c r="F154" s="24" t="str">
        <f aca="false">IF($A154="","",Stock_Diario!F154)</f>
        <v/>
      </c>
      <c r="G154" s="24" t="str">
        <f aca="false">IF($A154="","",IF(SUMIFS(Recepciones!$C$5:$C$2000,Recepciones!$B$5:$B$2000,Config!$A$24,Recepciones!$A$5:$A$2000,"&gt;"&amp;$A153,Recepciones!$A$5:$A$2000,"&lt;="&amp;$A154)&gt;0,SUMIFS(Recepciones!$C$5:$C$2000,Recepciones!$B$5:$B$2000,Config!$A$24,Recepciones!$A$5:$A$2000,"&gt;"&amp;$A153,Recepciones!$A$5:$A$2000,"&lt;="&amp;$A154),MAX(0,F154-F153)))</f>
        <v/>
      </c>
      <c r="H154" s="24" t="str">
        <f aca="false">IF($A154="","",MAX(0,F153+G154-F154))</f>
        <v/>
      </c>
      <c r="I154" s="24" t="str">
        <f aca="false">IF($A154="","",Stock_Diario!G154)</f>
        <v/>
      </c>
      <c r="J154" s="24" t="str">
        <f aca="false">IF($A154="","",IF(SUMIFS(Recepciones!$C$5:$C$2000,Recepciones!$B$5:$B$2000,Config!$A$25,Recepciones!$A$5:$A$2000,"&gt;"&amp;$A153,Recepciones!$A$5:$A$2000,"&lt;="&amp;$A154)&gt;0,SUMIFS(Recepciones!$C$5:$C$2000,Recepciones!$B$5:$B$2000,Config!$A$25,Recepciones!$A$5:$A$2000,"&gt;"&amp;$A153,Recepciones!$A$5:$A$2000,"&lt;="&amp;$A154),MAX(0,I154-I153)))</f>
        <v/>
      </c>
      <c r="K154" s="24" t="str">
        <f aca="false">IF($A154="","",MAX(0,I153+J154-I154))</f>
        <v/>
      </c>
      <c r="L154" s="24" t="str">
        <f aca="false">IF($A154="","",E154+H154+K154)</f>
        <v/>
      </c>
      <c r="M154" s="4" t="str">
        <f aca="false">IF($A154="","",IF(AND(D154+G154+J154&gt;0,SUMIFS(Recepciones!$C$5:$C$2000,Recepciones!$A$5:$A$2000,"&gt;"&amp;$A153,Recepciones!$A$5:$A$2000,"&lt;="&amp;$A154)=0),"Aumento de stock sin recepción registrada",IF(B154&gt;1,"Intervalo de "&amp;B154&amp;" días","")))</f>
        <v/>
      </c>
    </row>
    <row r="155" customFormat="false" ht="15" hidden="false" customHeight="false" outlineLevel="0" collapsed="false">
      <c r="A155" s="5" t="str">
        <f aca="false">IF(Stock_Diario!A155="","",Stock_Diario!A155)</f>
        <v/>
      </c>
      <c r="B155" s="4" t="str">
        <f aca="false">IF($A155="","",$A155-$A154)</f>
        <v/>
      </c>
      <c r="C155" s="24" t="str">
        <f aca="false">IF($A155="","",Stock_Diario!E155)</f>
        <v/>
      </c>
      <c r="D155" s="24" t="str">
        <f aca="false">IF($A155="","",IF(SUMIFS(Recepciones!$C$5:$C$2000,Recepciones!$B$5:$B$2000,Config!$A$23,Recepciones!$A$5:$A$2000,"&gt;"&amp;$A154,Recepciones!$A$5:$A$2000,"&lt;="&amp;$A155)&gt;0,SUMIFS(Recepciones!$C$5:$C$2000,Recepciones!$B$5:$B$2000,Config!$A$23,Recepciones!$A$5:$A$2000,"&gt;"&amp;$A154,Recepciones!$A$5:$A$2000,"&lt;="&amp;$A155),MAX(0,C155-C154)))</f>
        <v/>
      </c>
      <c r="E155" s="24" t="str">
        <f aca="false">IF($A155="","",MAX(0,C154+D155-C155))</f>
        <v/>
      </c>
      <c r="F155" s="24" t="str">
        <f aca="false">IF($A155="","",Stock_Diario!F155)</f>
        <v/>
      </c>
      <c r="G155" s="24" t="str">
        <f aca="false">IF($A155="","",IF(SUMIFS(Recepciones!$C$5:$C$2000,Recepciones!$B$5:$B$2000,Config!$A$24,Recepciones!$A$5:$A$2000,"&gt;"&amp;$A154,Recepciones!$A$5:$A$2000,"&lt;="&amp;$A155)&gt;0,SUMIFS(Recepciones!$C$5:$C$2000,Recepciones!$B$5:$B$2000,Config!$A$24,Recepciones!$A$5:$A$2000,"&gt;"&amp;$A154,Recepciones!$A$5:$A$2000,"&lt;="&amp;$A155),MAX(0,F155-F154)))</f>
        <v/>
      </c>
      <c r="H155" s="24" t="str">
        <f aca="false">IF($A155="","",MAX(0,F154+G155-F155))</f>
        <v/>
      </c>
      <c r="I155" s="24" t="str">
        <f aca="false">IF($A155="","",Stock_Diario!G155)</f>
        <v/>
      </c>
      <c r="J155" s="24" t="str">
        <f aca="false">IF($A155="","",IF(SUMIFS(Recepciones!$C$5:$C$2000,Recepciones!$B$5:$B$2000,Config!$A$25,Recepciones!$A$5:$A$2000,"&gt;"&amp;$A154,Recepciones!$A$5:$A$2000,"&lt;="&amp;$A155)&gt;0,SUMIFS(Recepciones!$C$5:$C$2000,Recepciones!$B$5:$B$2000,Config!$A$25,Recepciones!$A$5:$A$2000,"&gt;"&amp;$A154,Recepciones!$A$5:$A$2000,"&lt;="&amp;$A155),MAX(0,I155-I154)))</f>
        <v/>
      </c>
      <c r="K155" s="24" t="str">
        <f aca="false">IF($A155="","",MAX(0,I154+J155-I155))</f>
        <v/>
      </c>
      <c r="L155" s="24" t="str">
        <f aca="false">IF($A155="","",E155+H155+K155)</f>
        <v/>
      </c>
      <c r="M155" s="4" t="str">
        <f aca="false">IF($A155="","",IF(AND(D155+G155+J155&gt;0,SUMIFS(Recepciones!$C$5:$C$2000,Recepciones!$A$5:$A$2000,"&gt;"&amp;$A154,Recepciones!$A$5:$A$2000,"&lt;="&amp;$A155)=0),"Aumento de stock sin recepción registrada",IF(B155&gt;1,"Intervalo de "&amp;B155&amp;" días","")))</f>
        <v/>
      </c>
    </row>
    <row r="156" customFormat="false" ht="15" hidden="false" customHeight="false" outlineLevel="0" collapsed="false">
      <c r="A156" s="5" t="str">
        <f aca="false">IF(Stock_Diario!A156="","",Stock_Diario!A156)</f>
        <v/>
      </c>
      <c r="B156" s="4" t="str">
        <f aca="false">IF($A156="","",$A156-$A155)</f>
        <v/>
      </c>
      <c r="C156" s="24" t="str">
        <f aca="false">IF($A156="","",Stock_Diario!E156)</f>
        <v/>
      </c>
      <c r="D156" s="24" t="str">
        <f aca="false">IF($A156="","",IF(SUMIFS(Recepciones!$C$5:$C$2000,Recepciones!$B$5:$B$2000,Config!$A$23,Recepciones!$A$5:$A$2000,"&gt;"&amp;$A155,Recepciones!$A$5:$A$2000,"&lt;="&amp;$A156)&gt;0,SUMIFS(Recepciones!$C$5:$C$2000,Recepciones!$B$5:$B$2000,Config!$A$23,Recepciones!$A$5:$A$2000,"&gt;"&amp;$A155,Recepciones!$A$5:$A$2000,"&lt;="&amp;$A156),MAX(0,C156-C155)))</f>
        <v/>
      </c>
      <c r="E156" s="24" t="str">
        <f aca="false">IF($A156="","",MAX(0,C155+D156-C156))</f>
        <v/>
      </c>
      <c r="F156" s="24" t="str">
        <f aca="false">IF($A156="","",Stock_Diario!F156)</f>
        <v/>
      </c>
      <c r="G156" s="24" t="str">
        <f aca="false">IF($A156="","",IF(SUMIFS(Recepciones!$C$5:$C$2000,Recepciones!$B$5:$B$2000,Config!$A$24,Recepciones!$A$5:$A$2000,"&gt;"&amp;$A155,Recepciones!$A$5:$A$2000,"&lt;="&amp;$A156)&gt;0,SUMIFS(Recepciones!$C$5:$C$2000,Recepciones!$B$5:$B$2000,Config!$A$24,Recepciones!$A$5:$A$2000,"&gt;"&amp;$A155,Recepciones!$A$5:$A$2000,"&lt;="&amp;$A156),MAX(0,F156-F155)))</f>
        <v/>
      </c>
      <c r="H156" s="24" t="str">
        <f aca="false">IF($A156="","",MAX(0,F155+G156-F156))</f>
        <v/>
      </c>
      <c r="I156" s="24" t="str">
        <f aca="false">IF($A156="","",Stock_Diario!G156)</f>
        <v/>
      </c>
      <c r="J156" s="24" t="str">
        <f aca="false">IF($A156="","",IF(SUMIFS(Recepciones!$C$5:$C$2000,Recepciones!$B$5:$B$2000,Config!$A$25,Recepciones!$A$5:$A$2000,"&gt;"&amp;$A155,Recepciones!$A$5:$A$2000,"&lt;="&amp;$A156)&gt;0,SUMIFS(Recepciones!$C$5:$C$2000,Recepciones!$B$5:$B$2000,Config!$A$25,Recepciones!$A$5:$A$2000,"&gt;"&amp;$A155,Recepciones!$A$5:$A$2000,"&lt;="&amp;$A156),MAX(0,I156-I155)))</f>
        <v/>
      </c>
      <c r="K156" s="24" t="str">
        <f aca="false">IF($A156="","",MAX(0,I155+J156-I156))</f>
        <v/>
      </c>
      <c r="L156" s="24" t="str">
        <f aca="false">IF($A156="","",E156+H156+K156)</f>
        <v/>
      </c>
      <c r="M156" s="4" t="str">
        <f aca="false">IF($A156="","",IF(AND(D156+G156+J156&gt;0,SUMIFS(Recepciones!$C$5:$C$2000,Recepciones!$A$5:$A$2000,"&gt;"&amp;$A155,Recepciones!$A$5:$A$2000,"&lt;="&amp;$A156)=0),"Aumento de stock sin recepción registrada",IF(B156&gt;1,"Intervalo de "&amp;B156&amp;" días","")))</f>
        <v/>
      </c>
    </row>
    <row r="157" customFormat="false" ht="15" hidden="false" customHeight="false" outlineLevel="0" collapsed="false">
      <c r="A157" s="5" t="str">
        <f aca="false">IF(Stock_Diario!A157="","",Stock_Diario!A157)</f>
        <v/>
      </c>
      <c r="B157" s="4" t="str">
        <f aca="false">IF($A157="","",$A157-$A156)</f>
        <v/>
      </c>
      <c r="C157" s="24" t="str">
        <f aca="false">IF($A157="","",Stock_Diario!E157)</f>
        <v/>
      </c>
      <c r="D157" s="24" t="str">
        <f aca="false">IF($A157="","",IF(SUMIFS(Recepciones!$C$5:$C$2000,Recepciones!$B$5:$B$2000,Config!$A$23,Recepciones!$A$5:$A$2000,"&gt;"&amp;$A156,Recepciones!$A$5:$A$2000,"&lt;="&amp;$A157)&gt;0,SUMIFS(Recepciones!$C$5:$C$2000,Recepciones!$B$5:$B$2000,Config!$A$23,Recepciones!$A$5:$A$2000,"&gt;"&amp;$A156,Recepciones!$A$5:$A$2000,"&lt;="&amp;$A157),MAX(0,C157-C156)))</f>
        <v/>
      </c>
      <c r="E157" s="24" t="str">
        <f aca="false">IF($A157="","",MAX(0,C156+D157-C157))</f>
        <v/>
      </c>
      <c r="F157" s="24" t="str">
        <f aca="false">IF($A157="","",Stock_Diario!F157)</f>
        <v/>
      </c>
      <c r="G157" s="24" t="str">
        <f aca="false">IF($A157="","",IF(SUMIFS(Recepciones!$C$5:$C$2000,Recepciones!$B$5:$B$2000,Config!$A$24,Recepciones!$A$5:$A$2000,"&gt;"&amp;$A156,Recepciones!$A$5:$A$2000,"&lt;="&amp;$A157)&gt;0,SUMIFS(Recepciones!$C$5:$C$2000,Recepciones!$B$5:$B$2000,Config!$A$24,Recepciones!$A$5:$A$2000,"&gt;"&amp;$A156,Recepciones!$A$5:$A$2000,"&lt;="&amp;$A157),MAX(0,F157-F156)))</f>
        <v/>
      </c>
      <c r="H157" s="24" t="str">
        <f aca="false">IF($A157="","",MAX(0,F156+G157-F157))</f>
        <v/>
      </c>
      <c r="I157" s="24" t="str">
        <f aca="false">IF($A157="","",Stock_Diario!G157)</f>
        <v/>
      </c>
      <c r="J157" s="24" t="str">
        <f aca="false">IF($A157="","",IF(SUMIFS(Recepciones!$C$5:$C$2000,Recepciones!$B$5:$B$2000,Config!$A$25,Recepciones!$A$5:$A$2000,"&gt;"&amp;$A156,Recepciones!$A$5:$A$2000,"&lt;="&amp;$A157)&gt;0,SUMIFS(Recepciones!$C$5:$C$2000,Recepciones!$B$5:$B$2000,Config!$A$25,Recepciones!$A$5:$A$2000,"&gt;"&amp;$A156,Recepciones!$A$5:$A$2000,"&lt;="&amp;$A157),MAX(0,I157-I156)))</f>
        <v/>
      </c>
      <c r="K157" s="24" t="str">
        <f aca="false">IF($A157="","",MAX(0,I156+J157-I157))</f>
        <v/>
      </c>
      <c r="L157" s="24" t="str">
        <f aca="false">IF($A157="","",E157+H157+K157)</f>
        <v/>
      </c>
      <c r="M157" s="4" t="str">
        <f aca="false">IF($A157="","",IF(AND(D157+G157+J157&gt;0,SUMIFS(Recepciones!$C$5:$C$2000,Recepciones!$A$5:$A$2000,"&gt;"&amp;$A156,Recepciones!$A$5:$A$2000,"&lt;="&amp;$A157)=0),"Aumento de stock sin recepción registrada",IF(B157&gt;1,"Intervalo de "&amp;B157&amp;" días","")))</f>
        <v/>
      </c>
    </row>
    <row r="158" customFormat="false" ht="15" hidden="false" customHeight="false" outlineLevel="0" collapsed="false">
      <c r="A158" s="5" t="str">
        <f aca="false">IF(Stock_Diario!A158="","",Stock_Diario!A158)</f>
        <v/>
      </c>
      <c r="B158" s="4" t="str">
        <f aca="false">IF($A158="","",$A158-$A157)</f>
        <v/>
      </c>
      <c r="C158" s="24" t="str">
        <f aca="false">IF($A158="","",Stock_Diario!E158)</f>
        <v/>
      </c>
      <c r="D158" s="24" t="str">
        <f aca="false">IF($A158="","",IF(SUMIFS(Recepciones!$C$5:$C$2000,Recepciones!$B$5:$B$2000,Config!$A$23,Recepciones!$A$5:$A$2000,"&gt;"&amp;$A157,Recepciones!$A$5:$A$2000,"&lt;="&amp;$A158)&gt;0,SUMIFS(Recepciones!$C$5:$C$2000,Recepciones!$B$5:$B$2000,Config!$A$23,Recepciones!$A$5:$A$2000,"&gt;"&amp;$A157,Recepciones!$A$5:$A$2000,"&lt;="&amp;$A158),MAX(0,C158-C157)))</f>
        <v/>
      </c>
      <c r="E158" s="24" t="str">
        <f aca="false">IF($A158="","",MAX(0,C157+D158-C158))</f>
        <v/>
      </c>
      <c r="F158" s="24" t="str">
        <f aca="false">IF($A158="","",Stock_Diario!F158)</f>
        <v/>
      </c>
      <c r="G158" s="24" t="str">
        <f aca="false">IF($A158="","",IF(SUMIFS(Recepciones!$C$5:$C$2000,Recepciones!$B$5:$B$2000,Config!$A$24,Recepciones!$A$5:$A$2000,"&gt;"&amp;$A157,Recepciones!$A$5:$A$2000,"&lt;="&amp;$A158)&gt;0,SUMIFS(Recepciones!$C$5:$C$2000,Recepciones!$B$5:$B$2000,Config!$A$24,Recepciones!$A$5:$A$2000,"&gt;"&amp;$A157,Recepciones!$A$5:$A$2000,"&lt;="&amp;$A158),MAX(0,F158-F157)))</f>
        <v/>
      </c>
      <c r="H158" s="24" t="str">
        <f aca="false">IF($A158="","",MAX(0,F157+G158-F158))</f>
        <v/>
      </c>
      <c r="I158" s="24" t="str">
        <f aca="false">IF($A158="","",Stock_Diario!G158)</f>
        <v/>
      </c>
      <c r="J158" s="24" t="str">
        <f aca="false">IF($A158="","",IF(SUMIFS(Recepciones!$C$5:$C$2000,Recepciones!$B$5:$B$2000,Config!$A$25,Recepciones!$A$5:$A$2000,"&gt;"&amp;$A157,Recepciones!$A$5:$A$2000,"&lt;="&amp;$A158)&gt;0,SUMIFS(Recepciones!$C$5:$C$2000,Recepciones!$B$5:$B$2000,Config!$A$25,Recepciones!$A$5:$A$2000,"&gt;"&amp;$A157,Recepciones!$A$5:$A$2000,"&lt;="&amp;$A158),MAX(0,I158-I157)))</f>
        <v/>
      </c>
      <c r="K158" s="24" t="str">
        <f aca="false">IF($A158="","",MAX(0,I157+J158-I158))</f>
        <v/>
      </c>
      <c r="L158" s="24" t="str">
        <f aca="false">IF($A158="","",E158+H158+K158)</f>
        <v/>
      </c>
      <c r="M158" s="4" t="str">
        <f aca="false">IF($A158="","",IF(AND(D158+G158+J158&gt;0,SUMIFS(Recepciones!$C$5:$C$2000,Recepciones!$A$5:$A$2000,"&gt;"&amp;$A157,Recepciones!$A$5:$A$2000,"&lt;="&amp;$A158)=0),"Aumento de stock sin recepción registrada",IF(B158&gt;1,"Intervalo de "&amp;B158&amp;" días","")))</f>
        <v/>
      </c>
    </row>
    <row r="159" customFormat="false" ht="15" hidden="false" customHeight="false" outlineLevel="0" collapsed="false">
      <c r="A159" s="5" t="str">
        <f aca="false">IF(Stock_Diario!A159="","",Stock_Diario!A159)</f>
        <v/>
      </c>
      <c r="B159" s="4" t="str">
        <f aca="false">IF($A159="","",$A159-$A158)</f>
        <v/>
      </c>
      <c r="C159" s="24" t="str">
        <f aca="false">IF($A159="","",Stock_Diario!E159)</f>
        <v/>
      </c>
      <c r="D159" s="24" t="str">
        <f aca="false">IF($A159="","",IF(SUMIFS(Recepciones!$C$5:$C$2000,Recepciones!$B$5:$B$2000,Config!$A$23,Recepciones!$A$5:$A$2000,"&gt;"&amp;$A158,Recepciones!$A$5:$A$2000,"&lt;="&amp;$A159)&gt;0,SUMIFS(Recepciones!$C$5:$C$2000,Recepciones!$B$5:$B$2000,Config!$A$23,Recepciones!$A$5:$A$2000,"&gt;"&amp;$A158,Recepciones!$A$5:$A$2000,"&lt;="&amp;$A159),MAX(0,C159-C158)))</f>
        <v/>
      </c>
      <c r="E159" s="24" t="str">
        <f aca="false">IF($A159="","",MAX(0,C158+D159-C159))</f>
        <v/>
      </c>
      <c r="F159" s="24" t="str">
        <f aca="false">IF($A159="","",Stock_Diario!F159)</f>
        <v/>
      </c>
      <c r="G159" s="24" t="str">
        <f aca="false">IF($A159="","",IF(SUMIFS(Recepciones!$C$5:$C$2000,Recepciones!$B$5:$B$2000,Config!$A$24,Recepciones!$A$5:$A$2000,"&gt;"&amp;$A158,Recepciones!$A$5:$A$2000,"&lt;="&amp;$A159)&gt;0,SUMIFS(Recepciones!$C$5:$C$2000,Recepciones!$B$5:$B$2000,Config!$A$24,Recepciones!$A$5:$A$2000,"&gt;"&amp;$A158,Recepciones!$A$5:$A$2000,"&lt;="&amp;$A159),MAX(0,F159-F158)))</f>
        <v/>
      </c>
      <c r="H159" s="24" t="str">
        <f aca="false">IF($A159="","",MAX(0,F158+G159-F159))</f>
        <v/>
      </c>
      <c r="I159" s="24" t="str">
        <f aca="false">IF($A159="","",Stock_Diario!G159)</f>
        <v/>
      </c>
      <c r="J159" s="24" t="str">
        <f aca="false">IF($A159="","",IF(SUMIFS(Recepciones!$C$5:$C$2000,Recepciones!$B$5:$B$2000,Config!$A$25,Recepciones!$A$5:$A$2000,"&gt;"&amp;$A158,Recepciones!$A$5:$A$2000,"&lt;="&amp;$A159)&gt;0,SUMIFS(Recepciones!$C$5:$C$2000,Recepciones!$B$5:$B$2000,Config!$A$25,Recepciones!$A$5:$A$2000,"&gt;"&amp;$A158,Recepciones!$A$5:$A$2000,"&lt;="&amp;$A159),MAX(0,I159-I158)))</f>
        <v/>
      </c>
      <c r="K159" s="24" t="str">
        <f aca="false">IF($A159="","",MAX(0,I158+J159-I159))</f>
        <v/>
      </c>
      <c r="L159" s="24" t="str">
        <f aca="false">IF($A159="","",E159+H159+K159)</f>
        <v/>
      </c>
      <c r="M159" s="4" t="str">
        <f aca="false">IF($A159="","",IF(AND(D159+G159+J159&gt;0,SUMIFS(Recepciones!$C$5:$C$2000,Recepciones!$A$5:$A$2000,"&gt;"&amp;$A158,Recepciones!$A$5:$A$2000,"&lt;="&amp;$A159)=0),"Aumento de stock sin recepción registrada",IF(B159&gt;1,"Intervalo de "&amp;B159&amp;" días","")))</f>
        <v/>
      </c>
    </row>
    <row r="160" customFormat="false" ht="15" hidden="false" customHeight="false" outlineLevel="0" collapsed="false">
      <c r="A160" s="5" t="str">
        <f aca="false">IF(Stock_Diario!A160="","",Stock_Diario!A160)</f>
        <v/>
      </c>
      <c r="B160" s="4" t="str">
        <f aca="false">IF($A160="","",$A160-$A159)</f>
        <v/>
      </c>
      <c r="C160" s="24" t="str">
        <f aca="false">IF($A160="","",Stock_Diario!E160)</f>
        <v/>
      </c>
      <c r="D160" s="24" t="str">
        <f aca="false">IF($A160="","",IF(SUMIFS(Recepciones!$C$5:$C$2000,Recepciones!$B$5:$B$2000,Config!$A$23,Recepciones!$A$5:$A$2000,"&gt;"&amp;$A159,Recepciones!$A$5:$A$2000,"&lt;="&amp;$A160)&gt;0,SUMIFS(Recepciones!$C$5:$C$2000,Recepciones!$B$5:$B$2000,Config!$A$23,Recepciones!$A$5:$A$2000,"&gt;"&amp;$A159,Recepciones!$A$5:$A$2000,"&lt;="&amp;$A160),MAX(0,C160-C159)))</f>
        <v/>
      </c>
      <c r="E160" s="24" t="str">
        <f aca="false">IF($A160="","",MAX(0,C159+D160-C160))</f>
        <v/>
      </c>
      <c r="F160" s="24" t="str">
        <f aca="false">IF($A160="","",Stock_Diario!F160)</f>
        <v/>
      </c>
      <c r="G160" s="24" t="str">
        <f aca="false">IF($A160="","",IF(SUMIFS(Recepciones!$C$5:$C$2000,Recepciones!$B$5:$B$2000,Config!$A$24,Recepciones!$A$5:$A$2000,"&gt;"&amp;$A159,Recepciones!$A$5:$A$2000,"&lt;="&amp;$A160)&gt;0,SUMIFS(Recepciones!$C$5:$C$2000,Recepciones!$B$5:$B$2000,Config!$A$24,Recepciones!$A$5:$A$2000,"&gt;"&amp;$A159,Recepciones!$A$5:$A$2000,"&lt;="&amp;$A160),MAX(0,F160-F159)))</f>
        <v/>
      </c>
      <c r="H160" s="24" t="str">
        <f aca="false">IF($A160="","",MAX(0,F159+G160-F160))</f>
        <v/>
      </c>
      <c r="I160" s="24" t="str">
        <f aca="false">IF($A160="","",Stock_Diario!G160)</f>
        <v/>
      </c>
      <c r="J160" s="24" t="str">
        <f aca="false">IF($A160="","",IF(SUMIFS(Recepciones!$C$5:$C$2000,Recepciones!$B$5:$B$2000,Config!$A$25,Recepciones!$A$5:$A$2000,"&gt;"&amp;$A159,Recepciones!$A$5:$A$2000,"&lt;="&amp;$A160)&gt;0,SUMIFS(Recepciones!$C$5:$C$2000,Recepciones!$B$5:$B$2000,Config!$A$25,Recepciones!$A$5:$A$2000,"&gt;"&amp;$A159,Recepciones!$A$5:$A$2000,"&lt;="&amp;$A160),MAX(0,I160-I159)))</f>
        <v/>
      </c>
      <c r="K160" s="24" t="str">
        <f aca="false">IF($A160="","",MAX(0,I159+J160-I160))</f>
        <v/>
      </c>
      <c r="L160" s="24" t="str">
        <f aca="false">IF($A160="","",E160+H160+K160)</f>
        <v/>
      </c>
      <c r="M160" s="4" t="str">
        <f aca="false">IF($A160="","",IF(AND(D160+G160+J160&gt;0,SUMIFS(Recepciones!$C$5:$C$2000,Recepciones!$A$5:$A$2000,"&gt;"&amp;$A159,Recepciones!$A$5:$A$2000,"&lt;="&amp;$A160)=0),"Aumento de stock sin recepción registrada",IF(B160&gt;1,"Intervalo de "&amp;B160&amp;" días","")))</f>
        <v/>
      </c>
    </row>
    <row r="161" customFormat="false" ht="15" hidden="false" customHeight="false" outlineLevel="0" collapsed="false">
      <c r="A161" s="5" t="str">
        <f aca="false">IF(Stock_Diario!A161="","",Stock_Diario!A161)</f>
        <v/>
      </c>
      <c r="B161" s="4" t="str">
        <f aca="false">IF($A161="","",$A161-$A160)</f>
        <v/>
      </c>
      <c r="C161" s="24" t="str">
        <f aca="false">IF($A161="","",Stock_Diario!E161)</f>
        <v/>
      </c>
      <c r="D161" s="24" t="str">
        <f aca="false">IF($A161="","",IF(SUMIFS(Recepciones!$C$5:$C$2000,Recepciones!$B$5:$B$2000,Config!$A$23,Recepciones!$A$5:$A$2000,"&gt;"&amp;$A160,Recepciones!$A$5:$A$2000,"&lt;="&amp;$A161)&gt;0,SUMIFS(Recepciones!$C$5:$C$2000,Recepciones!$B$5:$B$2000,Config!$A$23,Recepciones!$A$5:$A$2000,"&gt;"&amp;$A160,Recepciones!$A$5:$A$2000,"&lt;="&amp;$A161),MAX(0,C161-C160)))</f>
        <v/>
      </c>
      <c r="E161" s="24" t="str">
        <f aca="false">IF($A161="","",MAX(0,C160+D161-C161))</f>
        <v/>
      </c>
      <c r="F161" s="24" t="str">
        <f aca="false">IF($A161="","",Stock_Diario!F161)</f>
        <v/>
      </c>
      <c r="G161" s="24" t="str">
        <f aca="false">IF($A161="","",IF(SUMIFS(Recepciones!$C$5:$C$2000,Recepciones!$B$5:$B$2000,Config!$A$24,Recepciones!$A$5:$A$2000,"&gt;"&amp;$A160,Recepciones!$A$5:$A$2000,"&lt;="&amp;$A161)&gt;0,SUMIFS(Recepciones!$C$5:$C$2000,Recepciones!$B$5:$B$2000,Config!$A$24,Recepciones!$A$5:$A$2000,"&gt;"&amp;$A160,Recepciones!$A$5:$A$2000,"&lt;="&amp;$A161),MAX(0,F161-F160)))</f>
        <v/>
      </c>
      <c r="H161" s="24" t="str">
        <f aca="false">IF($A161="","",MAX(0,F160+G161-F161))</f>
        <v/>
      </c>
      <c r="I161" s="24" t="str">
        <f aca="false">IF($A161="","",Stock_Diario!G161)</f>
        <v/>
      </c>
      <c r="J161" s="24" t="str">
        <f aca="false">IF($A161="","",IF(SUMIFS(Recepciones!$C$5:$C$2000,Recepciones!$B$5:$B$2000,Config!$A$25,Recepciones!$A$5:$A$2000,"&gt;"&amp;$A160,Recepciones!$A$5:$A$2000,"&lt;="&amp;$A161)&gt;0,SUMIFS(Recepciones!$C$5:$C$2000,Recepciones!$B$5:$B$2000,Config!$A$25,Recepciones!$A$5:$A$2000,"&gt;"&amp;$A160,Recepciones!$A$5:$A$2000,"&lt;="&amp;$A161),MAX(0,I161-I160)))</f>
        <v/>
      </c>
      <c r="K161" s="24" t="str">
        <f aca="false">IF($A161="","",MAX(0,I160+J161-I161))</f>
        <v/>
      </c>
      <c r="L161" s="24" t="str">
        <f aca="false">IF($A161="","",E161+H161+K161)</f>
        <v/>
      </c>
      <c r="M161" s="4" t="str">
        <f aca="false">IF($A161="","",IF(AND(D161+G161+J161&gt;0,SUMIFS(Recepciones!$C$5:$C$2000,Recepciones!$A$5:$A$2000,"&gt;"&amp;$A160,Recepciones!$A$5:$A$2000,"&lt;="&amp;$A161)=0),"Aumento de stock sin recepción registrada",IF(B161&gt;1,"Intervalo de "&amp;B161&amp;" días","")))</f>
        <v/>
      </c>
    </row>
    <row r="162" customFormat="false" ht="15" hidden="false" customHeight="false" outlineLevel="0" collapsed="false">
      <c r="A162" s="5" t="str">
        <f aca="false">IF(Stock_Diario!A162="","",Stock_Diario!A162)</f>
        <v/>
      </c>
      <c r="B162" s="4" t="str">
        <f aca="false">IF($A162="","",$A162-$A161)</f>
        <v/>
      </c>
      <c r="C162" s="24" t="str">
        <f aca="false">IF($A162="","",Stock_Diario!E162)</f>
        <v/>
      </c>
      <c r="D162" s="24" t="str">
        <f aca="false">IF($A162="","",IF(SUMIFS(Recepciones!$C$5:$C$2000,Recepciones!$B$5:$B$2000,Config!$A$23,Recepciones!$A$5:$A$2000,"&gt;"&amp;$A161,Recepciones!$A$5:$A$2000,"&lt;="&amp;$A162)&gt;0,SUMIFS(Recepciones!$C$5:$C$2000,Recepciones!$B$5:$B$2000,Config!$A$23,Recepciones!$A$5:$A$2000,"&gt;"&amp;$A161,Recepciones!$A$5:$A$2000,"&lt;="&amp;$A162),MAX(0,C162-C161)))</f>
        <v/>
      </c>
      <c r="E162" s="24" t="str">
        <f aca="false">IF($A162="","",MAX(0,C161+D162-C162))</f>
        <v/>
      </c>
      <c r="F162" s="24" t="str">
        <f aca="false">IF($A162="","",Stock_Diario!F162)</f>
        <v/>
      </c>
      <c r="G162" s="24" t="str">
        <f aca="false">IF($A162="","",IF(SUMIFS(Recepciones!$C$5:$C$2000,Recepciones!$B$5:$B$2000,Config!$A$24,Recepciones!$A$5:$A$2000,"&gt;"&amp;$A161,Recepciones!$A$5:$A$2000,"&lt;="&amp;$A162)&gt;0,SUMIFS(Recepciones!$C$5:$C$2000,Recepciones!$B$5:$B$2000,Config!$A$24,Recepciones!$A$5:$A$2000,"&gt;"&amp;$A161,Recepciones!$A$5:$A$2000,"&lt;="&amp;$A162),MAX(0,F162-F161)))</f>
        <v/>
      </c>
      <c r="H162" s="24" t="str">
        <f aca="false">IF($A162="","",MAX(0,F161+G162-F162))</f>
        <v/>
      </c>
      <c r="I162" s="24" t="str">
        <f aca="false">IF($A162="","",Stock_Diario!G162)</f>
        <v/>
      </c>
      <c r="J162" s="24" t="str">
        <f aca="false">IF($A162="","",IF(SUMIFS(Recepciones!$C$5:$C$2000,Recepciones!$B$5:$B$2000,Config!$A$25,Recepciones!$A$5:$A$2000,"&gt;"&amp;$A161,Recepciones!$A$5:$A$2000,"&lt;="&amp;$A162)&gt;0,SUMIFS(Recepciones!$C$5:$C$2000,Recepciones!$B$5:$B$2000,Config!$A$25,Recepciones!$A$5:$A$2000,"&gt;"&amp;$A161,Recepciones!$A$5:$A$2000,"&lt;="&amp;$A162),MAX(0,I162-I161)))</f>
        <v/>
      </c>
      <c r="K162" s="24" t="str">
        <f aca="false">IF($A162="","",MAX(0,I161+J162-I162))</f>
        <v/>
      </c>
      <c r="L162" s="24" t="str">
        <f aca="false">IF($A162="","",E162+H162+K162)</f>
        <v/>
      </c>
      <c r="M162" s="4" t="str">
        <f aca="false">IF($A162="","",IF(AND(D162+G162+J162&gt;0,SUMIFS(Recepciones!$C$5:$C$2000,Recepciones!$A$5:$A$2000,"&gt;"&amp;$A161,Recepciones!$A$5:$A$2000,"&lt;="&amp;$A162)=0),"Aumento de stock sin recepción registrada",IF(B162&gt;1,"Intervalo de "&amp;B162&amp;" días","")))</f>
        <v/>
      </c>
    </row>
    <row r="163" customFormat="false" ht="15" hidden="false" customHeight="false" outlineLevel="0" collapsed="false">
      <c r="A163" s="5" t="str">
        <f aca="false">IF(Stock_Diario!A163="","",Stock_Diario!A163)</f>
        <v/>
      </c>
      <c r="B163" s="4" t="str">
        <f aca="false">IF($A163="","",$A163-$A162)</f>
        <v/>
      </c>
      <c r="C163" s="24" t="str">
        <f aca="false">IF($A163="","",Stock_Diario!E163)</f>
        <v/>
      </c>
      <c r="D163" s="24" t="str">
        <f aca="false">IF($A163="","",IF(SUMIFS(Recepciones!$C$5:$C$2000,Recepciones!$B$5:$B$2000,Config!$A$23,Recepciones!$A$5:$A$2000,"&gt;"&amp;$A162,Recepciones!$A$5:$A$2000,"&lt;="&amp;$A163)&gt;0,SUMIFS(Recepciones!$C$5:$C$2000,Recepciones!$B$5:$B$2000,Config!$A$23,Recepciones!$A$5:$A$2000,"&gt;"&amp;$A162,Recepciones!$A$5:$A$2000,"&lt;="&amp;$A163),MAX(0,C163-C162)))</f>
        <v/>
      </c>
      <c r="E163" s="24" t="str">
        <f aca="false">IF($A163="","",MAX(0,C162+D163-C163))</f>
        <v/>
      </c>
      <c r="F163" s="24" t="str">
        <f aca="false">IF($A163="","",Stock_Diario!F163)</f>
        <v/>
      </c>
      <c r="G163" s="24" t="str">
        <f aca="false">IF($A163="","",IF(SUMIFS(Recepciones!$C$5:$C$2000,Recepciones!$B$5:$B$2000,Config!$A$24,Recepciones!$A$5:$A$2000,"&gt;"&amp;$A162,Recepciones!$A$5:$A$2000,"&lt;="&amp;$A163)&gt;0,SUMIFS(Recepciones!$C$5:$C$2000,Recepciones!$B$5:$B$2000,Config!$A$24,Recepciones!$A$5:$A$2000,"&gt;"&amp;$A162,Recepciones!$A$5:$A$2000,"&lt;="&amp;$A163),MAX(0,F163-F162)))</f>
        <v/>
      </c>
      <c r="H163" s="24" t="str">
        <f aca="false">IF($A163="","",MAX(0,F162+G163-F163))</f>
        <v/>
      </c>
      <c r="I163" s="24" t="str">
        <f aca="false">IF($A163="","",Stock_Diario!G163)</f>
        <v/>
      </c>
      <c r="J163" s="24" t="str">
        <f aca="false">IF($A163="","",IF(SUMIFS(Recepciones!$C$5:$C$2000,Recepciones!$B$5:$B$2000,Config!$A$25,Recepciones!$A$5:$A$2000,"&gt;"&amp;$A162,Recepciones!$A$5:$A$2000,"&lt;="&amp;$A163)&gt;0,SUMIFS(Recepciones!$C$5:$C$2000,Recepciones!$B$5:$B$2000,Config!$A$25,Recepciones!$A$5:$A$2000,"&gt;"&amp;$A162,Recepciones!$A$5:$A$2000,"&lt;="&amp;$A163),MAX(0,I163-I162)))</f>
        <v/>
      </c>
      <c r="K163" s="24" t="str">
        <f aca="false">IF($A163="","",MAX(0,I162+J163-I163))</f>
        <v/>
      </c>
      <c r="L163" s="24" t="str">
        <f aca="false">IF($A163="","",E163+H163+K163)</f>
        <v/>
      </c>
      <c r="M163" s="4" t="str">
        <f aca="false">IF($A163="","",IF(AND(D163+G163+J163&gt;0,SUMIFS(Recepciones!$C$5:$C$2000,Recepciones!$A$5:$A$2000,"&gt;"&amp;$A162,Recepciones!$A$5:$A$2000,"&lt;="&amp;$A163)=0),"Aumento de stock sin recepción registrada",IF(B163&gt;1,"Intervalo de "&amp;B163&amp;" días","")))</f>
        <v/>
      </c>
    </row>
    <row r="164" customFormat="false" ht="15" hidden="false" customHeight="false" outlineLevel="0" collapsed="false">
      <c r="A164" s="5" t="str">
        <f aca="false">IF(Stock_Diario!A164="","",Stock_Diario!A164)</f>
        <v/>
      </c>
      <c r="B164" s="4" t="str">
        <f aca="false">IF($A164="","",$A164-$A163)</f>
        <v/>
      </c>
      <c r="C164" s="24" t="str">
        <f aca="false">IF($A164="","",Stock_Diario!E164)</f>
        <v/>
      </c>
      <c r="D164" s="24" t="str">
        <f aca="false">IF($A164="","",IF(SUMIFS(Recepciones!$C$5:$C$2000,Recepciones!$B$5:$B$2000,Config!$A$23,Recepciones!$A$5:$A$2000,"&gt;"&amp;$A163,Recepciones!$A$5:$A$2000,"&lt;="&amp;$A164)&gt;0,SUMIFS(Recepciones!$C$5:$C$2000,Recepciones!$B$5:$B$2000,Config!$A$23,Recepciones!$A$5:$A$2000,"&gt;"&amp;$A163,Recepciones!$A$5:$A$2000,"&lt;="&amp;$A164),MAX(0,C164-C163)))</f>
        <v/>
      </c>
      <c r="E164" s="24" t="str">
        <f aca="false">IF($A164="","",MAX(0,C163+D164-C164))</f>
        <v/>
      </c>
      <c r="F164" s="24" t="str">
        <f aca="false">IF($A164="","",Stock_Diario!F164)</f>
        <v/>
      </c>
      <c r="G164" s="24" t="str">
        <f aca="false">IF($A164="","",IF(SUMIFS(Recepciones!$C$5:$C$2000,Recepciones!$B$5:$B$2000,Config!$A$24,Recepciones!$A$5:$A$2000,"&gt;"&amp;$A163,Recepciones!$A$5:$A$2000,"&lt;="&amp;$A164)&gt;0,SUMIFS(Recepciones!$C$5:$C$2000,Recepciones!$B$5:$B$2000,Config!$A$24,Recepciones!$A$5:$A$2000,"&gt;"&amp;$A163,Recepciones!$A$5:$A$2000,"&lt;="&amp;$A164),MAX(0,F164-F163)))</f>
        <v/>
      </c>
      <c r="H164" s="24" t="str">
        <f aca="false">IF($A164="","",MAX(0,F163+G164-F164))</f>
        <v/>
      </c>
      <c r="I164" s="24" t="str">
        <f aca="false">IF($A164="","",Stock_Diario!G164)</f>
        <v/>
      </c>
      <c r="J164" s="24" t="str">
        <f aca="false">IF($A164="","",IF(SUMIFS(Recepciones!$C$5:$C$2000,Recepciones!$B$5:$B$2000,Config!$A$25,Recepciones!$A$5:$A$2000,"&gt;"&amp;$A163,Recepciones!$A$5:$A$2000,"&lt;="&amp;$A164)&gt;0,SUMIFS(Recepciones!$C$5:$C$2000,Recepciones!$B$5:$B$2000,Config!$A$25,Recepciones!$A$5:$A$2000,"&gt;"&amp;$A163,Recepciones!$A$5:$A$2000,"&lt;="&amp;$A164),MAX(0,I164-I163)))</f>
        <v/>
      </c>
      <c r="K164" s="24" t="str">
        <f aca="false">IF($A164="","",MAX(0,I163+J164-I164))</f>
        <v/>
      </c>
      <c r="L164" s="24" t="str">
        <f aca="false">IF($A164="","",E164+H164+K164)</f>
        <v/>
      </c>
      <c r="M164" s="4" t="str">
        <f aca="false">IF($A164="","",IF(AND(D164+G164+J164&gt;0,SUMIFS(Recepciones!$C$5:$C$2000,Recepciones!$A$5:$A$2000,"&gt;"&amp;$A163,Recepciones!$A$5:$A$2000,"&lt;="&amp;$A164)=0),"Aumento de stock sin recepción registrada",IF(B164&gt;1,"Intervalo de "&amp;B164&amp;" días","")))</f>
        <v/>
      </c>
    </row>
    <row r="165" customFormat="false" ht="15" hidden="false" customHeight="false" outlineLevel="0" collapsed="false">
      <c r="A165" s="5" t="str">
        <f aca="false">IF(Stock_Diario!A165="","",Stock_Diario!A165)</f>
        <v/>
      </c>
      <c r="B165" s="4" t="str">
        <f aca="false">IF($A165="","",$A165-$A164)</f>
        <v/>
      </c>
      <c r="C165" s="24" t="str">
        <f aca="false">IF($A165="","",Stock_Diario!E165)</f>
        <v/>
      </c>
      <c r="D165" s="24" t="str">
        <f aca="false">IF($A165="","",IF(SUMIFS(Recepciones!$C$5:$C$2000,Recepciones!$B$5:$B$2000,Config!$A$23,Recepciones!$A$5:$A$2000,"&gt;"&amp;$A164,Recepciones!$A$5:$A$2000,"&lt;="&amp;$A165)&gt;0,SUMIFS(Recepciones!$C$5:$C$2000,Recepciones!$B$5:$B$2000,Config!$A$23,Recepciones!$A$5:$A$2000,"&gt;"&amp;$A164,Recepciones!$A$5:$A$2000,"&lt;="&amp;$A165),MAX(0,C165-C164)))</f>
        <v/>
      </c>
      <c r="E165" s="24" t="str">
        <f aca="false">IF($A165="","",MAX(0,C164+D165-C165))</f>
        <v/>
      </c>
      <c r="F165" s="24" t="str">
        <f aca="false">IF($A165="","",Stock_Diario!F165)</f>
        <v/>
      </c>
      <c r="G165" s="24" t="str">
        <f aca="false">IF($A165="","",IF(SUMIFS(Recepciones!$C$5:$C$2000,Recepciones!$B$5:$B$2000,Config!$A$24,Recepciones!$A$5:$A$2000,"&gt;"&amp;$A164,Recepciones!$A$5:$A$2000,"&lt;="&amp;$A165)&gt;0,SUMIFS(Recepciones!$C$5:$C$2000,Recepciones!$B$5:$B$2000,Config!$A$24,Recepciones!$A$5:$A$2000,"&gt;"&amp;$A164,Recepciones!$A$5:$A$2000,"&lt;="&amp;$A165),MAX(0,F165-F164)))</f>
        <v/>
      </c>
      <c r="H165" s="24" t="str">
        <f aca="false">IF($A165="","",MAX(0,F164+G165-F165))</f>
        <v/>
      </c>
      <c r="I165" s="24" t="str">
        <f aca="false">IF($A165="","",Stock_Diario!G165)</f>
        <v/>
      </c>
      <c r="J165" s="24" t="str">
        <f aca="false">IF($A165="","",IF(SUMIFS(Recepciones!$C$5:$C$2000,Recepciones!$B$5:$B$2000,Config!$A$25,Recepciones!$A$5:$A$2000,"&gt;"&amp;$A164,Recepciones!$A$5:$A$2000,"&lt;="&amp;$A165)&gt;0,SUMIFS(Recepciones!$C$5:$C$2000,Recepciones!$B$5:$B$2000,Config!$A$25,Recepciones!$A$5:$A$2000,"&gt;"&amp;$A164,Recepciones!$A$5:$A$2000,"&lt;="&amp;$A165),MAX(0,I165-I164)))</f>
        <v/>
      </c>
      <c r="K165" s="24" t="str">
        <f aca="false">IF($A165="","",MAX(0,I164+J165-I165))</f>
        <v/>
      </c>
      <c r="L165" s="24" t="str">
        <f aca="false">IF($A165="","",E165+H165+K165)</f>
        <v/>
      </c>
      <c r="M165" s="4" t="str">
        <f aca="false">IF($A165="","",IF(AND(D165+G165+J165&gt;0,SUMIFS(Recepciones!$C$5:$C$2000,Recepciones!$A$5:$A$2000,"&gt;"&amp;$A164,Recepciones!$A$5:$A$2000,"&lt;="&amp;$A165)=0),"Aumento de stock sin recepción registrada",IF(B165&gt;1,"Intervalo de "&amp;B165&amp;" días","")))</f>
        <v/>
      </c>
    </row>
    <row r="166" customFormat="false" ht="15" hidden="false" customHeight="false" outlineLevel="0" collapsed="false">
      <c r="A166" s="5" t="str">
        <f aca="false">IF(Stock_Diario!A166="","",Stock_Diario!A166)</f>
        <v/>
      </c>
      <c r="B166" s="4" t="str">
        <f aca="false">IF($A166="","",$A166-$A165)</f>
        <v/>
      </c>
      <c r="C166" s="24" t="str">
        <f aca="false">IF($A166="","",Stock_Diario!E166)</f>
        <v/>
      </c>
      <c r="D166" s="24" t="str">
        <f aca="false">IF($A166="","",IF(SUMIFS(Recepciones!$C$5:$C$2000,Recepciones!$B$5:$B$2000,Config!$A$23,Recepciones!$A$5:$A$2000,"&gt;"&amp;$A165,Recepciones!$A$5:$A$2000,"&lt;="&amp;$A166)&gt;0,SUMIFS(Recepciones!$C$5:$C$2000,Recepciones!$B$5:$B$2000,Config!$A$23,Recepciones!$A$5:$A$2000,"&gt;"&amp;$A165,Recepciones!$A$5:$A$2000,"&lt;="&amp;$A166),MAX(0,C166-C165)))</f>
        <v/>
      </c>
      <c r="E166" s="24" t="str">
        <f aca="false">IF($A166="","",MAX(0,C165+D166-C166))</f>
        <v/>
      </c>
      <c r="F166" s="24" t="str">
        <f aca="false">IF($A166="","",Stock_Diario!F166)</f>
        <v/>
      </c>
      <c r="G166" s="24" t="str">
        <f aca="false">IF($A166="","",IF(SUMIFS(Recepciones!$C$5:$C$2000,Recepciones!$B$5:$B$2000,Config!$A$24,Recepciones!$A$5:$A$2000,"&gt;"&amp;$A165,Recepciones!$A$5:$A$2000,"&lt;="&amp;$A166)&gt;0,SUMIFS(Recepciones!$C$5:$C$2000,Recepciones!$B$5:$B$2000,Config!$A$24,Recepciones!$A$5:$A$2000,"&gt;"&amp;$A165,Recepciones!$A$5:$A$2000,"&lt;="&amp;$A166),MAX(0,F166-F165)))</f>
        <v/>
      </c>
      <c r="H166" s="24" t="str">
        <f aca="false">IF($A166="","",MAX(0,F165+G166-F166))</f>
        <v/>
      </c>
      <c r="I166" s="24" t="str">
        <f aca="false">IF($A166="","",Stock_Diario!G166)</f>
        <v/>
      </c>
      <c r="J166" s="24" t="str">
        <f aca="false">IF($A166="","",IF(SUMIFS(Recepciones!$C$5:$C$2000,Recepciones!$B$5:$B$2000,Config!$A$25,Recepciones!$A$5:$A$2000,"&gt;"&amp;$A165,Recepciones!$A$5:$A$2000,"&lt;="&amp;$A166)&gt;0,SUMIFS(Recepciones!$C$5:$C$2000,Recepciones!$B$5:$B$2000,Config!$A$25,Recepciones!$A$5:$A$2000,"&gt;"&amp;$A165,Recepciones!$A$5:$A$2000,"&lt;="&amp;$A166),MAX(0,I166-I165)))</f>
        <v/>
      </c>
      <c r="K166" s="24" t="str">
        <f aca="false">IF($A166="","",MAX(0,I165+J166-I166))</f>
        <v/>
      </c>
      <c r="L166" s="24" t="str">
        <f aca="false">IF($A166="","",E166+H166+K166)</f>
        <v/>
      </c>
      <c r="M166" s="4" t="str">
        <f aca="false">IF($A166="","",IF(AND(D166+G166+J166&gt;0,SUMIFS(Recepciones!$C$5:$C$2000,Recepciones!$A$5:$A$2000,"&gt;"&amp;$A165,Recepciones!$A$5:$A$2000,"&lt;="&amp;$A166)=0),"Aumento de stock sin recepción registrada",IF(B166&gt;1,"Intervalo de "&amp;B166&amp;" días","")))</f>
        <v/>
      </c>
    </row>
    <row r="167" customFormat="false" ht="15" hidden="false" customHeight="false" outlineLevel="0" collapsed="false">
      <c r="A167" s="5" t="str">
        <f aca="false">IF(Stock_Diario!A167="","",Stock_Diario!A167)</f>
        <v/>
      </c>
      <c r="B167" s="4" t="str">
        <f aca="false">IF($A167="","",$A167-$A166)</f>
        <v/>
      </c>
      <c r="C167" s="24" t="str">
        <f aca="false">IF($A167="","",Stock_Diario!E167)</f>
        <v/>
      </c>
      <c r="D167" s="24" t="str">
        <f aca="false">IF($A167="","",IF(SUMIFS(Recepciones!$C$5:$C$2000,Recepciones!$B$5:$B$2000,Config!$A$23,Recepciones!$A$5:$A$2000,"&gt;"&amp;$A166,Recepciones!$A$5:$A$2000,"&lt;="&amp;$A167)&gt;0,SUMIFS(Recepciones!$C$5:$C$2000,Recepciones!$B$5:$B$2000,Config!$A$23,Recepciones!$A$5:$A$2000,"&gt;"&amp;$A166,Recepciones!$A$5:$A$2000,"&lt;="&amp;$A167),MAX(0,C167-C166)))</f>
        <v/>
      </c>
      <c r="E167" s="24" t="str">
        <f aca="false">IF($A167="","",MAX(0,C166+D167-C167))</f>
        <v/>
      </c>
      <c r="F167" s="24" t="str">
        <f aca="false">IF($A167="","",Stock_Diario!F167)</f>
        <v/>
      </c>
      <c r="G167" s="24" t="str">
        <f aca="false">IF($A167="","",IF(SUMIFS(Recepciones!$C$5:$C$2000,Recepciones!$B$5:$B$2000,Config!$A$24,Recepciones!$A$5:$A$2000,"&gt;"&amp;$A166,Recepciones!$A$5:$A$2000,"&lt;="&amp;$A167)&gt;0,SUMIFS(Recepciones!$C$5:$C$2000,Recepciones!$B$5:$B$2000,Config!$A$24,Recepciones!$A$5:$A$2000,"&gt;"&amp;$A166,Recepciones!$A$5:$A$2000,"&lt;="&amp;$A167),MAX(0,F167-F166)))</f>
        <v/>
      </c>
      <c r="H167" s="24" t="str">
        <f aca="false">IF($A167="","",MAX(0,F166+G167-F167))</f>
        <v/>
      </c>
      <c r="I167" s="24" t="str">
        <f aca="false">IF($A167="","",Stock_Diario!G167)</f>
        <v/>
      </c>
      <c r="J167" s="24" t="str">
        <f aca="false">IF($A167="","",IF(SUMIFS(Recepciones!$C$5:$C$2000,Recepciones!$B$5:$B$2000,Config!$A$25,Recepciones!$A$5:$A$2000,"&gt;"&amp;$A166,Recepciones!$A$5:$A$2000,"&lt;="&amp;$A167)&gt;0,SUMIFS(Recepciones!$C$5:$C$2000,Recepciones!$B$5:$B$2000,Config!$A$25,Recepciones!$A$5:$A$2000,"&gt;"&amp;$A166,Recepciones!$A$5:$A$2000,"&lt;="&amp;$A167),MAX(0,I167-I166)))</f>
        <v/>
      </c>
      <c r="K167" s="24" t="str">
        <f aca="false">IF($A167="","",MAX(0,I166+J167-I167))</f>
        <v/>
      </c>
      <c r="L167" s="24" t="str">
        <f aca="false">IF($A167="","",E167+H167+K167)</f>
        <v/>
      </c>
      <c r="M167" s="4" t="str">
        <f aca="false">IF($A167="","",IF(AND(D167+G167+J167&gt;0,SUMIFS(Recepciones!$C$5:$C$2000,Recepciones!$A$5:$A$2000,"&gt;"&amp;$A166,Recepciones!$A$5:$A$2000,"&lt;="&amp;$A167)=0),"Aumento de stock sin recepción registrada",IF(B167&gt;1,"Intervalo de "&amp;B167&amp;" días","")))</f>
        <v/>
      </c>
    </row>
    <row r="168" customFormat="false" ht="15" hidden="false" customHeight="false" outlineLevel="0" collapsed="false">
      <c r="A168" s="5" t="str">
        <f aca="false">IF(Stock_Diario!A168="","",Stock_Diario!A168)</f>
        <v/>
      </c>
      <c r="B168" s="4" t="str">
        <f aca="false">IF($A168="","",$A168-$A167)</f>
        <v/>
      </c>
      <c r="C168" s="24" t="str">
        <f aca="false">IF($A168="","",Stock_Diario!E168)</f>
        <v/>
      </c>
      <c r="D168" s="24" t="str">
        <f aca="false">IF($A168="","",IF(SUMIFS(Recepciones!$C$5:$C$2000,Recepciones!$B$5:$B$2000,Config!$A$23,Recepciones!$A$5:$A$2000,"&gt;"&amp;$A167,Recepciones!$A$5:$A$2000,"&lt;="&amp;$A168)&gt;0,SUMIFS(Recepciones!$C$5:$C$2000,Recepciones!$B$5:$B$2000,Config!$A$23,Recepciones!$A$5:$A$2000,"&gt;"&amp;$A167,Recepciones!$A$5:$A$2000,"&lt;="&amp;$A168),MAX(0,C168-C167)))</f>
        <v/>
      </c>
      <c r="E168" s="24" t="str">
        <f aca="false">IF($A168="","",MAX(0,C167+D168-C168))</f>
        <v/>
      </c>
      <c r="F168" s="24" t="str">
        <f aca="false">IF($A168="","",Stock_Diario!F168)</f>
        <v/>
      </c>
      <c r="G168" s="24" t="str">
        <f aca="false">IF($A168="","",IF(SUMIFS(Recepciones!$C$5:$C$2000,Recepciones!$B$5:$B$2000,Config!$A$24,Recepciones!$A$5:$A$2000,"&gt;"&amp;$A167,Recepciones!$A$5:$A$2000,"&lt;="&amp;$A168)&gt;0,SUMIFS(Recepciones!$C$5:$C$2000,Recepciones!$B$5:$B$2000,Config!$A$24,Recepciones!$A$5:$A$2000,"&gt;"&amp;$A167,Recepciones!$A$5:$A$2000,"&lt;="&amp;$A168),MAX(0,F168-F167)))</f>
        <v/>
      </c>
      <c r="H168" s="24" t="str">
        <f aca="false">IF($A168="","",MAX(0,F167+G168-F168))</f>
        <v/>
      </c>
      <c r="I168" s="24" t="str">
        <f aca="false">IF($A168="","",Stock_Diario!G168)</f>
        <v/>
      </c>
      <c r="J168" s="24" t="str">
        <f aca="false">IF($A168="","",IF(SUMIFS(Recepciones!$C$5:$C$2000,Recepciones!$B$5:$B$2000,Config!$A$25,Recepciones!$A$5:$A$2000,"&gt;"&amp;$A167,Recepciones!$A$5:$A$2000,"&lt;="&amp;$A168)&gt;0,SUMIFS(Recepciones!$C$5:$C$2000,Recepciones!$B$5:$B$2000,Config!$A$25,Recepciones!$A$5:$A$2000,"&gt;"&amp;$A167,Recepciones!$A$5:$A$2000,"&lt;="&amp;$A168),MAX(0,I168-I167)))</f>
        <v/>
      </c>
      <c r="K168" s="24" t="str">
        <f aca="false">IF($A168="","",MAX(0,I167+J168-I168))</f>
        <v/>
      </c>
      <c r="L168" s="24" t="str">
        <f aca="false">IF($A168="","",E168+H168+K168)</f>
        <v/>
      </c>
      <c r="M168" s="4" t="str">
        <f aca="false">IF($A168="","",IF(AND(D168+G168+J168&gt;0,SUMIFS(Recepciones!$C$5:$C$2000,Recepciones!$A$5:$A$2000,"&gt;"&amp;$A167,Recepciones!$A$5:$A$2000,"&lt;="&amp;$A168)=0),"Aumento de stock sin recepción registrada",IF(B168&gt;1,"Intervalo de "&amp;B168&amp;" días","")))</f>
        <v/>
      </c>
    </row>
    <row r="169" customFormat="false" ht="15" hidden="false" customHeight="false" outlineLevel="0" collapsed="false">
      <c r="A169" s="5" t="str">
        <f aca="false">IF(Stock_Diario!A169="","",Stock_Diario!A169)</f>
        <v/>
      </c>
      <c r="B169" s="4" t="str">
        <f aca="false">IF($A169="","",$A169-$A168)</f>
        <v/>
      </c>
      <c r="C169" s="24" t="str">
        <f aca="false">IF($A169="","",Stock_Diario!E169)</f>
        <v/>
      </c>
      <c r="D169" s="24" t="str">
        <f aca="false">IF($A169="","",IF(SUMIFS(Recepciones!$C$5:$C$2000,Recepciones!$B$5:$B$2000,Config!$A$23,Recepciones!$A$5:$A$2000,"&gt;"&amp;$A168,Recepciones!$A$5:$A$2000,"&lt;="&amp;$A169)&gt;0,SUMIFS(Recepciones!$C$5:$C$2000,Recepciones!$B$5:$B$2000,Config!$A$23,Recepciones!$A$5:$A$2000,"&gt;"&amp;$A168,Recepciones!$A$5:$A$2000,"&lt;="&amp;$A169),MAX(0,C169-C168)))</f>
        <v/>
      </c>
      <c r="E169" s="24" t="str">
        <f aca="false">IF($A169="","",MAX(0,C168+D169-C169))</f>
        <v/>
      </c>
      <c r="F169" s="24" t="str">
        <f aca="false">IF($A169="","",Stock_Diario!F169)</f>
        <v/>
      </c>
      <c r="G169" s="24" t="str">
        <f aca="false">IF($A169="","",IF(SUMIFS(Recepciones!$C$5:$C$2000,Recepciones!$B$5:$B$2000,Config!$A$24,Recepciones!$A$5:$A$2000,"&gt;"&amp;$A168,Recepciones!$A$5:$A$2000,"&lt;="&amp;$A169)&gt;0,SUMIFS(Recepciones!$C$5:$C$2000,Recepciones!$B$5:$B$2000,Config!$A$24,Recepciones!$A$5:$A$2000,"&gt;"&amp;$A168,Recepciones!$A$5:$A$2000,"&lt;="&amp;$A169),MAX(0,F169-F168)))</f>
        <v/>
      </c>
      <c r="H169" s="24" t="str">
        <f aca="false">IF($A169="","",MAX(0,F168+G169-F169))</f>
        <v/>
      </c>
      <c r="I169" s="24" t="str">
        <f aca="false">IF($A169="","",Stock_Diario!G169)</f>
        <v/>
      </c>
      <c r="J169" s="24" t="str">
        <f aca="false">IF($A169="","",IF(SUMIFS(Recepciones!$C$5:$C$2000,Recepciones!$B$5:$B$2000,Config!$A$25,Recepciones!$A$5:$A$2000,"&gt;"&amp;$A168,Recepciones!$A$5:$A$2000,"&lt;="&amp;$A169)&gt;0,SUMIFS(Recepciones!$C$5:$C$2000,Recepciones!$B$5:$B$2000,Config!$A$25,Recepciones!$A$5:$A$2000,"&gt;"&amp;$A168,Recepciones!$A$5:$A$2000,"&lt;="&amp;$A169),MAX(0,I169-I168)))</f>
        <v/>
      </c>
      <c r="K169" s="24" t="str">
        <f aca="false">IF($A169="","",MAX(0,I168+J169-I169))</f>
        <v/>
      </c>
      <c r="L169" s="24" t="str">
        <f aca="false">IF($A169="","",E169+H169+K169)</f>
        <v/>
      </c>
      <c r="M169" s="4" t="str">
        <f aca="false">IF($A169="","",IF(AND(D169+G169+J169&gt;0,SUMIFS(Recepciones!$C$5:$C$2000,Recepciones!$A$5:$A$2000,"&gt;"&amp;$A168,Recepciones!$A$5:$A$2000,"&lt;="&amp;$A169)=0),"Aumento de stock sin recepción registrada",IF(B169&gt;1,"Intervalo de "&amp;B169&amp;" días","")))</f>
        <v/>
      </c>
    </row>
    <row r="170" customFormat="false" ht="15" hidden="false" customHeight="false" outlineLevel="0" collapsed="false">
      <c r="A170" s="5" t="str">
        <f aca="false">IF(Stock_Diario!A170="","",Stock_Diario!A170)</f>
        <v/>
      </c>
      <c r="B170" s="4" t="str">
        <f aca="false">IF($A170="","",$A170-$A169)</f>
        <v/>
      </c>
      <c r="C170" s="24" t="str">
        <f aca="false">IF($A170="","",Stock_Diario!E170)</f>
        <v/>
      </c>
      <c r="D170" s="24" t="str">
        <f aca="false">IF($A170="","",IF(SUMIFS(Recepciones!$C$5:$C$2000,Recepciones!$B$5:$B$2000,Config!$A$23,Recepciones!$A$5:$A$2000,"&gt;"&amp;$A169,Recepciones!$A$5:$A$2000,"&lt;="&amp;$A170)&gt;0,SUMIFS(Recepciones!$C$5:$C$2000,Recepciones!$B$5:$B$2000,Config!$A$23,Recepciones!$A$5:$A$2000,"&gt;"&amp;$A169,Recepciones!$A$5:$A$2000,"&lt;="&amp;$A170),MAX(0,C170-C169)))</f>
        <v/>
      </c>
      <c r="E170" s="24" t="str">
        <f aca="false">IF($A170="","",MAX(0,C169+D170-C170))</f>
        <v/>
      </c>
      <c r="F170" s="24" t="str">
        <f aca="false">IF($A170="","",Stock_Diario!F170)</f>
        <v/>
      </c>
      <c r="G170" s="24" t="str">
        <f aca="false">IF($A170="","",IF(SUMIFS(Recepciones!$C$5:$C$2000,Recepciones!$B$5:$B$2000,Config!$A$24,Recepciones!$A$5:$A$2000,"&gt;"&amp;$A169,Recepciones!$A$5:$A$2000,"&lt;="&amp;$A170)&gt;0,SUMIFS(Recepciones!$C$5:$C$2000,Recepciones!$B$5:$B$2000,Config!$A$24,Recepciones!$A$5:$A$2000,"&gt;"&amp;$A169,Recepciones!$A$5:$A$2000,"&lt;="&amp;$A170),MAX(0,F170-F169)))</f>
        <v/>
      </c>
      <c r="H170" s="24" t="str">
        <f aca="false">IF($A170="","",MAX(0,F169+G170-F170))</f>
        <v/>
      </c>
      <c r="I170" s="24" t="str">
        <f aca="false">IF($A170="","",Stock_Diario!G170)</f>
        <v/>
      </c>
      <c r="J170" s="24" t="str">
        <f aca="false">IF($A170="","",IF(SUMIFS(Recepciones!$C$5:$C$2000,Recepciones!$B$5:$B$2000,Config!$A$25,Recepciones!$A$5:$A$2000,"&gt;"&amp;$A169,Recepciones!$A$5:$A$2000,"&lt;="&amp;$A170)&gt;0,SUMIFS(Recepciones!$C$5:$C$2000,Recepciones!$B$5:$B$2000,Config!$A$25,Recepciones!$A$5:$A$2000,"&gt;"&amp;$A169,Recepciones!$A$5:$A$2000,"&lt;="&amp;$A170),MAX(0,I170-I169)))</f>
        <v/>
      </c>
      <c r="K170" s="24" t="str">
        <f aca="false">IF($A170="","",MAX(0,I169+J170-I170))</f>
        <v/>
      </c>
      <c r="L170" s="24" t="str">
        <f aca="false">IF($A170="","",E170+H170+K170)</f>
        <v/>
      </c>
      <c r="M170" s="4" t="str">
        <f aca="false">IF($A170="","",IF(AND(D170+G170+J170&gt;0,SUMIFS(Recepciones!$C$5:$C$2000,Recepciones!$A$5:$A$2000,"&gt;"&amp;$A169,Recepciones!$A$5:$A$2000,"&lt;="&amp;$A170)=0),"Aumento de stock sin recepción registrada",IF(B170&gt;1,"Intervalo de "&amp;B170&amp;" días","")))</f>
        <v/>
      </c>
    </row>
    <row r="171" customFormat="false" ht="15" hidden="false" customHeight="false" outlineLevel="0" collapsed="false">
      <c r="A171" s="5" t="str">
        <f aca="false">IF(Stock_Diario!A171="","",Stock_Diario!A171)</f>
        <v/>
      </c>
      <c r="B171" s="4" t="str">
        <f aca="false">IF($A171="","",$A171-$A170)</f>
        <v/>
      </c>
      <c r="C171" s="24" t="str">
        <f aca="false">IF($A171="","",Stock_Diario!E171)</f>
        <v/>
      </c>
      <c r="D171" s="24" t="str">
        <f aca="false">IF($A171="","",IF(SUMIFS(Recepciones!$C$5:$C$2000,Recepciones!$B$5:$B$2000,Config!$A$23,Recepciones!$A$5:$A$2000,"&gt;"&amp;$A170,Recepciones!$A$5:$A$2000,"&lt;="&amp;$A171)&gt;0,SUMIFS(Recepciones!$C$5:$C$2000,Recepciones!$B$5:$B$2000,Config!$A$23,Recepciones!$A$5:$A$2000,"&gt;"&amp;$A170,Recepciones!$A$5:$A$2000,"&lt;="&amp;$A171),MAX(0,C171-C170)))</f>
        <v/>
      </c>
      <c r="E171" s="24" t="str">
        <f aca="false">IF($A171="","",MAX(0,C170+D171-C171))</f>
        <v/>
      </c>
      <c r="F171" s="24" t="str">
        <f aca="false">IF($A171="","",Stock_Diario!F171)</f>
        <v/>
      </c>
      <c r="G171" s="24" t="str">
        <f aca="false">IF($A171="","",IF(SUMIFS(Recepciones!$C$5:$C$2000,Recepciones!$B$5:$B$2000,Config!$A$24,Recepciones!$A$5:$A$2000,"&gt;"&amp;$A170,Recepciones!$A$5:$A$2000,"&lt;="&amp;$A171)&gt;0,SUMIFS(Recepciones!$C$5:$C$2000,Recepciones!$B$5:$B$2000,Config!$A$24,Recepciones!$A$5:$A$2000,"&gt;"&amp;$A170,Recepciones!$A$5:$A$2000,"&lt;="&amp;$A171),MAX(0,F171-F170)))</f>
        <v/>
      </c>
      <c r="H171" s="24" t="str">
        <f aca="false">IF($A171="","",MAX(0,F170+G171-F171))</f>
        <v/>
      </c>
      <c r="I171" s="24" t="str">
        <f aca="false">IF($A171="","",Stock_Diario!G171)</f>
        <v/>
      </c>
      <c r="J171" s="24" t="str">
        <f aca="false">IF($A171="","",IF(SUMIFS(Recepciones!$C$5:$C$2000,Recepciones!$B$5:$B$2000,Config!$A$25,Recepciones!$A$5:$A$2000,"&gt;"&amp;$A170,Recepciones!$A$5:$A$2000,"&lt;="&amp;$A171)&gt;0,SUMIFS(Recepciones!$C$5:$C$2000,Recepciones!$B$5:$B$2000,Config!$A$25,Recepciones!$A$5:$A$2000,"&gt;"&amp;$A170,Recepciones!$A$5:$A$2000,"&lt;="&amp;$A171),MAX(0,I171-I170)))</f>
        <v/>
      </c>
      <c r="K171" s="24" t="str">
        <f aca="false">IF($A171="","",MAX(0,I170+J171-I171))</f>
        <v/>
      </c>
      <c r="L171" s="24" t="str">
        <f aca="false">IF($A171="","",E171+H171+K171)</f>
        <v/>
      </c>
      <c r="M171" s="4" t="str">
        <f aca="false">IF($A171="","",IF(AND(D171+G171+J171&gt;0,SUMIFS(Recepciones!$C$5:$C$2000,Recepciones!$A$5:$A$2000,"&gt;"&amp;$A170,Recepciones!$A$5:$A$2000,"&lt;="&amp;$A171)=0),"Aumento de stock sin recepción registrada",IF(B171&gt;1,"Intervalo de "&amp;B171&amp;" días","")))</f>
        <v/>
      </c>
    </row>
    <row r="172" customFormat="false" ht="15" hidden="false" customHeight="false" outlineLevel="0" collapsed="false">
      <c r="A172" s="5" t="str">
        <f aca="false">IF(Stock_Diario!A172="","",Stock_Diario!A172)</f>
        <v/>
      </c>
      <c r="B172" s="4" t="str">
        <f aca="false">IF($A172="","",$A172-$A171)</f>
        <v/>
      </c>
      <c r="C172" s="24" t="str">
        <f aca="false">IF($A172="","",Stock_Diario!E172)</f>
        <v/>
      </c>
      <c r="D172" s="24" t="str">
        <f aca="false">IF($A172="","",IF(SUMIFS(Recepciones!$C$5:$C$2000,Recepciones!$B$5:$B$2000,Config!$A$23,Recepciones!$A$5:$A$2000,"&gt;"&amp;$A171,Recepciones!$A$5:$A$2000,"&lt;="&amp;$A172)&gt;0,SUMIFS(Recepciones!$C$5:$C$2000,Recepciones!$B$5:$B$2000,Config!$A$23,Recepciones!$A$5:$A$2000,"&gt;"&amp;$A171,Recepciones!$A$5:$A$2000,"&lt;="&amp;$A172),MAX(0,C172-C171)))</f>
        <v/>
      </c>
      <c r="E172" s="24" t="str">
        <f aca="false">IF($A172="","",MAX(0,C171+D172-C172))</f>
        <v/>
      </c>
      <c r="F172" s="24" t="str">
        <f aca="false">IF($A172="","",Stock_Diario!F172)</f>
        <v/>
      </c>
      <c r="G172" s="24" t="str">
        <f aca="false">IF($A172="","",IF(SUMIFS(Recepciones!$C$5:$C$2000,Recepciones!$B$5:$B$2000,Config!$A$24,Recepciones!$A$5:$A$2000,"&gt;"&amp;$A171,Recepciones!$A$5:$A$2000,"&lt;="&amp;$A172)&gt;0,SUMIFS(Recepciones!$C$5:$C$2000,Recepciones!$B$5:$B$2000,Config!$A$24,Recepciones!$A$5:$A$2000,"&gt;"&amp;$A171,Recepciones!$A$5:$A$2000,"&lt;="&amp;$A172),MAX(0,F172-F171)))</f>
        <v/>
      </c>
      <c r="H172" s="24" t="str">
        <f aca="false">IF($A172="","",MAX(0,F171+G172-F172))</f>
        <v/>
      </c>
      <c r="I172" s="24" t="str">
        <f aca="false">IF($A172="","",Stock_Diario!G172)</f>
        <v/>
      </c>
      <c r="J172" s="24" t="str">
        <f aca="false">IF($A172="","",IF(SUMIFS(Recepciones!$C$5:$C$2000,Recepciones!$B$5:$B$2000,Config!$A$25,Recepciones!$A$5:$A$2000,"&gt;"&amp;$A171,Recepciones!$A$5:$A$2000,"&lt;="&amp;$A172)&gt;0,SUMIFS(Recepciones!$C$5:$C$2000,Recepciones!$B$5:$B$2000,Config!$A$25,Recepciones!$A$5:$A$2000,"&gt;"&amp;$A171,Recepciones!$A$5:$A$2000,"&lt;="&amp;$A172),MAX(0,I172-I171)))</f>
        <v/>
      </c>
      <c r="K172" s="24" t="str">
        <f aca="false">IF($A172="","",MAX(0,I171+J172-I172))</f>
        <v/>
      </c>
      <c r="L172" s="24" t="str">
        <f aca="false">IF($A172="","",E172+H172+K172)</f>
        <v/>
      </c>
      <c r="M172" s="4" t="str">
        <f aca="false">IF($A172="","",IF(AND(D172+G172+J172&gt;0,SUMIFS(Recepciones!$C$5:$C$2000,Recepciones!$A$5:$A$2000,"&gt;"&amp;$A171,Recepciones!$A$5:$A$2000,"&lt;="&amp;$A172)=0),"Aumento de stock sin recepción registrada",IF(B172&gt;1,"Intervalo de "&amp;B172&amp;" días","")))</f>
        <v/>
      </c>
    </row>
    <row r="173" customFormat="false" ht="15" hidden="false" customHeight="false" outlineLevel="0" collapsed="false">
      <c r="A173" s="5" t="str">
        <f aca="false">IF(Stock_Diario!A173="","",Stock_Diario!A173)</f>
        <v/>
      </c>
      <c r="B173" s="4" t="str">
        <f aca="false">IF($A173="","",$A173-$A172)</f>
        <v/>
      </c>
      <c r="C173" s="24" t="str">
        <f aca="false">IF($A173="","",Stock_Diario!E173)</f>
        <v/>
      </c>
      <c r="D173" s="24" t="str">
        <f aca="false">IF($A173="","",IF(SUMIFS(Recepciones!$C$5:$C$2000,Recepciones!$B$5:$B$2000,Config!$A$23,Recepciones!$A$5:$A$2000,"&gt;"&amp;$A172,Recepciones!$A$5:$A$2000,"&lt;="&amp;$A173)&gt;0,SUMIFS(Recepciones!$C$5:$C$2000,Recepciones!$B$5:$B$2000,Config!$A$23,Recepciones!$A$5:$A$2000,"&gt;"&amp;$A172,Recepciones!$A$5:$A$2000,"&lt;="&amp;$A173),MAX(0,C173-C172)))</f>
        <v/>
      </c>
      <c r="E173" s="24" t="str">
        <f aca="false">IF($A173="","",MAX(0,C172+D173-C173))</f>
        <v/>
      </c>
      <c r="F173" s="24" t="str">
        <f aca="false">IF($A173="","",Stock_Diario!F173)</f>
        <v/>
      </c>
      <c r="G173" s="24" t="str">
        <f aca="false">IF($A173="","",IF(SUMIFS(Recepciones!$C$5:$C$2000,Recepciones!$B$5:$B$2000,Config!$A$24,Recepciones!$A$5:$A$2000,"&gt;"&amp;$A172,Recepciones!$A$5:$A$2000,"&lt;="&amp;$A173)&gt;0,SUMIFS(Recepciones!$C$5:$C$2000,Recepciones!$B$5:$B$2000,Config!$A$24,Recepciones!$A$5:$A$2000,"&gt;"&amp;$A172,Recepciones!$A$5:$A$2000,"&lt;="&amp;$A173),MAX(0,F173-F172)))</f>
        <v/>
      </c>
      <c r="H173" s="24" t="str">
        <f aca="false">IF($A173="","",MAX(0,F172+G173-F173))</f>
        <v/>
      </c>
      <c r="I173" s="24" t="str">
        <f aca="false">IF($A173="","",Stock_Diario!G173)</f>
        <v/>
      </c>
      <c r="J173" s="24" t="str">
        <f aca="false">IF($A173="","",IF(SUMIFS(Recepciones!$C$5:$C$2000,Recepciones!$B$5:$B$2000,Config!$A$25,Recepciones!$A$5:$A$2000,"&gt;"&amp;$A172,Recepciones!$A$5:$A$2000,"&lt;="&amp;$A173)&gt;0,SUMIFS(Recepciones!$C$5:$C$2000,Recepciones!$B$5:$B$2000,Config!$A$25,Recepciones!$A$5:$A$2000,"&gt;"&amp;$A172,Recepciones!$A$5:$A$2000,"&lt;="&amp;$A173),MAX(0,I173-I172)))</f>
        <v/>
      </c>
      <c r="K173" s="24" t="str">
        <f aca="false">IF($A173="","",MAX(0,I172+J173-I173))</f>
        <v/>
      </c>
      <c r="L173" s="24" t="str">
        <f aca="false">IF($A173="","",E173+H173+K173)</f>
        <v/>
      </c>
      <c r="M173" s="4" t="str">
        <f aca="false">IF($A173="","",IF(AND(D173+G173+J173&gt;0,SUMIFS(Recepciones!$C$5:$C$2000,Recepciones!$A$5:$A$2000,"&gt;"&amp;$A172,Recepciones!$A$5:$A$2000,"&lt;="&amp;$A173)=0),"Aumento de stock sin recepción registrada",IF(B173&gt;1,"Intervalo de "&amp;B173&amp;" días","")))</f>
        <v/>
      </c>
    </row>
    <row r="174" customFormat="false" ht="15" hidden="false" customHeight="false" outlineLevel="0" collapsed="false">
      <c r="A174" s="5" t="str">
        <f aca="false">IF(Stock_Diario!A174="","",Stock_Diario!A174)</f>
        <v/>
      </c>
      <c r="B174" s="4" t="str">
        <f aca="false">IF($A174="","",$A174-$A173)</f>
        <v/>
      </c>
      <c r="C174" s="24" t="str">
        <f aca="false">IF($A174="","",Stock_Diario!E174)</f>
        <v/>
      </c>
      <c r="D174" s="24" t="str">
        <f aca="false">IF($A174="","",IF(SUMIFS(Recepciones!$C$5:$C$2000,Recepciones!$B$5:$B$2000,Config!$A$23,Recepciones!$A$5:$A$2000,"&gt;"&amp;$A173,Recepciones!$A$5:$A$2000,"&lt;="&amp;$A174)&gt;0,SUMIFS(Recepciones!$C$5:$C$2000,Recepciones!$B$5:$B$2000,Config!$A$23,Recepciones!$A$5:$A$2000,"&gt;"&amp;$A173,Recepciones!$A$5:$A$2000,"&lt;="&amp;$A174),MAX(0,C174-C173)))</f>
        <v/>
      </c>
      <c r="E174" s="24" t="str">
        <f aca="false">IF($A174="","",MAX(0,C173+D174-C174))</f>
        <v/>
      </c>
      <c r="F174" s="24" t="str">
        <f aca="false">IF($A174="","",Stock_Diario!F174)</f>
        <v/>
      </c>
      <c r="G174" s="24" t="str">
        <f aca="false">IF($A174="","",IF(SUMIFS(Recepciones!$C$5:$C$2000,Recepciones!$B$5:$B$2000,Config!$A$24,Recepciones!$A$5:$A$2000,"&gt;"&amp;$A173,Recepciones!$A$5:$A$2000,"&lt;="&amp;$A174)&gt;0,SUMIFS(Recepciones!$C$5:$C$2000,Recepciones!$B$5:$B$2000,Config!$A$24,Recepciones!$A$5:$A$2000,"&gt;"&amp;$A173,Recepciones!$A$5:$A$2000,"&lt;="&amp;$A174),MAX(0,F174-F173)))</f>
        <v/>
      </c>
      <c r="H174" s="24" t="str">
        <f aca="false">IF($A174="","",MAX(0,F173+G174-F174))</f>
        <v/>
      </c>
      <c r="I174" s="24" t="str">
        <f aca="false">IF($A174="","",Stock_Diario!G174)</f>
        <v/>
      </c>
      <c r="J174" s="24" t="str">
        <f aca="false">IF($A174="","",IF(SUMIFS(Recepciones!$C$5:$C$2000,Recepciones!$B$5:$B$2000,Config!$A$25,Recepciones!$A$5:$A$2000,"&gt;"&amp;$A173,Recepciones!$A$5:$A$2000,"&lt;="&amp;$A174)&gt;0,SUMIFS(Recepciones!$C$5:$C$2000,Recepciones!$B$5:$B$2000,Config!$A$25,Recepciones!$A$5:$A$2000,"&gt;"&amp;$A173,Recepciones!$A$5:$A$2000,"&lt;="&amp;$A174),MAX(0,I174-I173)))</f>
        <v/>
      </c>
      <c r="K174" s="24" t="str">
        <f aca="false">IF($A174="","",MAX(0,I173+J174-I174))</f>
        <v/>
      </c>
      <c r="L174" s="24" t="str">
        <f aca="false">IF($A174="","",E174+H174+K174)</f>
        <v/>
      </c>
      <c r="M174" s="4" t="str">
        <f aca="false">IF($A174="","",IF(AND(D174+G174+J174&gt;0,SUMIFS(Recepciones!$C$5:$C$2000,Recepciones!$A$5:$A$2000,"&gt;"&amp;$A173,Recepciones!$A$5:$A$2000,"&lt;="&amp;$A174)=0),"Aumento de stock sin recepción registrada",IF(B174&gt;1,"Intervalo de "&amp;B174&amp;" días","")))</f>
        <v/>
      </c>
    </row>
    <row r="175" customFormat="false" ht="15" hidden="false" customHeight="false" outlineLevel="0" collapsed="false">
      <c r="A175" s="5" t="str">
        <f aca="false">IF(Stock_Diario!A175="","",Stock_Diario!A175)</f>
        <v/>
      </c>
      <c r="B175" s="4" t="str">
        <f aca="false">IF($A175="","",$A175-$A174)</f>
        <v/>
      </c>
      <c r="C175" s="24" t="str">
        <f aca="false">IF($A175="","",Stock_Diario!E175)</f>
        <v/>
      </c>
      <c r="D175" s="24" t="str">
        <f aca="false">IF($A175="","",IF(SUMIFS(Recepciones!$C$5:$C$2000,Recepciones!$B$5:$B$2000,Config!$A$23,Recepciones!$A$5:$A$2000,"&gt;"&amp;$A174,Recepciones!$A$5:$A$2000,"&lt;="&amp;$A175)&gt;0,SUMIFS(Recepciones!$C$5:$C$2000,Recepciones!$B$5:$B$2000,Config!$A$23,Recepciones!$A$5:$A$2000,"&gt;"&amp;$A174,Recepciones!$A$5:$A$2000,"&lt;="&amp;$A175),MAX(0,C175-C174)))</f>
        <v/>
      </c>
      <c r="E175" s="24" t="str">
        <f aca="false">IF($A175="","",MAX(0,C174+D175-C175))</f>
        <v/>
      </c>
      <c r="F175" s="24" t="str">
        <f aca="false">IF($A175="","",Stock_Diario!F175)</f>
        <v/>
      </c>
      <c r="G175" s="24" t="str">
        <f aca="false">IF($A175="","",IF(SUMIFS(Recepciones!$C$5:$C$2000,Recepciones!$B$5:$B$2000,Config!$A$24,Recepciones!$A$5:$A$2000,"&gt;"&amp;$A174,Recepciones!$A$5:$A$2000,"&lt;="&amp;$A175)&gt;0,SUMIFS(Recepciones!$C$5:$C$2000,Recepciones!$B$5:$B$2000,Config!$A$24,Recepciones!$A$5:$A$2000,"&gt;"&amp;$A174,Recepciones!$A$5:$A$2000,"&lt;="&amp;$A175),MAX(0,F175-F174)))</f>
        <v/>
      </c>
      <c r="H175" s="24" t="str">
        <f aca="false">IF($A175="","",MAX(0,F174+G175-F175))</f>
        <v/>
      </c>
      <c r="I175" s="24" t="str">
        <f aca="false">IF($A175="","",Stock_Diario!G175)</f>
        <v/>
      </c>
      <c r="J175" s="24" t="str">
        <f aca="false">IF($A175="","",IF(SUMIFS(Recepciones!$C$5:$C$2000,Recepciones!$B$5:$B$2000,Config!$A$25,Recepciones!$A$5:$A$2000,"&gt;"&amp;$A174,Recepciones!$A$5:$A$2000,"&lt;="&amp;$A175)&gt;0,SUMIFS(Recepciones!$C$5:$C$2000,Recepciones!$B$5:$B$2000,Config!$A$25,Recepciones!$A$5:$A$2000,"&gt;"&amp;$A174,Recepciones!$A$5:$A$2000,"&lt;="&amp;$A175),MAX(0,I175-I174)))</f>
        <v/>
      </c>
      <c r="K175" s="24" t="str">
        <f aca="false">IF($A175="","",MAX(0,I174+J175-I175))</f>
        <v/>
      </c>
      <c r="L175" s="24" t="str">
        <f aca="false">IF($A175="","",E175+H175+K175)</f>
        <v/>
      </c>
      <c r="M175" s="4" t="str">
        <f aca="false">IF($A175="","",IF(AND(D175+G175+J175&gt;0,SUMIFS(Recepciones!$C$5:$C$2000,Recepciones!$A$5:$A$2000,"&gt;"&amp;$A174,Recepciones!$A$5:$A$2000,"&lt;="&amp;$A175)=0),"Aumento de stock sin recepción registrada",IF(B175&gt;1,"Intervalo de "&amp;B175&amp;" días","")))</f>
        <v/>
      </c>
    </row>
    <row r="176" customFormat="false" ht="15" hidden="false" customHeight="false" outlineLevel="0" collapsed="false">
      <c r="A176" s="5" t="str">
        <f aca="false">IF(Stock_Diario!A176="","",Stock_Diario!A176)</f>
        <v/>
      </c>
      <c r="B176" s="4" t="str">
        <f aca="false">IF($A176="","",$A176-$A175)</f>
        <v/>
      </c>
      <c r="C176" s="24" t="str">
        <f aca="false">IF($A176="","",Stock_Diario!E176)</f>
        <v/>
      </c>
      <c r="D176" s="24" t="str">
        <f aca="false">IF($A176="","",IF(SUMIFS(Recepciones!$C$5:$C$2000,Recepciones!$B$5:$B$2000,Config!$A$23,Recepciones!$A$5:$A$2000,"&gt;"&amp;$A175,Recepciones!$A$5:$A$2000,"&lt;="&amp;$A176)&gt;0,SUMIFS(Recepciones!$C$5:$C$2000,Recepciones!$B$5:$B$2000,Config!$A$23,Recepciones!$A$5:$A$2000,"&gt;"&amp;$A175,Recepciones!$A$5:$A$2000,"&lt;="&amp;$A176),MAX(0,C176-C175)))</f>
        <v/>
      </c>
      <c r="E176" s="24" t="str">
        <f aca="false">IF($A176="","",MAX(0,C175+D176-C176))</f>
        <v/>
      </c>
      <c r="F176" s="24" t="str">
        <f aca="false">IF($A176="","",Stock_Diario!F176)</f>
        <v/>
      </c>
      <c r="G176" s="24" t="str">
        <f aca="false">IF($A176="","",IF(SUMIFS(Recepciones!$C$5:$C$2000,Recepciones!$B$5:$B$2000,Config!$A$24,Recepciones!$A$5:$A$2000,"&gt;"&amp;$A175,Recepciones!$A$5:$A$2000,"&lt;="&amp;$A176)&gt;0,SUMIFS(Recepciones!$C$5:$C$2000,Recepciones!$B$5:$B$2000,Config!$A$24,Recepciones!$A$5:$A$2000,"&gt;"&amp;$A175,Recepciones!$A$5:$A$2000,"&lt;="&amp;$A176),MAX(0,F176-F175)))</f>
        <v/>
      </c>
      <c r="H176" s="24" t="str">
        <f aca="false">IF($A176="","",MAX(0,F175+G176-F176))</f>
        <v/>
      </c>
      <c r="I176" s="24" t="str">
        <f aca="false">IF($A176="","",Stock_Diario!G176)</f>
        <v/>
      </c>
      <c r="J176" s="24" t="str">
        <f aca="false">IF($A176="","",IF(SUMIFS(Recepciones!$C$5:$C$2000,Recepciones!$B$5:$B$2000,Config!$A$25,Recepciones!$A$5:$A$2000,"&gt;"&amp;$A175,Recepciones!$A$5:$A$2000,"&lt;="&amp;$A176)&gt;0,SUMIFS(Recepciones!$C$5:$C$2000,Recepciones!$B$5:$B$2000,Config!$A$25,Recepciones!$A$5:$A$2000,"&gt;"&amp;$A175,Recepciones!$A$5:$A$2000,"&lt;="&amp;$A176),MAX(0,I176-I175)))</f>
        <v/>
      </c>
      <c r="K176" s="24" t="str">
        <f aca="false">IF($A176="","",MAX(0,I175+J176-I176))</f>
        <v/>
      </c>
      <c r="L176" s="24" t="str">
        <f aca="false">IF($A176="","",E176+H176+K176)</f>
        <v/>
      </c>
      <c r="M176" s="4" t="str">
        <f aca="false">IF($A176="","",IF(AND(D176+G176+J176&gt;0,SUMIFS(Recepciones!$C$5:$C$2000,Recepciones!$A$5:$A$2000,"&gt;"&amp;$A175,Recepciones!$A$5:$A$2000,"&lt;="&amp;$A176)=0),"Aumento de stock sin recepción registrada",IF(B176&gt;1,"Intervalo de "&amp;B176&amp;" días","")))</f>
        <v/>
      </c>
    </row>
    <row r="177" customFormat="false" ht="15" hidden="false" customHeight="false" outlineLevel="0" collapsed="false">
      <c r="A177" s="5" t="str">
        <f aca="false">IF(Stock_Diario!A177="","",Stock_Diario!A177)</f>
        <v/>
      </c>
      <c r="B177" s="4" t="str">
        <f aca="false">IF($A177="","",$A177-$A176)</f>
        <v/>
      </c>
      <c r="C177" s="24" t="str">
        <f aca="false">IF($A177="","",Stock_Diario!E177)</f>
        <v/>
      </c>
      <c r="D177" s="24" t="str">
        <f aca="false">IF($A177="","",IF(SUMIFS(Recepciones!$C$5:$C$2000,Recepciones!$B$5:$B$2000,Config!$A$23,Recepciones!$A$5:$A$2000,"&gt;"&amp;$A176,Recepciones!$A$5:$A$2000,"&lt;="&amp;$A177)&gt;0,SUMIFS(Recepciones!$C$5:$C$2000,Recepciones!$B$5:$B$2000,Config!$A$23,Recepciones!$A$5:$A$2000,"&gt;"&amp;$A176,Recepciones!$A$5:$A$2000,"&lt;="&amp;$A177),MAX(0,C177-C176)))</f>
        <v/>
      </c>
      <c r="E177" s="24" t="str">
        <f aca="false">IF($A177="","",MAX(0,C176+D177-C177))</f>
        <v/>
      </c>
      <c r="F177" s="24" t="str">
        <f aca="false">IF($A177="","",Stock_Diario!F177)</f>
        <v/>
      </c>
      <c r="G177" s="24" t="str">
        <f aca="false">IF($A177="","",IF(SUMIFS(Recepciones!$C$5:$C$2000,Recepciones!$B$5:$B$2000,Config!$A$24,Recepciones!$A$5:$A$2000,"&gt;"&amp;$A176,Recepciones!$A$5:$A$2000,"&lt;="&amp;$A177)&gt;0,SUMIFS(Recepciones!$C$5:$C$2000,Recepciones!$B$5:$B$2000,Config!$A$24,Recepciones!$A$5:$A$2000,"&gt;"&amp;$A176,Recepciones!$A$5:$A$2000,"&lt;="&amp;$A177),MAX(0,F177-F176)))</f>
        <v/>
      </c>
      <c r="H177" s="24" t="str">
        <f aca="false">IF($A177="","",MAX(0,F176+G177-F177))</f>
        <v/>
      </c>
      <c r="I177" s="24" t="str">
        <f aca="false">IF($A177="","",Stock_Diario!G177)</f>
        <v/>
      </c>
      <c r="J177" s="24" t="str">
        <f aca="false">IF($A177="","",IF(SUMIFS(Recepciones!$C$5:$C$2000,Recepciones!$B$5:$B$2000,Config!$A$25,Recepciones!$A$5:$A$2000,"&gt;"&amp;$A176,Recepciones!$A$5:$A$2000,"&lt;="&amp;$A177)&gt;0,SUMIFS(Recepciones!$C$5:$C$2000,Recepciones!$B$5:$B$2000,Config!$A$25,Recepciones!$A$5:$A$2000,"&gt;"&amp;$A176,Recepciones!$A$5:$A$2000,"&lt;="&amp;$A177),MAX(0,I177-I176)))</f>
        <v/>
      </c>
      <c r="K177" s="24" t="str">
        <f aca="false">IF($A177="","",MAX(0,I176+J177-I177))</f>
        <v/>
      </c>
      <c r="L177" s="24" t="str">
        <f aca="false">IF($A177="","",E177+H177+K177)</f>
        <v/>
      </c>
      <c r="M177" s="4" t="str">
        <f aca="false">IF($A177="","",IF(AND(D177+G177+J177&gt;0,SUMIFS(Recepciones!$C$5:$C$2000,Recepciones!$A$5:$A$2000,"&gt;"&amp;$A176,Recepciones!$A$5:$A$2000,"&lt;="&amp;$A177)=0),"Aumento de stock sin recepción registrada",IF(B177&gt;1,"Intervalo de "&amp;B177&amp;" días","")))</f>
        <v/>
      </c>
    </row>
    <row r="178" customFormat="false" ht="15" hidden="false" customHeight="false" outlineLevel="0" collapsed="false">
      <c r="A178" s="5" t="str">
        <f aca="false">IF(Stock_Diario!A178="","",Stock_Diario!A178)</f>
        <v/>
      </c>
      <c r="B178" s="4" t="str">
        <f aca="false">IF($A178="","",$A178-$A177)</f>
        <v/>
      </c>
      <c r="C178" s="24" t="str">
        <f aca="false">IF($A178="","",Stock_Diario!E178)</f>
        <v/>
      </c>
      <c r="D178" s="24" t="str">
        <f aca="false">IF($A178="","",IF(SUMIFS(Recepciones!$C$5:$C$2000,Recepciones!$B$5:$B$2000,Config!$A$23,Recepciones!$A$5:$A$2000,"&gt;"&amp;$A177,Recepciones!$A$5:$A$2000,"&lt;="&amp;$A178)&gt;0,SUMIFS(Recepciones!$C$5:$C$2000,Recepciones!$B$5:$B$2000,Config!$A$23,Recepciones!$A$5:$A$2000,"&gt;"&amp;$A177,Recepciones!$A$5:$A$2000,"&lt;="&amp;$A178),MAX(0,C178-C177)))</f>
        <v/>
      </c>
      <c r="E178" s="24" t="str">
        <f aca="false">IF($A178="","",MAX(0,C177+D178-C178))</f>
        <v/>
      </c>
      <c r="F178" s="24" t="str">
        <f aca="false">IF($A178="","",Stock_Diario!F178)</f>
        <v/>
      </c>
      <c r="G178" s="24" t="str">
        <f aca="false">IF($A178="","",IF(SUMIFS(Recepciones!$C$5:$C$2000,Recepciones!$B$5:$B$2000,Config!$A$24,Recepciones!$A$5:$A$2000,"&gt;"&amp;$A177,Recepciones!$A$5:$A$2000,"&lt;="&amp;$A178)&gt;0,SUMIFS(Recepciones!$C$5:$C$2000,Recepciones!$B$5:$B$2000,Config!$A$24,Recepciones!$A$5:$A$2000,"&gt;"&amp;$A177,Recepciones!$A$5:$A$2000,"&lt;="&amp;$A178),MAX(0,F178-F177)))</f>
        <v/>
      </c>
      <c r="H178" s="24" t="str">
        <f aca="false">IF($A178="","",MAX(0,F177+G178-F178))</f>
        <v/>
      </c>
      <c r="I178" s="24" t="str">
        <f aca="false">IF($A178="","",Stock_Diario!G178)</f>
        <v/>
      </c>
      <c r="J178" s="24" t="str">
        <f aca="false">IF($A178="","",IF(SUMIFS(Recepciones!$C$5:$C$2000,Recepciones!$B$5:$B$2000,Config!$A$25,Recepciones!$A$5:$A$2000,"&gt;"&amp;$A177,Recepciones!$A$5:$A$2000,"&lt;="&amp;$A178)&gt;0,SUMIFS(Recepciones!$C$5:$C$2000,Recepciones!$B$5:$B$2000,Config!$A$25,Recepciones!$A$5:$A$2000,"&gt;"&amp;$A177,Recepciones!$A$5:$A$2000,"&lt;="&amp;$A178),MAX(0,I178-I177)))</f>
        <v/>
      </c>
      <c r="K178" s="24" t="str">
        <f aca="false">IF($A178="","",MAX(0,I177+J178-I178))</f>
        <v/>
      </c>
      <c r="L178" s="24" t="str">
        <f aca="false">IF($A178="","",E178+H178+K178)</f>
        <v/>
      </c>
      <c r="M178" s="4" t="str">
        <f aca="false">IF($A178="","",IF(AND(D178+G178+J178&gt;0,SUMIFS(Recepciones!$C$5:$C$2000,Recepciones!$A$5:$A$2000,"&gt;"&amp;$A177,Recepciones!$A$5:$A$2000,"&lt;="&amp;$A178)=0),"Aumento de stock sin recepción registrada",IF(B178&gt;1,"Intervalo de "&amp;B178&amp;" días","")))</f>
        <v/>
      </c>
    </row>
    <row r="179" customFormat="false" ht="15" hidden="false" customHeight="false" outlineLevel="0" collapsed="false">
      <c r="A179" s="5" t="str">
        <f aca="false">IF(Stock_Diario!A179="","",Stock_Diario!A179)</f>
        <v/>
      </c>
      <c r="B179" s="4" t="str">
        <f aca="false">IF($A179="","",$A179-$A178)</f>
        <v/>
      </c>
      <c r="C179" s="24" t="str">
        <f aca="false">IF($A179="","",Stock_Diario!E179)</f>
        <v/>
      </c>
      <c r="D179" s="24" t="str">
        <f aca="false">IF($A179="","",IF(SUMIFS(Recepciones!$C$5:$C$2000,Recepciones!$B$5:$B$2000,Config!$A$23,Recepciones!$A$5:$A$2000,"&gt;"&amp;$A178,Recepciones!$A$5:$A$2000,"&lt;="&amp;$A179)&gt;0,SUMIFS(Recepciones!$C$5:$C$2000,Recepciones!$B$5:$B$2000,Config!$A$23,Recepciones!$A$5:$A$2000,"&gt;"&amp;$A178,Recepciones!$A$5:$A$2000,"&lt;="&amp;$A179),MAX(0,C179-C178)))</f>
        <v/>
      </c>
      <c r="E179" s="24" t="str">
        <f aca="false">IF($A179="","",MAX(0,C178+D179-C179))</f>
        <v/>
      </c>
      <c r="F179" s="24" t="str">
        <f aca="false">IF($A179="","",Stock_Diario!F179)</f>
        <v/>
      </c>
      <c r="G179" s="24" t="str">
        <f aca="false">IF($A179="","",IF(SUMIFS(Recepciones!$C$5:$C$2000,Recepciones!$B$5:$B$2000,Config!$A$24,Recepciones!$A$5:$A$2000,"&gt;"&amp;$A178,Recepciones!$A$5:$A$2000,"&lt;="&amp;$A179)&gt;0,SUMIFS(Recepciones!$C$5:$C$2000,Recepciones!$B$5:$B$2000,Config!$A$24,Recepciones!$A$5:$A$2000,"&gt;"&amp;$A178,Recepciones!$A$5:$A$2000,"&lt;="&amp;$A179),MAX(0,F179-F178)))</f>
        <v/>
      </c>
      <c r="H179" s="24" t="str">
        <f aca="false">IF($A179="","",MAX(0,F178+G179-F179))</f>
        <v/>
      </c>
      <c r="I179" s="24" t="str">
        <f aca="false">IF($A179="","",Stock_Diario!G179)</f>
        <v/>
      </c>
      <c r="J179" s="24" t="str">
        <f aca="false">IF($A179="","",IF(SUMIFS(Recepciones!$C$5:$C$2000,Recepciones!$B$5:$B$2000,Config!$A$25,Recepciones!$A$5:$A$2000,"&gt;"&amp;$A178,Recepciones!$A$5:$A$2000,"&lt;="&amp;$A179)&gt;0,SUMIFS(Recepciones!$C$5:$C$2000,Recepciones!$B$5:$B$2000,Config!$A$25,Recepciones!$A$5:$A$2000,"&gt;"&amp;$A178,Recepciones!$A$5:$A$2000,"&lt;="&amp;$A179),MAX(0,I179-I178)))</f>
        <v/>
      </c>
      <c r="K179" s="24" t="str">
        <f aca="false">IF($A179="","",MAX(0,I178+J179-I179))</f>
        <v/>
      </c>
      <c r="L179" s="24" t="str">
        <f aca="false">IF($A179="","",E179+H179+K179)</f>
        <v/>
      </c>
      <c r="M179" s="4" t="str">
        <f aca="false">IF($A179="","",IF(AND(D179+G179+J179&gt;0,SUMIFS(Recepciones!$C$5:$C$2000,Recepciones!$A$5:$A$2000,"&gt;"&amp;$A178,Recepciones!$A$5:$A$2000,"&lt;="&amp;$A179)=0),"Aumento de stock sin recepción registrada",IF(B179&gt;1,"Intervalo de "&amp;B179&amp;" días","")))</f>
        <v/>
      </c>
    </row>
    <row r="180" customFormat="false" ht="15" hidden="false" customHeight="false" outlineLevel="0" collapsed="false">
      <c r="A180" s="5" t="str">
        <f aca="false">IF(Stock_Diario!A180="","",Stock_Diario!A180)</f>
        <v/>
      </c>
      <c r="B180" s="4" t="str">
        <f aca="false">IF($A180="","",$A180-$A179)</f>
        <v/>
      </c>
      <c r="C180" s="24" t="str">
        <f aca="false">IF($A180="","",Stock_Diario!E180)</f>
        <v/>
      </c>
      <c r="D180" s="24" t="str">
        <f aca="false">IF($A180="","",IF(SUMIFS(Recepciones!$C$5:$C$2000,Recepciones!$B$5:$B$2000,Config!$A$23,Recepciones!$A$5:$A$2000,"&gt;"&amp;$A179,Recepciones!$A$5:$A$2000,"&lt;="&amp;$A180)&gt;0,SUMIFS(Recepciones!$C$5:$C$2000,Recepciones!$B$5:$B$2000,Config!$A$23,Recepciones!$A$5:$A$2000,"&gt;"&amp;$A179,Recepciones!$A$5:$A$2000,"&lt;="&amp;$A180),MAX(0,C180-C179)))</f>
        <v/>
      </c>
      <c r="E180" s="24" t="str">
        <f aca="false">IF($A180="","",MAX(0,C179+D180-C180))</f>
        <v/>
      </c>
      <c r="F180" s="24" t="str">
        <f aca="false">IF($A180="","",Stock_Diario!F180)</f>
        <v/>
      </c>
      <c r="G180" s="24" t="str">
        <f aca="false">IF($A180="","",IF(SUMIFS(Recepciones!$C$5:$C$2000,Recepciones!$B$5:$B$2000,Config!$A$24,Recepciones!$A$5:$A$2000,"&gt;"&amp;$A179,Recepciones!$A$5:$A$2000,"&lt;="&amp;$A180)&gt;0,SUMIFS(Recepciones!$C$5:$C$2000,Recepciones!$B$5:$B$2000,Config!$A$24,Recepciones!$A$5:$A$2000,"&gt;"&amp;$A179,Recepciones!$A$5:$A$2000,"&lt;="&amp;$A180),MAX(0,F180-F179)))</f>
        <v/>
      </c>
      <c r="H180" s="24" t="str">
        <f aca="false">IF($A180="","",MAX(0,F179+G180-F180))</f>
        <v/>
      </c>
      <c r="I180" s="24" t="str">
        <f aca="false">IF($A180="","",Stock_Diario!G180)</f>
        <v/>
      </c>
      <c r="J180" s="24" t="str">
        <f aca="false">IF($A180="","",IF(SUMIFS(Recepciones!$C$5:$C$2000,Recepciones!$B$5:$B$2000,Config!$A$25,Recepciones!$A$5:$A$2000,"&gt;"&amp;$A179,Recepciones!$A$5:$A$2000,"&lt;="&amp;$A180)&gt;0,SUMIFS(Recepciones!$C$5:$C$2000,Recepciones!$B$5:$B$2000,Config!$A$25,Recepciones!$A$5:$A$2000,"&gt;"&amp;$A179,Recepciones!$A$5:$A$2000,"&lt;="&amp;$A180),MAX(0,I180-I179)))</f>
        <v/>
      </c>
      <c r="K180" s="24" t="str">
        <f aca="false">IF($A180="","",MAX(0,I179+J180-I180))</f>
        <v/>
      </c>
      <c r="L180" s="24" t="str">
        <f aca="false">IF($A180="","",E180+H180+K180)</f>
        <v/>
      </c>
      <c r="M180" s="4" t="str">
        <f aca="false">IF($A180="","",IF(AND(D180+G180+J180&gt;0,SUMIFS(Recepciones!$C$5:$C$2000,Recepciones!$A$5:$A$2000,"&gt;"&amp;$A179,Recepciones!$A$5:$A$2000,"&lt;="&amp;$A180)=0),"Aumento de stock sin recepción registrada",IF(B180&gt;1,"Intervalo de "&amp;B180&amp;" días","")))</f>
        <v/>
      </c>
    </row>
    <row r="181" customFormat="false" ht="15" hidden="false" customHeight="false" outlineLevel="0" collapsed="false">
      <c r="A181" s="5" t="str">
        <f aca="false">IF(Stock_Diario!A181="","",Stock_Diario!A181)</f>
        <v/>
      </c>
      <c r="B181" s="4" t="str">
        <f aca="false">IF($A181="","",$A181-$A180)</f>
        <v/>
      </c>
      <c r="C181" s="24" t="str">
        <f aca="false">IF($A181="","",Stock_Diario!E181)</f>
        <v/>
      </c>
      <c r="D181" s="24" t="str">
        <f aca="false">IF($A181="","",IF(SUMIFS(Recepciones!$C$5:$C$2000,Recepciones!$B$5:$B$2000,Config!$A$23,Recepciones!$A$5:$A$2000,"&gt;"&amp;$A180,Recepciones!$A$5:$A$2000,"&lt;="&amp;$A181)&gt;0,SUMIFS(Recepciones!$C$5:$C$2000,Recepciones!$B$5:$B$2000,Config!$A$23,Recepciones!$A$5:$A$2000,"&gt;"&amp;$A180,Recepciones!$A$5:$A$2000,"&lt;="&amp;$A181),MAX(0,C181-C180)))</f>
        <v/>
      </c>
      <c r="E181" s="24" t="str">
        <f aca="false">IF($A181="","",MAX(0,C180+D181-C181))</f>
        <v/>
      </c>
      <c r="F181" s="24" t="str">
        <f aca="false">IF($A181="","",Stock_Diario!F181)</f>
        <v/>
      </c>
      <c r="G181" s="24" t="str">
        <f aca="false">IF($A181="","",IF(SUMIFS(Recepciones!$C$5:$C$2000,Recepciones!$B$5:$B$2000,Config!$A$24,Recepciones!$A$5:$A$2000,"&gt;"&amp;$A180,Recepciones!$A$5:$A$2000,"&lt;="&amp;$A181)&gt;0,SUMIFS(Recepciones!$C$5:$C$2000,Recepciones!$B$5:$B$2000,Config!$A$24,Recepciones!$A$5:$A$2000,"&gt;"&amp;$A180,Recepciones!$A$5:$A$2000,"&lt;="&amp;$A181),MAX(0,F181-F180)))</f>
        <v/>
      </c>
      <c r="H181" s="24" t="str">
        <f aca="false">IF($A181="","",MAX(0,F180+G181-F181))</f>
        <v/>
      </c>
      <c r="I181" s="24" t="str">
        <f aca="false">IF($A181="","",Stock_Diario!G181)</f>
        <v/>
      </c>
      <c r="J181" s="24" t="str">
        <f aca="false">IF($A181="","",IF(SUMIFS(Recepciones!$C$5:$C$2000,Recepciones!$B$5:$B$2000,Config!$A$25,Recepciones!$A$5:$A$2000,"&gt;"&amp;$A180,Recepciones!$A$5:$A$2000,"&lt;="&amp;$A181)&gt;0,SUMIFS(Recepciones!$C$5:$C$2000,Recepciones!$B$5:$B$2000,Config!$A$25,Recepciones!$A$5:$A$2000,"&gt;"&amp;$A180,Recepciones!$A$5:$A$2000,"&lt;="&amp;$A181),MAX(0,I181-I180)))</f>
        <v/>
      </c>
      <c r="K181" s="24" t="str">
        <f aca="false">IF($A181="","",MAX(0,I180+J181-I181))</f>
        <v/>
      </c>
      <c r="L181" s="24" t="str">
        <f aca="false">IF($A181="","",E181+H181+K181)</f>
        <v/>
      </c>
      <c r="M181" s="4" t="str">
        <f aca="false">IF($A181="","",IF(AND(D181+G181+J181&gt;0,SUMIFS(Recepciones!$C$5:$C$2000,Recepciones!$A$5:$A$2000,"&gt;"&amp;$A180,Recepciones!$A$5:$A$2000,"&lt;="&amp;$A181)=0),"Aumento de stock sin recepción registrada",IF(B181&gt;1,"Intervalo de "&amp;B181&amp;" días","")))</f>
        <v/>
      </c>
    </row>
    <row r="182" customFormat="false" ht="15" hidden="false" customHeight="false" outlineLevel="0" collapsed="false">
      <c r="A182" s="5" t="str">
        <f aca="false">IF(Stock_Diario!A182="","",Stock_Diario!A182)</f>
        <v/>
      </c>
      <c r="B182" s="4" t="str">
        <f aca="false">IF($A182="","",$A182-$A181)</f>
        <v/>
      </c>
      <c r="C182" s="24" t="str">
        <f aca="false">IF($A182="","",Stock_Diario!E182)</f>
        <v/>
      </c>
      <c r="D182" s="24" t="str">
        <f aca="false">IF($A182="","",IF(SUMIFS(Recepciones!$C$5:$C$2000,Recepciones!$B$5:$B$2000,Config!$A$23,Recepciones!$A$5:$A$2000,"&gt;"&amp;$A181,Recepciones!$A$5:$A$2000,"&lt;="&amp;$A182)&gt;0,SUMIFS(Recepciones!$C$5:$C$2000,Recepciones!$B$5:$B$2000,Config!$A$23,Recepciones!$A$5:$A$2000,"&gt;"&amp;$A181,Recepciones!$A$5:$A$2000,"&lt;="&amp;$A182),MAX(0,C182-C181)))</f>
        <v/>
      </c>
      <c r="E182" s="24" t="str">
        <f aca="false">IF($A182="","",MAX(0,C181+D182-C182))</f>
        <v/>
      </c>
      <c r="F182" s="24" t="str">
        <f aca="false">IF($A182="","",Stock_Diario!F182)</f>
        <v/>
      </c>
      <c r="G182" s="24" t="str">
        <f aca="false">IF($A182="","",IF(SUMIFS(Recepciones!$C$5:$C$2000,Recepciones!$B$5:$B$2000,Config!$A$24,Recepciones!$A$5:$A$2000,"&gt;"&amp;$A181,Recepciones!$A$5:$A$2000,"&lt;="&amp;$A182)&gt;0,SUMIFS(Recepciones!$C$5:$C$2000,Recepciones!$B$5:$B$2000,Config!$A$24,Recepciones!$A$5:$A$2000,"&gt;"&amp;$A181,Recepciones!$A$5:$A$2000,"&lt;="&amp;$A182),MAX(0,F182-F181)))</f>
        <v/>
      </c>
      <c r="H182" s="24" t="str">
        <f aca="false">IF($A182="","",MAX(0,F181+G182-F182))</f>
        <v/>
      </c>
      <c r="I182" s="24" t="str">
        <f aca="false">IF($A182="","",Stock_Diario!G182)</f>
        <v/>
      </c>
      <c r="J182" s="24" t="str">
        <f aca="false">IF($A182="","",IF(SUMIFS(Recepciones!$C$5:$C$2000,Recepciones!$B$5:$B$2000,Config!$A$25,Recepciones!$A$5:$A$2000,"&gt;"&amp;$A181,Recepciones!$A$5:$A$2000,"&lt;="&amp;$A182)&gt;0,SUMIFS(Recepciones!$C$5:$C$2000,Recepciones!$B$5:$B$2000,Config!$A$25,Recepciones!$A$5:$A$2000,"&gt;"&amp;$A181,Recepciones!$A$5:$A$2000,"&lt;="&amp;$A182),MAX(0,I182-I181)))</f>
        <v/>
      </c>
      <c r="K182" s="24" t="str">
        <f aca="false">IF($A182="","",MAX(0,I181+J182-I182))</f>
        <v/>
      </c>
      <c r="L182" s="24" t="str">
        <f aca="false">IF($A182="","",E182+H182+K182)</f>
        <v/>
      </c>
      <c r="M182" s="4" t="str">
        <f aca="false">IF($A182="","",IF(AND(D182+G182+J182&gt;0,SUMIFS(Recepciones!$C$5:$C$2000,Recepciones!$A$5:$A$2000,"&gt;"&amp;$A181,Recepciones!$A$5:$A$2000,"&lt;="&amp;$A182)=0),"Aumento de stock sin recepción registrada",IF(B182&gt;1,"Intervalo de "&amp;B182&amp;" días","")))</f>
        <v/>
      </c>
    </row>
    <row r="183" customFormat="false" ht="15" hidden="false" customHeight="false" outlineLevel="0" collapsed="false">
      <c r="A183" s="5" t="str">
        <f aca="false">IF(Stock_Diario!A183="","",Stock_Diario!A183)</f>
        <v/>
      </c>
      <c r="B183" s="4" t="str">
        <f aca="false">IF($A183="","",$A183-$A182)</f>
        <v/>
      </c>
      <c r="C183" s="24" t="str">
        <f aca="false">IF($A183="","",Stock_Diario!E183)</f>
        <v/>
      </c>
      <c r="D183" s="24" t="str">
        <f aca="false">IF($A183="","",IF(SUMIFS(Recepciones!$C$5:$C$2000,Recepciones!$B$5:$B$2000,Config!$A$23,Recepciones!$A$5:$A$2000,"&gt;"&amp;$A182,Recepciones!$A$5:$A$2000,"&lt;="&amp;$A183)&gt;0,SUMIFS(Recepciones!$C$5:$C$2000,Recepciones!$B$5:$B$2000,Config!$A$23,Recepciones!$A$5:$A$2000,"&gt;"&amp;$A182,Recepciones!$A$5:$A$2000,"&lt;="&amp;$A183),MAX(0,C183-C182)))</f>
        <v/>
      </c>
      <c r="E183" s="24" t="str">
        <f aca="false">IF($A183="","",MAX(0,C182+D183-C183))</f>
        <v/>
      </c>
      <c r="F183" s="24" t="str">
        <f aca="false">IF($A183="","",Stock_Diario!F183)</f>
        <v/>
      </c>
      <c r="G183" s="24" t="str">
        <f aca="false">IF($A183="","",IF(SUMIFS(Recepciones!$C$5:$C$2000,Recepciones!$B$5:$B$2000,Config!$A$24,Recepciones!$A$5:$A$2000,"&gt;"&amp;$A182,Recepciones!$A$5:$A$2000,"&lt;="&amp;$A183)&gt;0,SUMIFS(Recepciones!$C$5:$C$2000,Recepciones!$B$5:$B$2000,Config!$A$24,Recepciones!$A$5:$A$2000,"&gt;"&amp;$A182,Recepciones!$A$5:$A$2000,"&lt;="&amp;$A183),MAX(0,F183-F182)))</f>
        <v/>
      </c>
      <c r="H183" s="24" t="str">
        <f aca="false">IF($A183="","",MAX(0,F182+G183-F183))</f>
        <v/>
      </c>
      <c r="I183" s="24" t="str">
        <f aca="false">IF($A183="","",Stock_Diario!G183)</f>
        <v/>
      </c>
      <c r="J183" s="24" t="str">
        <f aca="false">IF($A183="","",IF(SUMIFS(Recepciones!$C$5:$C$2000,Recepciones!$B$5:$B$2000,Config!$A$25,Recepciones!$A$5:$A$2000,"&gt;"&amp;$A182,Recepciones!$A$5:$A$2000,"&lt;="&amp;$A183)&gt;0,SUMIFS(Recepciones!$C$5:$C$2000,Recepciones!$B$5:$B$2000,Config!$A$25,Recepciones!$A$5:$A$2000,"&gt;"&amp;$A182,Recepciones!$A$5:$A$2000,"&lt;="&amp;$A183),MAX(0,I183-I182)))</f>
        <v/>
      </c>
      <c r="K183" s="24" t="str">
        <f aca="false">IF($A183="","",MAX(0,I182+J183-I183))</f>
        <v/>
      </c>
      <c r="L183" s="24" t="str">
        <f aca="false">IF($A183="","",E183+H183+K183)</f>
        <v/>
      </c>
      <c r="M183" s="4" t="str">
        <f aca="false">IF($A183="","",IF(AND(D183+G183+J183&gt;0,SUMIFS(Recepciones!$C$5:$C$2000,Recepciones!$A$5:$A$2000,"&gt;"&amp;$A182,Recepciones!$A$5:$A$2000,"&lt;="&amp;$A183)=0),"Aumento de stock sin recepción registrada",IF(B183&gt;1,"Intervalo de "&amp;B183&amp;" días","")))</f>
        <v/>
      </c>
    </row>
    <row r="184" customFormat="false" ht="15" hidden="false" customHeight="false" outlineLevel="0" collapsed="false">
      <c r="A184" s="5" t="str">
        <f aca="false">IF(Stock_Diario!A184="","",Stock_Diario!A184)</f>
        <v/>
      </c>
      <c r="B184" s="4" t="str">
        <f aca="false">IF($A184="","",$A184-$A183)</f>
        <v/>
      </c>
      <c r="C184" s="24" t="str">
        <f aca="false">IF($A184="","",Stock_Diario!E184)</f>
        <v/>
      </c>
      <c r="D184" s="24" t="str">
        <f aca="false">IF($A184="","",IF(SUMIFS(Recepciones!$C$5:$C$2000,Recepciones!$B$5:$B$2000,Config!$A$23,Recepciones!$A$5:$A$2000,"&gt;"&amp;$A183,Recepciones!$A$5:$A$2000,"&lt;="&amp;$A184)&gt;0,SUMIFS(Recepciones!$C$5:$C$2000,Recepciones!$B$5:$B$2000,Config!$A$23,Recepciones!$A$5:$A$2000,"&gt;"&amp;$A183,Recepciones!$A$5:$A$2000,"&lt;="&amp;$A184),MAX(0,C184-C183)))</f>
        <v/>
      </c>
      <c r="E184" s="24" t="str">
        <f aca="false">IF($A184="","",MAX(0,C183+D184-C184))</f>
        <v/>
      </c>
      <c r="F184" s="24" t="str">
        <f aca="false">IF($A184="","",Stock_Diario!F184)</f>
        <v/>
      </c>
      <c r="G184" s="24" t="str">
        <f aca="false">IF($A184="","",IF(SUMIFS(Recepciones!$C$5:$C$2000,Recepciones!$B$5:$B$2000,Config!$A$24,Recepciones!$A$5:$A$2000,"&gt;"&amp;$A183,Recepciones!$A$5:$A$2000,"&lt;="&amp;$A184)&gt;0,SUMIFS(Recepciones!$C$5:$C$2000,Recepciones!$B$5:$B$2000,Config!$A$24,Recepciones!$A$5:$A$2000,"&gt;"&amp;$A183,Recepciones!$A$5:$A$2000,"&lt;="&amp;$A184),MAX(0,F184-F183)))</f>
        <v/>
      </c>
      <c r="H184" s="24" t="str">
        <f aca="false">IF($A184="","",MAX(0,F183+G184-F184))</f>
        <v/>
      </c>
      <c r="I184" s="24" t="str">
        <f aca="false">IF($A184="","",Stock_Diario!G184)</f>
        <v/>
      </c>
      <c r="J184" s="24" t="str">
        <f aca="false">IF($A184="","",IF(SUMIFS(Recepciones!$C$5:$C$2000,Recepciones!$B$5:$B$2000,Config!$A$25,Recepciones!$A$5:$A$2000,"&gt;"&amp;$A183,Recepciones!$A$5:$A$2000,"&lt;="&amp;$A184)&gt;0,SUMIFS(Recepciones!$C$5:$C$2000,Recepciones!$B$5:$B$2000,Config!$A$25,Recepciones!$A$5:$A$2000,"&gt;"&amp;$A183,Recepciones!$A$5:$A$2000,"&lt;="&amp;$A184),MAX(0,I184-I183)))</f>
        <v/>
      </c>
      <c r="K184" s="24" t="str">
        <f aca="false">IF($A184="","",MAX(0,I183+J184-I184))</f>
        <v/>
      </c>
      <c r="L184" s="24" t="str">
        <f aca="false">IF($A184="","",E184+H184+K184)</f>
        <v/>
      </c>
      <c r="M184" s="4" t="str">
        <f aca="false">IF($A184="","",IF(AND(D184+G184+J184&gt;0,SUMIFS(Recepciones!$C$5:$C$2000,Recepciones!$A$5:$A$2000,"&gt;"&amp;$A183,Recepciones!$A$5:$A$2000,"&lt;="&amp;$A184)=0),"Aumento de stock sin recepción registrada",IF(B184&gt;1,"Intervalo de "&amp;B184&amp;" días","")))</f>
        <v/>
      </c>
    </row>
    <row r="185" customFormat="false" ht="15" hidden="false" customHeight="false" outlineLevel="0" collapsed="false">
      <c r="A185" s="5" t="str">
        <f aca="false">IF(Stock_Diario!A185="","",Stock_Diario!A185)</f>
        <v/>
      </c>
      <c r="B185" s="4" t="str">
        <f aca="false">IF($A185="","",$A185-$A184)</f>
        <v/>
      </c>
      <c r="C185" s="24" t="str">
        <f aca="false">IF($A185="","",Stock_Diario!E185)</f>
        <v/>
      </c>
      <c r="D185" s="24" t="str">
        <f aca="false">IF($A185="","",IF(SUMIFS(Recepciones!$C$5:$C$2000,Recepciones!$B$5:$B$2000,Config!$A$23,Recepciones!$A$5:$A$2000,"&gt;"&amp;$A184,Recepciones!$A$5:$A$2000,"&lt;="&amp;$A185)&gt;0,SUMIFS(Recepciones!$C$5:$C$2000,Recepciones!$B$5:$B$2000,Config!$A$23,Recepciones!$A$5:$A$2000,"&gt;"&amp;$A184,Recepciones!$A$5:$A$2000,"&lt;="&amp;$A185),MAX(0,C185-C184)))</f>
        <v/>
      </c>
      <c r="E185" s="24" t="str">
        <f aca="false">IF($A185="","",MAX(0,C184+D185-C185))</f>
        <v/>
      </c>
      <c r="F185" s="24" t="str">
        <f aca="false">IF($A185="","",Stock_Diario!F185)</f>
        <v/>
      </c>
      <c r="G185" s="24" t="str">
        <f aca="false">IF($A185="","",IF(SUMIFS(Recepciones!$C$5:$C$2000,Recepciones!$B$5:$B$2000,Config!$A$24,Recepciones!$A$5:$A$2000,"&gt;"&amp;$A184,Recepciones!$A$5:$A$2000,"&lt;="&amp;$A185)&gt;0,SUMIFS(Recepciones!$C$5:$C$2000,Recepciones!$B$5:$B$2000,Config!$A$24,Recepciones!$A$5:$A$2000,"&gt;"&amp;$A184,Recepciones!$A$5:$A$2000,"&lt;="&amp;$A185),MAX(0,F185-F184)))</f>
        <v/>
      </c>
      <c r="H185" s="24" t="str">
        <f aca="false">IF($A185="","",MAX(0,F184+G185-F185))</f>
        <v/>
      </c>
      <c r="I185" s="24" t="str">
        <f aca="false">IF($A185="","",Stock_Diario!G185)</f>
        <v/>
      </c>
      <c r="J185" s="24" t="str">
        <f aca="false">IF($A185="","",IF(SUMIFS(Recepciones!$C$5:$C$2000,Recepciones!$B$5:$B$2000,Config!$A$25,Recepciones!$A$5:$A$2000,"&gt;"&amp;$A184,Recepciones!$A$5:$A$2000,"&lt;="&amp;$A185)&gt;0,SUMIFS(Recepciones!$C$5:$C$2000,Recepciones!$B$5:$B$2000,Config!$A$25,Recepciones!$A$5:$A$2000,"&gt;"&amp;$A184,Recepciones!$A$5:$A$2000,"&lt;="&amp;$A185),MAX(0,I185-I184)))</f>
        <v/>
      </c>
      <c r="K185" s="24" t="str">
        <f aca="false">IF($A185="","",MAX(0,I184+J185-I185))</f>
        <v/>
      </c>
      <c r="L185" s="24" t="str">
        <f aca="false">IF($A185="","",E185+H185+K185)</f>
        <v/>
      </c>
      <c r="M185" s="4" t="str">
        <f aca="false">IF($A185="","",IF(AND(D185+G185+J185&gt;0,SUMIFS(Recepciones!$C$5:$C$2000,Recepciones!$A$5:$A$2000,"&gt;"&amp;$A184,Recepciones!$A$5:$A$2000,"&lt;="&amp;$A185)=0),"Aumento de stock sin recepción registrada",IF(B185&gt;1,"Intervalo de "&amp;B185&amp;" días","")))</f>
        <v/>
      </c>
    </row>
    <row r="186" customFormat="false" ht="15" hidden="false" customHeight="false" outlineLevel="0" collapsed="false">
      <c r="A186" s="5" t="str">
        <f aca="false">IF(Stock_Diario!A186="","",Stock_Diario!A186)</f>
        <v/>
      </c>
      <c r="B186" s="4" t="str">
        <f aca="false">IF($A186="","",$A186-$A185)</f>
        <v/>
      </c>
      <c r="C186" s="24" t="str">
        <f aca="false">IF($A186="","",Stock_Diario!E186)</f>
        <v/>
      </c>
      <c r="D186" s="24" t="str">
        <f aca="false">IF($A186="","",IF(SUMIFS(Recepciones!$C$5:$C$2000,Recepciones!$B$5:$B$2000,Config!$A$23,Recepciones!$A$5:$A$2000,"&gt;"&amp;$A185,Recepciones!$A$5:$A$2000,"&lt;="&amp;$A186)&gt;0,SUMIFS(Recepciones!$C$5:$C$2000,Recepciones!$B$5:$B$2000,Config!$A$23,Recepciones!$A$5:$A$2000,"&gt;"&amp;$A185,Recepciones!$A$5:$A$2000,"&lt;="&amp;$A186),MAX(0,C186-C185)))</f>
        <v/>
      </c>
      <c r="E186" s="24" t="str">
        <f aca="false">IF($A186="","",MAX(0,C185+D186-C186))</f>
        <v/>
      </c>
      <c r="F186" s="24" t="str">
        <f aca="false">IF($A186="","",Stock_Diario!F186)</f>
        <v/>
      </c>
      <c r="G186" s="24" t="str">
        <f aca="false">IF($A186="","",IF(SUMIFS(Recepciones!$C$5:$C$2000,Recepciones!$B$5:$B$2000,Config!$A$24,Recepciones!$A$5:$A$2000,"&gt;"&amp;$A185,Recepciones!$A$5:$A$2000,"&lt;="&amp;$A186)&gt;0,SUMIFS(Recepciones!$C$5:$C$2000,Recepciones!$B$5:$B$2000,Config!$A$24,Recepciones!$A$5:$A$2000,"&gt;"&amp;$A185,Recepciones!$A$5:$A$2000,"&lt;="&amp;$A186),MAX(0,F186-F185)))</f>
        <v/>
      </c>
      <c r="H186" s="24" t="str">
        <f aca="false">IF($A186="","",MAX(0,F185+G186-F186))</f>
        <v/>
      </c>
      <c r="I186" s="24" t="str">
        <f aca="false">IF($A186="","",Stock_Diario!G186)</f>
        <v/>
      </c>
      <c r="J186" s="24" t="str">
        <f aca="false">IF($A186="","",IF(SUMIFS(Recepciones!$C$5:$C$2000,Recepciones!$B$5:$B$2000,Config!$A$25,Recepciones!$A$5:$A$2000,"&gt;"&amp;$A185,Recepciones!$A$5:$A$2000,"&lt;="&amp;$A186)&gt;0,SUMIFS(Recepciones!$C$5:$C$2000,Recepciones!$B$5:$B$2000,Config!$A$25,Recepciones!$A$5:$A$2000,"&gt;"&amp;$A185,Recepciones!$A$5:$A$2000,"&lt;="&amp;$A186),MAX(0,I186-I185)))</f>
        <v/>
      </c>
      <c r="K186" s="24" t="str">
        <f aca="false">IF($A186="","",MAX(0,I185+J186-I186))</f>
        <v/>
      </c>
      <c r="L186" s="24" t="str">
        <f aca="false">IF($A186="","",E186+H186+K186)</f>
        <v/>
      </c>
      <c r="M186" s="4" t="str">
        <f aca="false">IF($A186="","",IF(AND(D186+G186+J186&gt;0,SUMIFS(Recepciones!$C$5:$C$2000,Recepciones!$A$5:$A$2000,"&gt;"&amp;$A185,Recepciones!$A$5:$A$2000,"&lt;="&amp;$A186)=0),"Aumento de stock sin recepción registrada",IF(B186&gt;1,"Intervalo de "&amp;B186&amp;" días","")))</f>
        <v/>
      </c>
    </row>
    <row r="187" customFormat="false" ht="15" hidden="false" customHeight="false" outlineLevel="0" collapsed="false">
      <c r="A187" s="5" t="str">
        <f aca="false">IF(Stock_Diario!A187="","",Stock_Diario!A187)</f>
        <v/>
      </c>
      <c r="B187" s="4" t="str">
        <f aca="false">IF($A187="","",$A187-$A186)</f>
        <v/>
      </c>
      <c r="C187" s="24" t="str">
        <f aca="false">IF($A187="","",Stock_Diario!E187)</f>
        <v/>
      </c>
      <c r="D187" s="24" t="str">
        <f aca="false">IF($A187="","",IF(SUMIFS(Recepciones!$C$5:$C$2000,Recepciones!$B$5:$B$2000,Config!$A$23,Recepciones!$A$5:$A$2000,"&gt;"&amp;$A186,Recepciones!$A$5:$A$2000,"&lt;="&amp;$A187)&gt;0,SUMIFS(Recepciones!$C$5:$C$2000,Recepciones!$B$5:$B$2000,Config!$A$23,Recepciones!$A$5:$A$2000,"&gt;"&amp;$A186,Recepciones!$A$5:$A$2000,"&lt;="&amp;$A187),MAX(0,C187-C186)))</f>
        <v/>
      </c>
      <c r="E187" s="24" t="str">
        <f aca="false">IF($A187="","",MAX(0,C186+D187-C187))</f>
        <v/>
      </c>
      <c r="F187" s="24" t="str">
        <f aca="false">IF($A187="","",Stock_Diario!F187)</f>
        <v/>
      </c>
      <c r="G187" s="24" t="str">
        <f aca="false">IF($A187="","",IF(SUMIFS(Recepciones!$C$5:$C$2000,Recepciones!$B$5:$B$2000,Config!$A$24,Recepciones!$A$5:$A$2000,"&gt;"&amp;$A186,Recepciones!$A$5:$A$2000,"&lt;="&amp;$A187)&gt;0,SUMIFS(Recepciones!$C$5:$C$2000,Recepciones!$B$5:$B$2000,Config!$A$24,Recepciones!$A$5:$A$2000,"&gt;"&amp;$A186,Recepciones!$A$5:$A$2000,"&lt;="&amp;$A187),MAX(0,F187-F186)))</f>
        <v/>
      </c>
      <c r="H187" s="24" t="str">
        <f aca="false">IF($A187="","",MAX(0,F186+G187-F187))</f>
        <v/>
      </c>
      <c r="I187" s="24" t="str">
        <f aca="false">IF($A187="","",Stock_Diario!G187)</f>
        <v/>
      </c>
      <c r="J187" s="24" t="str">
        <f aca="false">IF($A187="","",IF(SUMIFS(Recepciones!$C$5:$C$2000,Recepciones!$B$5:$B$2000,Config!$A$25,Recepciones!$A$5:$A$2000,"&gt;"&amp;$A186,Recepciones!$A$5:$A$2000,"&lt;="&amp;$A187)&gt;0,SUMIFS(Recepciones!$C$5:$C$2000,Recepciones!$B$5:$B$2000,Config!$A$25,Recepciones!$A$5:$A$2000,"&gt;"&amp;$A186,Recepciones!$A$5:$A$2000,"&lt;="&amp;$A187),MAX(0,I187-I186)))</f>
        <v/>
      </c>
      <c r="K187" s="24" t="str">
        <f aca="false">IF($A187="","",MAX(0,I186+J187-I187))</f>
        <v/>
      </c>
      <c r="L187" s="24" t="str">
        <f aca="false">IF($A187="","",E187+H187+K187)</f>
        <v/>
      </c>
      <c r="M187" s="4" t="str">
        <f aca="false">IF($A187="","",IF(AND(D187+G187+J187&gt;0,SUMIFS(Recepciones!$C$5:$C$2000,Recepciones!$A$5:$A$2000,"&gt;"&amp;$A186,Recepciones!$A$5:$A$2000,"&lt;="&amp;$A187)=0),"Aumento de stock sin recepción registrada",IF(B187&gt;1,"Intervalo de "&amp;B187&amp;" días","")))</f>
        <v/>
      </c>
    </row>
    <row r="188" customFormat="false" ht="15" hidden="false" customHeight="false" outlineLevel="0" collapsed="false">
      <c r="A188" s="5" t="str">
        <f aca="false">IF(Stock_Diario!A188="","",Stock_Diario!A188)</f>
        <v/>
      </c>
      <c r="B188" s="4" t="str">
        <f aca="false">IF($A188="","",$A188-$A187)</f>
        <v/>
      </c>
      <c r="C188" s="24" t="str">
        <f aca="false">IF($A188="","",Stock_Diario!E188)</f>
        <v/>
      </c>
      <c r="D188" s="24" t="str">
        <f aca="false">IF($A188="","",IF(SUMIFS(Recepciones!$C$5:$C$2000,Recepciones!$B$5:$B$2000,Config!$A$23,Recepciones!$A$5:$A$2000,"&gt;"&amp;$A187,Recepciones!$A$5:$A$2000,"&lt;="&amp;$A188)&gt;0,SUMIFS(Recepciones!$C$5:$C$2000,Recepciones!$B$5:$B$2000,Config!$A$23,Recepciones!$A$5:$A$2000,"&gt;"&amp;$A187,Recepciones!$A$5:$A$2000,"&lt;="&amp;$A188),MAX(0,C188-C187)))</f>
        <v/>
      </c>
      <c r="E188" s="24" t="str">
        <f aca="false">IF($A188="","",MAX(0,C187+D188-C188))</f>
        <v/>
      </c>
      <c r="F188" s="24" t="str">
        <f aca="false">IF($A188="","",Stock_Diario!F188)</f>
        <v/>
      </c>
      <c r="G188" s="24" t="str">
        <f aca="false">IF($A188="","",IF(SUMIFS(Recepciones!$C$5:$C$2000,Recepciones!$B$5:$B$2000,Config!$A$24,Recepciones!$A$5:$A$2000,"&gt;"&amp;$A187,Recepciones!$A$5:$A$2000,"&lt;="&amp;$A188)&gt;0,SUMIFS(Recepciones!$C$5:$C$2000,Recepciones!$B$5:$B$2000,Config!$A$24,Recepciones!$A$5:$A$2000,"&gt;"&amp;$A187,Recepciones!$A$5:$A$2000,"&lt;="&amp;$A188),MAX(0,F188-F187)))</f>
        <v/>
      </c>
      <c r="H188" s="24" t="str">
        <f aca="false">IF($A188="","",MAX(0,F187+G188-F188))</f>
        <v/>
      </c>
      <c r="I188" s="24" t="str">
        <f aca="false">IF($A188="","",Stock_Diario!G188)</f>
        <v/>
      </c>
      <c r="J188" s="24" t="str">
        <f aca="false">IF($A188="","",IF(SUMIFS(Recepciones!$C$5:$C$2000,Recepciones!$B$5:$B$2000,Config!$A$25,Recepciones!$A$5:$A$2000,"&gt;"&amp;$A187,Recepciones!$A$5:$A$2000,"&lt;="&amp;$A188)&gt;0,SUMIFS(Recepciones!$C$5:$C$2000,Recepciones!$B$5:$B$2000,Config!$A$25,Recepciones!$A$5:$A$2000,"&gt;"&amp;$A187,Recepciones!$A$5:$A$2000,"&lt;="&amp;$A188),MAX(0,I188-I187)))</f>
        <v/>
      </c>
      <c r="K188" s="24" t="str">
        <f aca="false">IF($A188="","",MAX(0,I187+J188-I188))</f>
        <v/>
      </c>
      <c r="L188" s="24" t="str">
        <f aca="false">IF($A188="","",E188+H188+K188)</f>
        <v/>
      </c>
      <c r="M188" s="4" t="str">
        <f aca="false">IF($A188="","",IF(AND(D188+G188+J188&gt;0,SUMIFS(Recepciones!$C$5:$C$2000,Recepciones!$A$5:$A$2000,"&gt;"&amp;$A187,Recepciones!$A$5:$A$2000,"&lt;="&amp;$A188)=0),"Aumento de stock sin recepción registrada",IF(B188&gt;1,"Intervalo de "&amp;B188&amp;" días","")))</f>
        <v/>
      </c>
    </row>
    <row r="189" customFormat="false" ht="15" hidden="false" customHeight="false" outlineLevel="0" collapsed="false">
      <c r="A189" s="5" t="str">
        <f aca="false">IF(Stock_Diario!A189="","",Stock_Diario!A189)</f>
        <v/>
      </c>
      <c r="B189" s="4" t="str">
        <f aca="false">IF($A189="","",$A189-$A188)</f>
        <v/>
      </c>
      <c r="C189" s="24" t="str">
        <f aca="false">IF($A189="","",Stock_Diario!E189)</f>
        <v/>
      </c>
      <c r="D189" s="24" t="str">
        <f aca="false">IF($A189="","",IF(SUMIFS(Recepciones!$C$5:$C$2000,Recepciones!$B$5:$B$2000,Config!$A$23,Recepciones!$A$5:$A$2000,"&gt;"&amp;$A188,Recepciones!$A$5:$A$2000,"&lt;="&amp;$A189)&gt;0,SUMIFS(Recepciones!$C$5:$C$2000,Recepciones!$B$5:$B$2000,Config!$A$23,Recepciones!$A$5:$A$2000,"&gt;"&amp;$A188,Recepciones!$A$5:$A$2000,"&lt;="&amp;$A189),MAX(0,C189-C188)))</f>
        <v/>
      </c>
      <c r="E189" s="24" t="str">
        <f aca="false">IF($A189="","",MAX(0,C188+D189-C189))</f>
        <v/>
      </c>
      <c r="F189" s="24" t="str">
        <f aca="false">IF($A189="","",Stock_Diario!F189)</f>
        <v/>
      </c>
      <c r="G189" s="24" t="str">
        <f aca="false">IF($A189="","",IF(SUMIFS(Recepciones!$C$5:$C$2000,Recepciones!$B$5:$B$2000,Config!$A$24,Recepciones!$A$5:$A$2000,"&gt;"&amp;$A188,Recepciones!$A$5:$A$2000,"&lt;="&amp;$A189)&gt;0,SUMIFS(Recepciones!$C$5:$C$2000,Recepciones!$B$5:$B$2000,Config!$A$24,Recepciones!$A$5:$A$2000,"&gt;"&amp;$A188,Recepciones!$A$5:$A$2000,"&lt;="&amp;$A189),MAX(0,F189-F188)))</f>
        <v/>
      </c>
      <c r="H189" s="24" t="str">
        <f aca="false">IF($A189="","",MAX(0,F188+G189-F189))</f>
        <v/>
      </c>
      <c r="I189" s="24" t="str">
        <f aca="false">IF($A189="","",Stock_Diario!G189)</f>
        <v/>
      </c>
      <c r="J189" s="24" t="str">
        <f aca="false">IF($A189="","",IF(SUMIFS(Recepciones!$C$5:$C$2000,Recepciones!$B$5:$B$2000,Config!$A$25,Recepciones!$A$5:$A$2000,"&gt;"&amp;$A188,Recepciones!$A$5:$A$2000,"&lt;="&amp;$A189)&gt;0,SUMIFS(Recepciones!$C$5:$C$2000,Recepciones!$B$5:$B$2000,Config!$A$25,Recepciones!$A$5:$A$2000,"&gt;"&amp;$A188,Recepciones!$A$5:$A$2000,"&lt;="&amp;$A189),MAX(0,I189-I188)))</f>
        <v/>
      </c>
      <c r="K189" s="24" t="str">
        <f aca="false">IF($A189="","",MAX(0,I188+J189-I189))</f>
        <v/>
      </c>
      <c r="L189" s="24" t="str">
        <f aca="false">IF($A189="","",E189+H189+K189)</f>
        <v/>
      </c>
      <c r="M189" s="4" t="str">
        <f aca="false">IF($A189="","",IF(AND(D189+G189+J189&gt;0,SUMIFS(Recepciones!$C$5:$C$2000,Recepciones!$A$5:$A$2000,"&gt;"&amp;$A188,Recepciones!$A$5:$A$2000,"&lt;="&amp;$A189)=0),"Aumento de stock sin recepción registrada",IF(B189&gt;1,"Intervalo de "&amp;B189&amp;" días","")))</f>
        <v/>
      </c>
    </row>
    <row r="190" customFormat="false" ht="15" hidden="false" customHeight="false" outlineLevel="0" collapsed="false">
      <c r="A190" s="5" t="str">
        <f aca="false">IF(Stock_Diario!A190="","",Stock_Diario!A190)</f>
        <v/>
      </c>
      <c r="B190" s="4" t="str">
        <f aca="false">IF($A190="","",$A190-$A189)</f>
        <v/>
      </c>
      <c r="C190" s="24" t="str">
        <f aca="false">IF($A190="","",Stock_Diario!E190)</f>
        <v/>
      </c>
      <c r="D190" s="24" t="str">
        <f aca="false">IF($A190="","",IF(SUMIFS(Recepciones!$C$5:$C$2000,Recepciones!$B$5:$B$2000,Config!$A$23,Recepciones!$A$5:$A$2000,"&gt;"&amp;$A189,Recepciones!$A$5:$A$2000,"&lt;="&amp;$A190)&gt;0,SUMIFS(Recepciones!$C$5:$C$2000,Recepciones!$B$5:$B$2000,Config!$A$23,Recepciones!$A$5:$A$2000,"&gt;"&amp;$A189,Recepciones!$A$5:$A$2000,"&lt;="&amp;$A190),MAX(0,C190-C189)))</f>
        <v/>
      </c>
      <c r="E190" s="24" t="str">
        <f aca="false">IF($A190="","",MAX(0,C189+D190-C190))</f>
        <v/>
      </c>
      <c r="F190" s="24" t="str">
        <f aca="false">IF($A190="","",Stock_Diario!F190)</f>
        <v/>
      </c>
      <c r="G190" s="24" t="str">
        <f aca="false">IF($A190="","",IF(SUMIFS(Recepciones!$C$5:$C$2000,Recepciones!$B$5:$B$2000,Config!$A$24,Recepciones!$A$5:$A$2000,"&gt;"&amp;$A189,Recepciones!$A$5:$A$2000,"&lt;="&amp;$A190)&gt;0,SUMIFS(Recepciones!$C$5:$C$2000,Recepciones!$B$5:$B$2000,Config!$A$24,Recepciones!$A$5:$A$2000,"&gt;"&amp;$A189,Recepciones!$A$5:$A$2000,"&lt;="&amp;$A190),MAX(0,F190-F189)))</f>
        <v/>
      </c>
      <c r="H190" s="24" t="str">
        <f aca="false">IF($A190="","",MAX(0,F189+G190-F190))</f>
        <v/>
      </c>
      <c r="I190" s="24" t="str">
        <f aca="false">IF($A190="","",Stock_Diario!G190)</f>
        <v/>
      </c>
      <c r="J190" s="24" t="str">
        <f aca="false">IF($A190="","",IF(SUMIFS(Recepciones!$C$5:$C$2000,Recepciones!$B$5:$B$2000,Config!$A$25,Recepciones!$A$5:$A$2000,"&gt;"&amp;$A189,Recepciones!$A$5:$A$2000,"&lt;="&amp;$A190)&gt;0,SUMIFS(Recepciones!$C$5:$C$2000,Recepciones!$B$5:$B$2000,Config!$A$25,Recepciones!$A$5:$A$2000,"&gt;"&amp;$A189,Recepciones!$A$5:$A$2000,"&lt;="&amp;$A190),MAX(0,I190-I189)))</f>
        <v/>
      </c>
      <c r="K190" s="24" t="str">
        <f aca="false">IF($A190="","",MAX(0,I189+J190-I190))</f>
        <v/>
      </c>
      <c r="L190" s="24" t="str">
        <f aca="false">IF($A190="","",E190+H190+K190)</f>
        <v/>
      </c>
      <c r="M190" s="4" t="str">
        <f aca="false">IF($A190="","",IF(AND(D190+G190+J190&gt;0,SUMIFS(Recepciones!$C$5:$C$2000,Recepciones!$A$5:$A$2000,"&gt;"&amp;$A189,Recepciones!$A$5:$A$2000,"&lt;="&amp;$A190)=0),"Aumento de stock sin recepción registrada",IF(B190&gt;1,"Intervalo de "&amp;B190&amp;" días","")))</f>
        <v/>
      </c>
    </row>
    <row r="191" customFormat="false" ht="15" hidden="false" customHeight="false" outlineLevel="0" collapsed="false">
      <c r="A191" s="5" t="str">
        <f aca="false">IF(Stock_Diario!A191="","",Stock_Diario!A191)</f>
        <v/>
      </c>
      <c r="B191" s="4" t="str">
        <f aca="false">IF($A191="","",$A191-$A190)</f>
        <v/>
      </c>
      <c r="C191" s="24" t="str">
        <f aca="false">IF($A191="","",Stock_Diario!E191)</f>
        <v/>
      </c>
      <c r="D191" s="24" t="str">
        <f aca="false">IF($A191="","",IF(SUMIFS(Recepciones!$C$5:$C$2000,Recepciones!$B$5:$B$2000,Config!$A$23,Recepciones!$A$5:$A$2000,"&gt;"&amp;$A190,Recepciones!$A$5:$A$2000,"&lt;="&amp;$A191)&gt;0,SUMIFS(Recepciones!$C$5:$C$2000,Recepciones!$B$5:$B$2000,Config!$A$23,Recepciones!$A$5:$A$2000,"&gt;"&amp;$A190,Recepciones!$A$5:$A$2000,"&lt;="&amp;$A191),MAX(0,C191-C190)))</f>
        <v/>
      </c>
      <c r="E191" s="24" t="str">
        <f aca="false">IF($A191="","",MAX(0,C190+D191-C191))</f>
        <v/>
      </c>
      <c r="F191" s="24" t="str">
        <f aca="false">IF($A191="","",Stock_Diario!F191)</f>
        <v/>
      </c>
      <c r="G191" s="24" t="str">
        <f aca="false">IF($A191="","",IF(SUMIFS(Recepciones!$C$5:$C$2000,Recepciones!$B$5:$B$2000,Config!$A$24,Recepciones!$A$5:$A$2000,"&gt;"&amp;$A190,Recepciones!$A$5:$A$2000,"&lt;="&amp;$A191)&gt;0,SUMIFS(Recepciones!$C$5:$C$2000,Recepciones!$B$5:$B$2000,Config!$A$24,Recepciones!$A$5:$A$2000,"&gt;"&amp;$A190,Recepciones!$A$5:$A$2000,"&lt;="&amp;$A191),MAX(0,F191-F190)))</f>
        <v/>
      </c>
      <c r="H191" s="24" t="str">
        <f aca="false">IF($A191="","",MAX(0,F190+G191-F191))</f>
        <v/>
      </c>
      <c r="I191" s="24" t="str">
        <f aca="false">IF($A191="","",Stock_Diario!G191)</f>
        <v/>
      </c>
      <c r="J191" s="24" t="str">
        <f aca="false">IF($A191="","",IF(SUMIFS(Recepciones!$C$5:$C$2000,Recepciones!$B$5:$B$2000,Config!$A$25,Recepciones!$A$5:$A$2000,"&gt;"&amp;$A190,Recepciones!$A$5:$A$2000,"&lt;="&amp;$A191)&gt;0,SUMIFS(Recepciones!$C$5:$C$2000,Recepciones!$B$5:$B$2000,Config!$A$25,Recepciones!$A$5:$A$2000,"&gt;"&amp;$A190,Recepciones!$A$5:$A$2000,"&lt;="&amp;$A191),MAX(0,I191-I190)))</f>
        <v/>
      </c>
      <c r="K191" s="24" t="str">
        <f aca="false">IF($A191="","",MAX(0,I190+J191-I191))</f>
        <v/>
      </c>
      <c r="L191" s="24" t="str">
        <f aca="false">IF($A191="","",E191+H191+K191)</f>
        <v/>
      </c>
      <c r="M191" s="4" t="str">
        <f aca="false">IF($A191="","",IF(AND(D191+G191+J191&gt;0,SUMIFS(Recepciones!$C$5:$C$2000,Recepciones!$A$5:$A$2000,"&gt;"&amp;$A190,Recepciones!$A$5:$A$2000,"&lt;="&amp;$A191)=0),"Aumento de stock sin recepción registrada",IF(B191&gt;1,"Intervalo de "&amp;B191&amp;" días","")))</f>
        <v/>
      </c>
    </row>
    <row r="192" customFormat="false" ht="15" hidden="false" customHeight="false" outlineLevel="0" collapsed="false">
      <c r="A192" s="5" t="str">
        <f aca="false">IF(Stock_Diario!A192="","",Stock_Diario!A192)</f>
        <v/>
      </c>
      <c r="B192" s="4" t="str">
        <f aca="false">IF($A192="","",$A192-$A191)</f>
        <v/>
      </c>
      <c r="C192" s="24" t="str">
        <f aca="false">IF($A192="","",Stock_Diario!E192)</f>
        <v/>
      </c>
      <c r="D192" s="24" t="str">
        <f aca="false">IF($A192="","",IF(SUMIFS(Recepciones!$C$5:$C$2000,Recepciones!$B$5:$B$2000,Config!$A$23,Recepciones!$A$5:$A$2000,"&gt;"&amp;$A191,Recepciones!$A$5:$A$2000,"&lt;="&amp;$A192)&gt;0,SUMIFS(Recepciones!$C$5:$C$2000,Recepciones!$B$5:$B$2000,Config!$A$23,Recepciones!$A$5:$A$2000,"&gt;"&amp;$A191,Recepciones!$A$5:$A$2000,"&lt;="&amp;$A192),MAX(0,C192-C191)))</f>
        <v/>
      </c>
      <c r="E192" s="24" t="str">
        <f aca="false">IF($A192="","",MAX(0,C191+D192-C192))</f>
        <v/>
      </c>
      <c r="F192" s="24" t="str">
        <f aca="false">IF($A192="","",Stock_Diario!F192)</f>
        <v/>
      </c>
      <c r="G192" s="24" t="str">
        <f aca="false">IF($A192="","",IF(SUMIFS(Recepciones!$C$5:$C$2000,Recepciones!$B$5:$B$2000,Config!$A$24,Recepciones!$A$5:$A$2000,"&gt;"&amp;$A191,Recepciones!$A$5:$A$2000,"&lt;="&amp;$A192)&gt;0,SUMIFS(Recepciones!$C$5:$C$2000,Recepciones!$B$5:$B$2000,Config!$A$24,Recepciones!$A$5:$A$2000,"&gt;"&amp;$A191,Recepciones!$A$5:$A$2000,"&lt;="&amp;$A192),MAX(0,F192-F191)))</f>
        <v/>
      </c>
      <c r="H192" s="24" t="str">
        <f aca="false">IF($A192="","",MAX(0,F191+G192-F192))</f>
        <v/>
      </c>
      <c r="I192" s="24" t="str">
        <f aca="false">IF($A192="","",Stock_Diario!G192)</f>
        <v/>
      </c>
      <c r="J192" s="24" t="str">
        <f aca="false">IF($A192="","",IF(SUMIFS(Recepciones!$C$5:$C$2000,Recepciones!$B$5:$B$2000,Config!$A$25,Recepciones!$A$5:$A$2000,"&gt;"&amp;$A191,Recepciones!$A$5:$A$2000,"&lt;="&amp;$A192)&gt;0,SUMIFS(Recepciones!$C$5:$C$2000,Recepciones!$B$5:$B$2000,Config!$A$25,Recepciones!$A$5:$A$2000,"&gt;"&amp;$A191,Recepciones!$A$5:$A$2000,"&lt;="&amp;$A192),MAX(0,I192-I191)))</f>
        <v/>
      </c>
      <c r="K192" s="24" t="str">
        <f aca="false">IF($A192="","",MAX(0,I191+J192-I192))</f>
        <v/>
      </c>
      <c r="L192" s="24" t="str">
        <f aca="false">IF($A192="","",E192+H192+K192)</f>
        <v/>
      </c>
      <c r="M192" s="4" t="str">
        <f aca="false">IF($A192="","",IF(AND(D192+G192+J192&gt;0,SUMIFS(Recepciones!$C$5:$C$2000,Recepciones!$A$5:$A$2000,"&gt;"&amp;$A191,Recepciones!$A$5:$A$2000,"&lt;="&amp;$A192)=0),"Aumento de stock sin recepción registrada",IF(B192&gt;1,"Intervalo de "&amp;B192&amp;" días","")))</f>
        <v/>
      </c>
    </row>
    <row r="193" customFormat="false" ht="15" hidden="false" customHeight="false" outlineLevel="0" collapsed="false">
      <c r="A193" s="5" t="str">
        <f aca="false">IF(Stock_Diario!A193="","",Stock_Diario!A193)</f>
        <v/>
      </c>
      <c r="B193" s="4" t="str">
        <f aca="false">IF($A193="","",$A193-$A192)</f>
        <v/>
      </c>
      <c r="C193" s="24" t="str">
        <f aca="false">IF($A193="","",Stock_Diario!E193)</f>
        <v/>
      </c>
      <c r="D193" s="24" t="str">
        <f aca="false">IF($A193="","",IF(SUMIFS(Recepciones!$C$5:$C$2000,Recepciones!$B$5:$B$2000,Config!$A$23,Recepciones!$A$5:$A$2000,"&gt;"&amp;$A192,Recepciones!$A$5:$A$2000,"&lt;="&amp;$A193)&gt;0,SUMIFS(Recepciones!$C$5:$C$2000,Recepciones!$B$5:$B$2000,Config!$A$23,Recepciones!$A$5:$A$2000,"&gt;"&amp;$A192,Recepciones!$A$5:$A$2000,"&lt;="&amp;$A193),MAX(0,C193-C192)))</f>
        <v/>
      </c>
      <c r="E193" s="24" t="str">
        <f aca="false">IF($A193="","",MAX(0,C192+D193-C193))</f>
        <v/>
      </c>
      <c r="F193" s="24" t="str">
        <f aca="false">IF($A193="","",Stock_Diario!F193)</f>
        <v/>
      </c>
      <c r="G193" s="24" t="str">
        <f aca="false">IF($A193="","",IF(SUMIFS(Recepciones!$C$5:$C$2000,Recepciones!$B$5:$B$2000,Config!$A$24,Recepciones!$A$5:$A$2000,"&gt;"&amp;$A192,Recepciones!$A$5:$A$2000,"&lt;="&amp;$A193)&gt;0,SUMIFS(Recepciones!$C$5:$C$2000,Recepciones!$B$5:$B$2000,Config!$A$24,Recepciones!$A$5:$A$2000,"&gt;"&amp;$A192,Recepciones!$A$5:$A$2000,"&lt;="&amp;$A193),MAX(0,F193-F192)))</f>
        <v/>
      </c>
      <c r="H193" s="24" t="str">
        <f aca="false">IF($A193="","",MAX(0,F192+G193-F193))</f>
        <v/>
      </c>
      <c r="I193" s="24" t="str">
        <f aca="false">IF($A193="","",Stock_Diario!G193)</f>
        <v/>
      </c>
      <c r="J193" s="24" t="str">
        <f aca="false">IF($A193="","",IF(SUMIFS(Recepciones!$C$5:$C$2000,Recepciones!$B$5:$B$2000,Config!$A$25,Recepciones!$A$5:$A$2000,"&gt;"&amp;$A192,Recepciones!$A$5:$A$2000,"&lt;="&amp;$A193)&gt;0,SUMIFS(Recepciones!$C$5:$C$2000,Recepciones!$B$5:$B$2000,Config!$A$25,Recepciones!$A$5:$A$2000,"&gt;"&amp;$A192,Recepciones!$A$5:$A$2000,"&lt;="&amp;$A193),MAX(0,I193-I192)))</f>
        <v/>
      </c>
      <c r="K193" s="24" t="str">
        <f aca="false">IF($A193="","",MAX(0,I192+J193-I193))</f>
        <v/>
      </c>
      <c r="L193" s="24" t="str">
        <f aca="false">IF($A193="","",E193+H193+K193)</f>
        <v/>
      </c>
      <c r="M193" s="4" t="str">
        <f aca="false">IF($A193="","",IF(AND(D193+G193+J193&gt;0,SUMIFS(Recepciones!$C$5:$C$2000,Recepciones!$A$5:$A$2000,"&gt;"&amp;$A192,Recepciones!$A$5:$A$2000,"&lt;="&amp;$A193)=0),"Aumento de stock sin recepción registrada",IF(B193&gt;1,"Intervalo de "&amp;B193&amp;" días","")))</f>
        <v/>
      </c>
    </row>
    <row r="194" customFormat="false" ht="15" hidden="false" customHeight="false" outlineLevel="0" collapsed="false">
      <c r="A194" s="5" t="str">
        <f aca="false">IF(Stock_Diario!A194="","",Stock_Diario!A194)</f>
        <v/>
      </c>
      <c r="B194" s="4" t="str">
        <f aca="false">IF($A194="","",$A194-$A193)</f>
        <v/>
      </c>
      <c r="C194" s="24" t="str">
        <f aca="false">IF($A194="","",Stock_Diario!E194)</f>
        <v/>
      </c>
      <c r="D194" s="24" t="str">
        <f aca="false">IF($A194="","",IF(SUMIFS(Recepciones!$C$5:$C$2000,Recepciones!$B$5:$B$2000,Config!$A$23,Recepciones!$A$5:$A$2000,"&gt;"&amp;$A193,Recepciones!$A$5:$A$2000,"&lt;="&amp;$A194)&gt;0,SUMIFS(Recepciones!$C$5:$C$2000,Recepciones!$B$5:$B$2000,Config!$A$23,Recepciones!$A$5:$A$2000,"&gt;"&amp;$A193,Recepciones!$A$5:$A$2000,"&lt;="&amp;$A194),MAX(0,C194-C193)))</f>
        <v/>
      </c>
      <c r="E194" s="24" t="str">
        <f aca="false">IF($A194="","",MAX(0,C193+D194-C194))</f>
        <v/>
      </c>
      <c r="F194" s="24" t="str">
        <f aca="false">IF($A194="","",Stock_Diario!F194)</f>
        <v/>
      </c>
      <c r="G194" s="24" t="str">
        <f aca="false">IF($A194="","",IF(SUMIFS(Recepciones!$C$5:$C$2000,Recepciones!$B$5:$B$2000,Config!$A$24,Recepciones!$A$5:$A$2000,"&gt;"&amp;$A193,Recepciones!$A$5:$A$2000,"&lt;="&amp;$A194)&gt;0,SUMIFS(Recepciones!$C$5:$C$2000,Recepciones!$B$5:$B$2000,Config!$A$24,Recepciones!$A$5:$A$2000,"&gt;"&amp;$A193,Recepciones!$A$5:$A$2000,"&lt;="&amp;$A194),MAX(0,F194-F193)))</f>
        <v/>
      </c>
      <c r="H194" s="24" t="str">
        <f aca="false">IF($A194="","",MAX(0,F193+G194-F194))</f>
        <v/>
      </c>
      <c r="I194" s="24" t="str">
        <f aca="false">IF($A194="","",Stock_Diario!G194)</f>
        <v/>
      </c>
      <c r="J194" s="24" t="str">
        <f aca="false">IF($A194="","",IF(SUMIFS(Recepciones!$C$5:$C$2000,Recepciones!$B$5:$B$2000,Config!$A$25,Recepciones!$A$5:$A$2000,"&gt;"&amp;$A193,Recepciones!$A$5:$A$2000,"&lt;="&amp;$A194)&gt;0,SUMIFS(Recepciones!$C$5:$C$2000,Recepciones!$B$5:$B$2000,Config!$A$25,Recepciones!$A$5:$A$2000,"&gt;"&amp;$A193,Recepciones!$A$5:$A$2000,"&lt;="&amp;$A194),MAX(0,I194-I193)))</f>
        <v/>
      </c>
      <c r="K194" s="24" t="str">
        <f aca="false">IF($A194="","",MAX(0,I193+J194-I194))</f>
        <v/>
      </c>
      <c r="L194" s="24" t="str">
        <f aca="false">IF($A194="","",E194+H194+K194)</f>
        <v/>
      </c>
      <c r="M194" s="4" t="str">
        <f aca="false">IF($A194="","",IF(AND(D194+G194+J194&gt;0,SUMIFS(Recepciones!$C$5:$C$2000,Recepciones!$A$5:$A$2000,"&gt;"&amp;$A193,Recepciones!$A$5:$A$2000,"&lt;="&amp;$A194)=0),"Aumento de stock sin recepción registrada",IF(B194&gt;1,"Intervalo de "&amp;B194&amp;" días","")))</f>
        <v/>
      </c>
    </row>
    <row r="195" customFormat="false" ht="15" hidden="false" customHeight="false" outlineLevel="0" collapsed="false">
      <c r="A195" s="5" t="str">
        <f aca="false">IF(Stock_Diario!A195="","",Stock_Diario!A195)</f>
        <v/>
      </c>
      <c r="B195" s="4" t="str">
        <f aca="false">IF($A195="","",$A195-$A194)</f>
        <v/>
      </c>
      <c r="C195" s="24" t="str">
        <f aca="false">IF($A195="","",Stock_Diario!E195)</f>
        <v/>
      </c>
      <c r="D195" s="24" t="str">
        <f aca="false">IF($A195="","",IF(SUMIFS(Recepciones!$C$5:$C$2000,Recepciones!$B$5:$B$2000,Config!$A$23,Recepciones!$A$5:$A$2000,"&gt;"&amp;$A194,Recepciones!$A$5:$A$2000,"&lt;="&amp;$A195)&gt;0,SUMIFS(Recepciones!$C$5:$C$2000,Recepciones!$B$5:$B$2000,Config!$A$23,Recepciones!$A$5:$A$2000,"&gt;"&amp;$A194,Recepciones!$A$5:$A$2000,"&lt;="&amp;$A195),MAX(0,C195-C194)))</f>
        <v/>
      </c>
      <c r="E195" s="24" t="str">
        <f aca="false">IF($A195="","",MAX(0,C194+D195-C195))</f>
        <v/>
      </c>
      <c r="F195" s="24" t="str">
        <f aca="false">IF($A195="","",Stock_Diario!F195)</f>
        <v/>
      </c>
      <c r="G195" s="24" t="str">
        <f aca="false">IF($A195="","",IF(SUMIFS(Recepciones!$C$5:$C$2000,Recepciones!$B$5:$B$2000,Config!$A$24,Recepciones!$A$5:$A$2000,"&gt;"&amp;$A194,Recepciones!$A$5:$A$2000,"&lt;="&amp;$A195)&gt;0,SUMIFS(Recepciones!$C$5:$C$2000,Recepciones!$B$5:$B$2000,Config!$A$24,Recepciones!$A$5:$A$2000,"&gt;"&amp;$A194,Recepciones!$A$5:$A$2000,"&lt;="&amp;$A195),MAX(0,F195-F194)))</f>
        <v/>
      </c>
      <c r="H195" s="24" t="str">
        <f aca="false">IF($A195="","",MAX(0,F194+G195-F195))</f>
        <v/>
      </c>
      <c r="I195" s="24" t="str">
        <f aca="false">IF($A195="","",Stock_Diario!G195)</f>
        <v/>
      </c>
      <c r="J195" s="24" t="str">
        <f aca="false">IF($A195="","",IF(SUMIFS(Recepciones!$C$5:$C$2000,Recepciones!$B$5:$B$2000,Config!$A$25,Recepciones!$A$5:$A$2000,"&gt;"&amp;$A194,Recepciones!$A$5:$A$2000,"&lt;="&amp;$A195)&gt;0,SUMIFS(Recepciones!$C$5:$C$2000,Recepciones!$B$5:$B$2000,Config!$A$25,Recepciones!$A$5:$A$2000,"&gt;"&amp;$A194,Recepciones!$A$5:$A$2000,"&lt;="&amp;$A195),MAX(0,I195-I194)))</f>
        <v/>
      </c>
      <c r="K195" s="24" t="str">
        <f aca="false">IF($A195="","",MAX(0,I194+J195-I195))</f>
        <v/>
      </c>
      <c r="L195" s="24" t="str">
        <f aca="false">IF($A195="","",E195+H195+K195)</f>
        <v/>
      </c>
      <c r="M195" s="4" t="str">
        <f aca="false">IF($A195="","",IF(AND(D195+G195+J195&gt;0,SUMIFS(Recepciones!$C$5:$C$2000,Recepciones!$A$5:$A$2000,"&gt;"&amp;$A194,Recepciones!$A$5:$A$2000,"&lt;="&amp;$A195)=0),"Aumento de stock sin recepción registrada",IF(B195&gt;1,"Intervalo de "&amp;B195&amp;" días","")))</f>
        <v/>
      </c>
    </row>
    <row r="196" customFormat="false" ht="15" hidden="false" customHeight="false" outlineLevel="0" collapsed="false">
      <c r="A196" s="5" t="str">
        <f aca="false">IF(Stock_Diario!A196="","",Stock_Diario!A196)</f>
        <v/>
      </c>
      <c r="B196" s="4" t="str">
        <f aca="false">IF($A196="","",$A196-$A195)</f>
        <v/>
      </c>
      <c r="C196" s="24" t="str">
        <f aca="false">IF($A196="","",Stock_Diario!E196)</f>
        <v/>
      </c>
      <c r="D196" s="24" t="str">
        <f aca="false">IF($A196="","",IF(SUMIFS(Recepciones!$C$5:$C$2000,Recepciones!$B$5:$B$2000,Config!$A$23,Recepciones!$A$5:$A$2000,"&gt;"&amp;$A195,Recepciones!$A$5:$A$2000,"&lt;="&amp;$A196)&gt;0,SUMIFS(Recepciones!$C$5:$C$2000,Recepciones!$B$5:$B$2000,Config!$A$23,Recepciones!$A$5:$A$2000,"&gt;"&amp;$A195,Recepciones!$A$5:$A$2000,"&lt;="&amp;$A196),MAX(0,C196-C195)))</f>
        <v/>
      </c>
      <c r="E196" s="24" t="str">
        <f aca="false">IF($A196="","",MAX(0,C195+D196-C196))</f>
        <v/>
      </c>
      <c r="F196" s="24" t="str">
        <f aca="false">IF($A196="","",Stock_Diario!F196)</f>
        <v/>
      </c>
      <c r="G196" s="24" t="str">
        <f aca="false">IF($A196="","",IF(SUMIFS(Recepciones!$C$5:$C$2000,Recepciones!$B$5:$B$2000,Config!$A$24,Recepciones!$A$5:$A$2000,"&gt;"&amp;$A195,Recepciones!$A$5:$A$2000,"&lt;="&amp;$A196)&gt;0,SUMIFS(Recepciones!$C$5:$C$2000,Recepciones!$B$5:$B$2000,Config!$A$24,Recepciones!$A$5:$A$2000,"&gt;"&amp;$A195,Recepciones!$A$5:$A$2000,"&lt;="&amp;$A196),MAX(0,F196-F195)))</f>
        <v/>
      </c>
      <c r="H196" s="24" t="str">
        <f aca="false">IF($A196="","",MAX(0,F195+G196-F196))</f>
        <v/>
      </c>
      <c r="I196" s="24" t="str">
        <f aca="false">IF($A196="","",Stock_Diario!G196)</f>
        <v/>
      </c>
      <c r="J196" s="24" t="str">
        <f aca="false">IF($A196="","",IF(SUMIFS(Recepciones!$C$5:$C$2000,Recepciones!$B$5:$B$2000,Config!$A$25,Recepciones!$A$5:$A$2000,"&gt;"&amp;$A195,Recepciones!$A$5:$A$2000,"&lt;="&amp;$A196)&gt;0,SUMIFS(Recepciones!$C$5:$C$2000,Recepciones!$B$5:$B$2000,Config!$A$25,Recepciones!$A$5:$A$2000,"&gt;"&amp;$A195,Recepciones!$A$5:$A$2000,"&lt;="&amp;$A196),MAX(0,I196-I195)))</f>
        <v/>
      </c>
      <c r="K196" s="24" t="str">
        <f aca="false">IF($A196="","",MAX(0,I195+J196-I196))</f>
        <v/>
      </c>
      <c r="L196" s="24" t="str">
        <f aca="false">IF($A196="","",E196+H196+K196)</f>
        <v/>
      </c>
      <c r="M196" s="4" t="str">
        <f aca="false">IF($A196="","",IF(AND(D196+G196+J196&gt;0,SUMIFS(Recepciones!$C$5:$C$2000,Recepciones!$A$5:$A$2000,"&gt;"&amp;$A195,Recepciones!$A$5:$A$2000,"&lt;="&amp;$A196)=0),"Aumento de stock sin recepción registrada",IF(B196&gt;1,"Intervalo de "&amp;B196&amp;" días","")))</f>
        <v/>
      </c>
    </row>
    <row r="197" customFormat="false" ht="15" hidden="false" customHeight="false" outlineLevel="0" collapsed="false">
      <c r="A197" s="5" t="str">
        <f aca="false">IF(Stock_Diario!A197="","",Stock_Diario!A197)</f>
        <v/>
      </c>
      <c r="B197" s="4" t="str">
        <f aca="false">IF($A197="","",$A197-$A196)</f>
        <v/>
      </c>
      <c r="C197" s="24" t="str">
        <f aca="false">IF($A197="","",Stock_Diario!E197)</f>
        <v/>
      </c>
      <c r="D197" s="24" t="str">
        <f aca="false">IF($A197="","",IF(SUMIFS(Recepciones!$C$5:$C$2000,Recepciones!$B$5:$B$2000,Config!$A$23,Recepciones!$A$5:$A$2000,"&gt;"&amp;$A196,Recepciones!$A$5:$A$2000,"&lt;="&amp;$A197)&gt;0,SUMIFS(Recepciones!$C$5:$C$2000,Recepciones!$B$5:$B$2000,Config!$A$23,Recepciones!$A$5:$A$2000,"&gt;"&amp;$A196,Recepciones!$A$5:$A$2000,"&lt;="&amp;$A197),MAX(0,C197-C196)))</f>
        <v/>
      </c>
      <c r="E197" s="24" t="str">
        <f aca="false">IF($A197="","",MAX(0,C196+D197-C197))</f>
        <v/>
      </c>
      <c r="F197" s="24" t="str">
        <f aca="false">IF($A197="","",Stock_Diario!F197)</f>
        <v/>
      </c>
      <c r="G197" s="24" t="str">
        <f aca="false">IF($A197="","",IF(SUMIFS(Recepciones!$C$5:$C$2000,Recepciones!$B$5:$B$2000,Config!$A$24,Recepciones!$A$5:$A$2000,"&gt;"&amp;$A196,Recepciones!$A$5:$A$2000,"&lt;="&amp;$A197)&gt;0,SUMIFS(Recepciones!$C$5:$C$2000,Recepciones!$B$5:$B$2000,Config!$A$24,Recepciones!$A$5:$A$2000,"&gt;"&amp;$A196,Recepciones!$A$5:$A$2000,"&lt;="&amp;$A197),MAX(0,F197-F196)))</f>
        <v/>
      </c>
      <c r="H197" s="24" t="str">
        <f aca="false">IF($A197="","",MAX(0,F196+G197-F197))</f>
        <v/>
      </c>
      <c r="I197" s="24" t="str">
        <f aca="false">IF($A197="","",Stock_Diario!G197)</f>
        <v/>
      </c>
      <c r="J197" s="24" t="str">
        <f aca="false">IF($A197="","",IF(SUMIFS(Recepciones!$C$5:$C$2000,Recepciones!$B$5:$B$2000,Config!$A$25,Recepciones!$A$5:$A$2000,"&gt;"&amp;$A196,Recepciones!$A$5:$A$2000,"&lt;="&amp;$A197)&gt;0,SUMIFS(Recepciones!$C$5:$C$2000,Recepciones!$B$5:$B$2000,Config!$A$25,Recepciones!$A$5:$A$2000,"&gt;"&amp;$A196,Recepciones!$A$5:$A$2000,"&lt;="&amp;$A197),MAX(0,I197-I196)))</f>
        <v/>
      </c>
      <c r="K197" s="24" t="str">
        <f aca="false">IF($A197="","",MAX(0,I196+J197-I197))</f>
        <v/>
      </c>
      <c r="L197" s="24" t="str">
        <f aca="false">IF($A197="","",E197+H197+K197)</f>
        <v/>
      </c>
      <c r="M197" s="4" t="str">
        <f aca="false">IF($A197="","",IF(AND(D197+G197+J197&gt;0,SUMIFS(Recepciones!$C$5:$C$2000,Recepciones!$A$5:$A$2000,"&gt;"&amp;$A196,Recepciones!$A$5:$A$2000,"&lt;="&amp;$A197)=0),"Aumento de stock sin recepción registrada",IF(B197&gt;1,"Intervalo de "&amp;B197&amp;" días","")))</f>
        <v/>
      </c>
    </row>
    <row r="198" customFormat="false" ht="15" hidden="false" customHeight="false" outlineLevel="0" collapsed="false">
      <c r="A198" s="5" t="str">
        <f aca="false">IF(Stock_Diario!A198="","",Stock_Diario!A198)</f>
        <v/>
      </c>
      <c r="B198" s="4" t="str">
        <f aca="false">IF($A198="","",$A198-$A197)</f>
        <v/>
      </c>
      <c r="C198" s="24" t="str">
        <f aca="false">IF($A198="","",Stock_Diario!E198)</f>
        <v/>
      </c>
      <c r="D198" s="24" t="str">
        <f aca="false">IF($A198="","",IF(SUMIFS(Recepciones!$C$5:$C$2000,Recepciones!$B$5:$B$2000,Config!$A$23,Recepciones!$A$5:$A$2000,"&gt;"&amp;$A197,Recepciones!$A$5:$A$2000,"&lt;="&amp;$A198)&gt;0,SUMIFS(Recepciones!$C$5:$C$2000,Recepciones!$B$5:$B$2000,Config!$A$23,Recepciones!$A$5:$A$2000,"&gt;"&amp;$A197,Recepciones!$A$5:$A$2000,"&lt;="&amp;$A198),MAX(0,C198-C197)))</f>
        <v/>
      </c>
      <c r="E198" s="24" t="str">
        <f aca="false">IF($A198="","",MAX(0,C197+D198-C198))</f>
        <v/>
      </c>
      <c r="F198" s="24" t="str">
        <f aca="false">IF($A198="","",Stock_Diario!F198)</f>
        <v/>
      </c>
      <c r="G198" s="24" t="str">
        <f aca="false">IF($A198="","",IF(SUMIFS(Recepciones!$C$5:$C$2000,Recepciones!$B$5:$B$2000,Config!$A$24,Recepciones!$A$5:$A$2000,"&gt;"&amp;$A197,Recepciones!$A$5:$A$2000,"&lt;="&amp;$A198)&gt;0,SUMIFS(Recepciones!$C$5:$C$2000,Recepciones!$B$5:$B$2000,Config!$A$24,Recepciones!$A$5:$A$2000,"&gt;"&amp;$A197,Recepciones!$A$5:$A$2000,"&lt;="&amp;$A198),MAX(0,F198-F197)))</f>
        <v/>
      </c>
      <c r="H198" s="24" t="str">
        <f aca="false">IF($A198="","",MAX(0,F197+G198-F198))</f>
        <v/>
      </c>
      <c r="I198" s="24" t="str">
        <f aca="false">IF($A198="","",Stock_Diario!G198)</f>
        <v/>
      </c>
      <c r="J198" s="24" t="str">
        <f aca="false">IF($A198="","",IF(SUMIFS(Recepciones!$C$5:$C$2000,Recepciones!$B$5:$B$2000,Config!$A$25,Recepciones!$A$5:$A$2000,"&gt;"&amp;$A197,Recepciones!$A$5:$A$2000,"&lt;="&amp;$A198)&gt;0,SUMIFS(Recepciones!$C$5:$C$2000,Recepciones!$B$5:$B$2000,Config!$A$25,Recepciones!$A$5:$A$2000,"&gt;"&amp;$A197,Recepciones!$A$5:$A$2000,"&lt;="&amp;$A198),MAX(0,I198-I197)))</f>
        <v/>
      </c>
      <c r="K198" s="24" t="str">
        <f aca="false">IF($A198="","",MAX(0,I197+J198-I198))</f>
        <v/>
      </c>
      <c r="L198" s="24" t="str">
        <f aca="false">IF($A198="","",E198+H198+K198)</f>
        <v/>
      </c>
      <c r="M198" s="4" t="str">
        <f aca="false">IF($A198="","",IF(AND(D198+G198+J198&gt;0,SUMIFS(Recepciones!$C$5:$C$2000,Recepciones!$A$5:$A$2000,"&gt;"&amp;$A197,Recepciones!$A$5:$A$2000,"&lt;="&amp;$A198)=0),"Aumento de stock sin recepción registrada",IF(B198&gt;1,"Intervalo de "&amp;B198&amp;" días","")))</f>
        <v/>
      </c>
    </row>
    <row r="199" customFormat="false" ht="15" hidden="false" customHeight="false" outlineLevel="0" collapsed="false">
      <c r="A199" s="5" t="str">
        <f aca="false">IF(Stock_Diario!A199="","",Stock_Diario!A199)</f>
        <v/>
      </c>
      <c r="B199" s="4" t="str">
        <f aca="false">IF($A199="","",$A199-$A198)</f>
        <v/>
      </c>
      <c r="C199" s="24" t="str">
        <f aca="false">IF($A199="","",Stock_Diario!E199)</f>
        <v/>
      </c>
      <c r="D199" s="24" t="str">
        <f aca="false">IF($A199="","",IF(SUMIFS(Recepciones!$C$5:$C$2000,Recepciones!$B$5:$B$2000,Config!$A$23,Recepciones!$A$5:$A$2000,"&gt;"&amp;$A198,Recepciones!$A$5:$A$2000,"&lt;="&amp;$A199)&gt;0,SUMIFS(Recepciones!$C$5:$C$2000,Recepciones!$B$5:$B$2000,Config!$A$23,Recepciones!$A$5:$A$2000,"&gt;"&amp;$A198,Recepciones!$A$5:$A$2000,"&lt;="&amp;$A199),MAX(0,C199-C198)))</f>
        <v/>
      </c>
      <c r="E199" s="24" t="str">
        <f aca="false">IF($A199="","",MAX(0,C198+D199-C199))</f>
        <v/>
      </c>
      <c r="F199" s="24" t="str">
        <f aca="false">IF($A199="","",Stock_Diario!F199)</f>
        <v/>
      </c>
      <c r="G199" s="24" t="str">
        <f aca="false">IF($A199="","",IF(SUMIFS(Recepciones!$C$5:$C$2000,Recepciones!$B$5:$B$2000,Config!$A$24,Recepciones!$A$5:$A$2000,"&gt;"&amp;$A198,Recepciones!$A$5:$A$2000,"&lt;="&amp;$A199)&gt;0,SUMIFS(Recepciones!$C$5:$C$2000,Recepciones!$B$5:$B$2000,Config!$A$24,Recepciones!$A$5:$A$2000,"&gt;"&amp;$A198,Recepciones!$A$5:$A$2000,"&lt;="&amp;$A199),MAX(0,F199-F198)))</f>
        <v/>
      </c>
      <c r="H199" s="24" t="str">
        <f aca="false">IF($A199="","",MAX(0,F198+G199-F199))</f>
        <v/>
      </c>
      <c r="I199" s="24" t="str">
        <f aca="false">IF($A199="","",Stock_Diario!G199)</f>
        <v/>
      </c>
      <c r="J199" s="24" t="str">
        <f aca="false">IF($A199="","",IF(SUMIFS(Recepciones!$C$5:$C$2000,Recepciones!$B$5:$B$2000,Config!$A$25,Recepciones!$A$5:$A$2000,"&gt;"&amp;$A198,Recepciones!$A$5:$A$2000,"&lt;="&amp;$A199)&gt;0,SUMIFS(Recepciones!$C$5:$C$2000,Recepciones!$B$5:$B$2000,Config!$A$25,Recepciones!$A$5:$A$2000,"&gt;"&amp;$A198,Recepciones!$A$5:$A$2000,"&lt;="&amp;$A199),MAX(0,I199-I198)))</f>
        <v/>
      </c>
      <c r="K199" s="24" t="str">
        <f aca="false">IF($A199="","",MAX(0,I198+J199-I199))</f>
        <v/>
      </c>
      <c r="L199" s="24" t="str">
        <f aca="false">IF($A199="","",E199+H199+K199)</f>
        <v/>
      </c>
      <c r="M199" s="4" t="str">
        <f aca="false">IF($A199="","",IF(AND(D199+G199+J199&gt;0,SUMIFS(Recepciones!$C$5:$C$2000,Recepciones!$A$5:$A$2000,"&gt;"&amp;$A198,Recepciones!$A$5:$A$2000,"&lt;="&amp;$A199)=0),"Aumento de stock sin recepción registrada",IF(B199&gt;1,"Intervalo de "&amp;B199&amp;" días","")))</f>
        <v/>
      </c>
    </row>
    <row r="200" customFormat="false" ht="15" hidden="false" customHeight="false" outlineLevel="0" collapsed="false">
      <c r="A200" s="5" t="str">
        <f aca="false">IF(Stock_Diario!A200="","",Stock_Diario!A200)</f>
        <v/>
      </c>
      <c r="B200" s="4" t="str">
        <f aca="false">IF($A200="","",$A200-$A199)</f>
        <v/>
      </c>
      <c r="C200" s="24" t="str">
        <f aca="false">IF($A200="","",Stock_Diario!E200)</f>
        <v/>
      </c>
      <c r="D200" s="24" t="str">
        <f aca="false">IF($A200="","",IF(SUMIFS(Recepciones!$C$5:$C$2000,Recepciones!$B$5:$B$2000,Config!$A$23,Recepciones!$A$5:$A$2000,"&gt;"&amp;$A199,Recepciones!$A$5:$A$2000,"&lt;="&amp;$A200)&gt;0,SUMIFS(Recepciones!$C$5:$C$2000,Recepciones!$B$5:$B$2000,Config!$A$23,Recepciones!$A$5:$A$2000,"&gt;"&amp;$A199,Recepciones!$A$5:$A$2000,"&lt;="&amp;$A200),MAX(0,C200-C199)))</f>
        <v/>
      </c>
      <c r="E200" s="24" t="str">
        <f aca="false">IF($A200="","",MAX(0,C199+D200-C200))</f>
        <v/>
      </c>
      <c r="F200" s="24" t="str">
        <f aca="false">IF($A200="","",Stock_Diario!F200)</f>
        <v/>
      </c>
      <c r="G200" s="24" t="str">
        <f aca="false">IF($A200="","",IF(SUMIFS(Recepciones!$C$5:$C$2000,Recepciones!$B$5:$B$2000,Config!$A$24,Recepciones!$A$5:$A$2000,"&gt;"&amp;$A199,Recepciones!$A$5:$A$2000,"&lt;="&amp;$A200)&gt;0,SUMIFS(Recepciones!$C$5:$C$2000,Recepciones!$B$5:$B$2000,Config!$A$24,Recepciones!$A$5:$A$2000,"&gt;"&amp;$A199,Recepciones!$A$5:$A$2000,"&lt;="&amp;$A200),MAX(0,F200-F199)))</f>
        <v/>
      </c>
      <c r="H200" s="24" t="str">
        <f aca="false">IF($A200="","",MAX(0,F199+G200-F200))</f>
        <v/>
      </c>
      <c r="I200" s="24" t="str">
        <f aca="false">IF($A200="","",Stock_Diario!G200)</f>
        <v/>
      </c>
      <c r="J200" s="24" t="str">
        <f aca="false">IF($A200="","",IF(SUMIFS(Recepciones!$C$5:$C$2000,Recepciones!$B$5:$B$2000,Config!$A$25,Recepciones!$A$5:$A$2000,"&gt;"&amp;$A199,Recepciones!$A$5:$A$2000,"&lt;="&amp;$A200)&gt;0,SUMIFS(Recepciones!$C$5:$C$2000,Recepciones!$B$5:$B$2000,Config!$A$25,Recepciones!$A$5:$A$2000,"&gt;"&amp;$A199,Recepciones!$A$5:$A$2000,"&lt;="&amp;$A200),MAX(0,I200-I199)))</f>
        <v/>
      </c>
      <c r="K200" s="24" t="str">
        <f aca="false">IF($A200="","",MAX(0,I199+J200-I200))</f>
        <v/>
      </c>
      <c r="L200" s="24" t="str">
        <f aca="false">IF($A200="","",E200+H200+K200)</f>
        <v/>
      </c>
      <c r="M200" s="4" t="str">
        <f aca="false">IF($A200="","",IF(AND(D200+G200+J200&gt;0,SUMIFS(Recepciones!$C$5:$C$2000,Recepciones!$A$5:$A$2000,"&gt;"&amp;$A199,Recepciones!$A$5:$A$2000,"&lt;="&amp;$A200)=0),"Aumento de stock sin recepción registrada",IF(B200&gt;1,"Intervalo de "&amp;B200&amp;" días","")))</f>
        <v/>
      </c>
    </row>
    <row r="201" customFormat="false" ht="15" hidden="false" customHeight="false" outlineLevel="0" collapsed="false">
      <c r="A201" s="5" t="str">
        <f aca="false">IF(Stock_Diario!A201="","",Stock_Diario!A201)</f>
        <v/>
      </c>
      <c r="B201" s="4" t="str">
        <f aca="false">IF($A201="","",$A201-$A200)</f>
        <v/>
      </c>
      <c r="C201" s="24" t="str">
        <f aca="false">IF($A201="","",Stock_Diario!E201)</f>
        <v/>
      </c>
      <c r="D201" s="24" t="str">
        <f aca="false">IF($A201="","",IF(SUMIFS(Recepciones!$C$5:$C$2000,Recepciones!$B$5:$B$2000,Config!$A$23,Recepciones!$A$5:$A$2000,"&gt;"&amp;$A200,Recepciones!$A$5:$A$2000,"&lt;="&amp;$A201)&gt;0,SUMIFS(Recepciones!$C$5:$C$2000,Recepciones!$B$5:$B$2000,Config!$A$23,Recepciones!$A$5:$A$2000,"&gt;"&amp;$A200,Recepciones!$A$5:$A$2000,"&lt;="&amp;$A201),MAX(0,C201-C200)))</f>
        <v/>
      </c>
      <c r="E201" s="24" t="str">
        <f aca="false">IF($A201="","",MAX(0,C200+D201-C201))</f>
        <v/>
      </c>
      <c r="F201" s="24" t="str">
        <f aca="false">IF($A201="","",Stock_Diario!F201)</f>
        <v/>
      </c>
      <c r="G201" s="24" t="str">
        <f aca="false">IF($A201="","",IF(SUMIFS(Recepciones!$C$5:$C$2000,Recepciones!$B$5:$B$2000,Config!$A$24,Recepciones!$A$5:$A$2000,"&gt;"&amp;$A200,Recepciones!$A$5:$A$2000,"&lt;="&amp;$A201)&gt;0,SUMIFS(Recepciones!$C$5:$C$2000,Recepciones!$B$5:$B$2000,Config!$A$24,Recepciones!$A$5:$A$2000,"&gt;"&amp;$A200,Recepciones!$A$5:$A$2000,"&lt;="&amp;$A201),MAX(0,F201-F200)))</f>
        <v/>
      </c>
      <c r="H201" s="24" t="str">
        <f aca="false">IF($A201="","",MAX(0,F200+G201-F201))</f>
        <v/>
      </c>
      <c r="I201" s="24" t="str">
        <f aca="false">IF($A201="","",Stock_Diario!G201)</f>
        <v/>
      </c>
      <c r="J201" s="24" t="str">
        <f aca="false">IF($A201="","",IF(SUMIFS(Recepciones!$C$5:$C$2000,Recepciones!$B$5:$B$2000,Config!$A$25,Recepciones!$A$5:$A$2000,"&gt;"&amp;$A200,Recepciones!$A$5:$A$2000,"&lt;="&amp;$A201)&gt;0,SUMIFS(Recepciones!$C$5:$C$2000,Recepciones!$B$5:$B$2000,Config!$A$25,Recepciones!$A$5:$A$2000,"&gt;"&amp;$A200,Recepciones!$A$5:$A$2000,"&lt;="&amp;$A201),MAX(0,I201-I200)))</f>
        <v/>
      </c>
      <c r="K201" s="24" t="str">
        <f aca="false">IF($A201="","",MAX(0,I200+J201-I201))</f>
        <v/>
      </c>
      <c r="L201" s="24" t="str">
        <f aca="false">IF($A201="","",E201+H201+K201)</f>
        <v/>
      </c>
      <c r="M201" s="4" t="str">
        <f aca="false">IF($A201="","",IF(AND(D201+G201+J201&gt;0,SUMIFS(Recepciones!$C$5:$C$2000,Recepciones!$A$5:$A$2000,"&gt;"&amp;$A200,Recepciones!$A$5:$A$2000,"&lt;="&amp;$A201)=0),"Aumento de stock sin recepción registrada",IF(B201&gt;1,"Intervalo de "&amp;B201&amp;" días","")))</f>
        <v/>
      </c>
    </row>
    <row r="202" customFormat="false" ht="15" hidden="false" customHeight="false" outlineLevel="0" collapsed="false">
      <c r="A202" s="5" t="str">
        <f aca="false">IF(Stock_Diario!A202="","",Stock_Diario!A202)</f>
        <v/>
      </c>
      <c r="B202" s="4" t="str">
        <f aca="false">IF($A202="","",$A202-$A201)</f>
        <v/>
      </c>
      <c r="C202" s="24" t="str">
        <f aca="false">IF($A202="","",Stock_Diario!E202)</f>
        <v/>
      </c>
      <c r="D202" s="24" t="str">
        <f aca="false">IF($A202="","",IF(SUMIFS(Recepciones!$C$5:$C$2000,Recepciones!$B$5:$B$2000,Config!$A$23,Recepciones!$A$5:$A$2000,"&gt;"&amp;$A201,Recepciones!$A$5:$A$2000,"&lt;="&amp;$A202)&gt;0,SUMIFS(Recepciones!$C$5:$C$2000,Recepciones!$B$5:$B$2000,Config!$A$23,Recepciones!$A$5:$A$2000,"&gt;"&amp;$A201,Recepciones!$A$5:$A$2000,"&lt;="&amp;$A202),MAX(0,C202-C201)))</f>
        <v/>
      </c>
      <c r="E202" s="24" t="str">
        <f aca="false">IF($A202="","",MAX(0,C201+D202-C202))</f>
        <v/>
      </c>
      <c r="F202" s="24" t="str">
        <f aca="false">IF($A202="","",Stock_Diario!F202)</f>
        <v/>
      </c>
      <c r="G202" s="24" t="str">
        <f aca="false">IF($A202="","",IF(SUMIFS(Recepciones!$C$5:$C$2000,Recepciones!$B$5:$B$2000,Config!$A$24,Recepciones!$A$5:$A$2000,"&gt;"&amp;$A201,Recepciones!$A$5:$A$2000,"&lt;="&amp;$A202)&gt;0,SUMIFS(Recepciones!$C$5:$C$2000,Recepciones!$B$5:$B$2000,Config!$A$24,Recepciones!$A$5:$A$2000,"&gt;"&amp;$A201,Recepciones!$A$5:$A$2000,"&lt;="&amp;$A202),MAX(0,F202-F201)))</f>
        <v/>
      </c>
      <c r="H202" s="24" t="str">
        <f aca="false">IF($A202="","",MAX(0,F201+G202-F202))</f>
        <v/>
      </c>
      <c r="I202" s="24" t="str">
        <f aca="false">IF($A202="","",Stock_Diario!G202)</f>
        <v/>
      </c>
      <c r="J202" s="24" t="str">
        <f aca="false">IF($A202="","",IF(SUMIFS(Recepciones!$C$5:$C$2000,Recepciones!$B$5:$B$2000,Config!$A$25,Recepciones!$A$5:$A$2000,"&gt;"&amp;$A201,Recepciones!$A$5:$A$2000,"&lt;="&amp;$A202)&gt;0,SUMIFS(Recepciones!$C$5:$C$2000,Recepciones!$B$5:$B$2000,Config!$A$25,Recepciones!$A$5:$A$2000,"&gt;"&amp;$A201,Recepciones!$A$5:$A$2000,"&lt;="&amp;$A202),MAX(0,I202-I201)))</f>
        <v/>
      </c>
      <c r="K202" s="24" t="str">
        <f aca="false">IF($A202="","",MAX(0,I201+J202-I202))</f>
        <v/>
      </c>
      <c r="L202" s="24" t="str">
        <f aca="false">IF($A202="","",E202+H202+K202)</f>
        <v/>
      </c>
      <c r="M202" s="4" t="str">
        <f aca="false">IF($A202="","",IF(AND(D202+G202+J202&gt;0,SUMIFS(Recepciones!$C$5:$C$2000,Recepciones!$A$5:$A$2000,"&gt;"&amp;$A201,Recepciones!$A$5:$A$2000,"&lt;="&amp;$A202)=0),"Aumento de stock sin recepción registrada",IF(B202&gt;1,"Intervalo de "&amp;B202&amp;" días","")))</f>
        <v/>
      </c>
    </row>
    <row r="203" customFormat="false" ht="15" hidden="false" customHeight="false" outlineLevel="0" collapsed="false">
      <c r="A203" s="5" t="str">
        <f aca="false">IF(Stock_Diario!A203="","",Stock_Diario!A203)</f>
        <v/>
      </c>
      <c r="B203" s="4" t="str">
        <f aca="false">IF($A203="","",$A203-$A202)</f>
        <v/>
      </c>
      <c r="C203" s="24" t="str">
        <f aca="false">IF($A203="","",Stock_Diario!E203)</f>
        <v/>
      </c>
      <c r="D203" s="24" t="str">
        <f aca="false">IF($A203="","",IF(SUMIFS(Recepciones!$C$5:$C$2000,Recepciones!$B$5:$B$2000,Config!$A$23,Recepciones!$A$5:$A$2000,"&gt;"&amp;$A202,Recepciones!$A$5:$A$2000,"&lt;="&amp;$A203)&gt;0,SUMIFS(Recepciones!$C$5:$C$2000,Recepciones!$B$5:$B$2000,Config!$A$23,Recepciones!$A$5:$A$2000,"&gt;"&amp;$A202,Recepciones!$A$5:$A$2000,"&lt;="&amp;$A203),MAX(0,C203-C202)))</f>
        <v/>
      </c>
      <c r="E203" s="24" t="str">
        <f aca="false">IF($A203="","",MAX(0,C202+D203-C203))</f>
        <v/>
      </c>
      <c r="F203" s="24" t="str">
        <f aca="false">IF($A203="","",Stock_Diario!F203)</f>
        <v/>
      </c>
      <c r="G203" s="24" t="str">
        <f aca="false">IF($A203="","",IF(SUMIFS(Recepciones!$C$5:$C$2000,Recepciones!$B$5:$B$2000,Config!$A$24,Recepciones!$A$5:$A$2000,"&gt;"&amp;$A202,Recepciones!$A$5:$A$2000,"&lt;="&amp;$A203)&gt;0,SUMIFS(Recepciones!$C$5:$C$2000,Recepciones!$B$5:$B$2000,Config!$A$24,Recepciones!$A$5:$A$2000,"&gt;"&amp;$A202,Recepciones!$A$5:$A$2000,"&lt;="&amp;$A203),MAX(0,F203-F202)))</f>
        <v/>
      </c>
      <c r="H203" s="24" t="str">
        <f aca="false">IF($A203="","",MAX(0,F202+G203-F203))</f>
        <v/>
      </c>
      <c r="I203" s="24" t="str">
        <f aca="false">IF($A203="","",Stock_Diario!G203)</f>
        <v/>
      </c>
      <c r="J203" s="24" t="str">
        <f aca="false">IF($A203="","",IF(SUMIFS(Recepciones!$C$5:$C$2000,Recepciones!$B$5:$B$2000,Config!$A$25,Recepciones!$A$5:$A$2000,"&gt;"&amp;$A202,Recepciones!$A$5:$A$2000,"&lt;="&amp;$A203)&gt;0,SUMIFS(Recepciones!$C$5:$C$2000,Recepciones!$B$5:$B$2000,Config!$A$25,Recepciones!$A$5:$A$2000,"&gt;"&amp;$A202,Recepciones!$A$5:$A$2000,"&lt;="&amp;$A203),MAX(0,I203-I202)))</f>
        <v/>
      </c>
      <c r="K203" s="24" t="str">
        <f aca="false">IF($A203="","",MAX(0,I202+J203-I203))</f>
        <v/>
      </c>
      <c r="L203" s="24" t="str">
        <f aca="false">IF($A203="","",E203+H203+K203)</f>
        <v/>
      </c>
      <c r="M203" s="4" t="str">
        <f aca="false">IF($A203="","",IF(AND(D203+G203+J203&gt;0,SUMIFS(Recepciones!$C$5:$C$2000,Recepciones!$A$5:$A$2000,"&gt;"&amp;$A202,Recepciones!$A$5:$A$2000,"&lt;="&amp;$A203)=0),"Aumento de stock sin recepción registrada",IF(B203&gt;1,"Intervalo de "&amp;B203&amp;" días","")))</f>
        <v/>
      </c>
    </row>
    <row r="204" customFormat="false" ht="15" hidden="false" customHeight="false" outlineLevel="0" collapsed="false">
      <c r="A204" s="5" t="str">
        <f aca="false">IF(Stock_Diario!A204="","",Stock_Diario!A204)</f>
        <v/>
      </c>
      <c r="B204" s="4" t="str">
        <f aca="false">IF($A204="","",$A204-$A203)</f>
        <v/>
      </c>
      <c r="C204" s="24" t="str">
        <f aca="false">IF($A204="","",Stock_Diario!E204)</f>
        <v/>
      </c>
      <c r="D204" s="24" t="str">
        <f aca="false">IF($A204="","",IF(SUMIFS(Recepciones!$C$5:$C$2000,Recepciones!$B$5:$B$2000,Config!$A$23,Recepciones!$A$5:$A$2000,"&gt;"&amp;$A203,Recepciones!$A$5:$A$2000,"&lt;="&amp;$A204)&gt;0,SUMIFS(Recepciones!$C$5:$C$2000,Recepciones!$B$5:$B$2000,Config!$A$23,Recepciones!$A$5:$A$2000,"&gt;"&amp;$A203,Recepciones!$A$5:$A$2000,"&lt;="&amp;$A204),MAX(0,C204-C203)))</f>
        <v/>
      </c>
      <c r="E204" s="24" t="str">
        <f aca="false">IF($A204="","",MAX(0,C203+D204-C204))</f>
        <v/>
      </c>
      <c r="F204" s="24" t="str">
        <f aca="false">IF($A204="","",Stock_Diario!F204)</f>
        <v/>
      </c>
      <c r="G204" s="24" t="str">
        <f aca="false">IF($A204="","",IF(SUMIFS(Recepciones!$C$5:$C$2000,Recepciones!$B$5:$B$2000,Config!$A$24,Recepciones!$A$5:$A$2000,"&gt;"&amp;$A203,Recepciones!$A$5:$A$2000,"&lt;="&amp;$A204)&gt;0,SUMIFS(Recepciones!$C$5:$C$2000,Recepciones!$B$5:$B$2000,Config!$A$24,Recepciones!$A$5:$A$2000,"&gt;"&amp;$A203,Recepciones!$A$5:$A$2000,"&lt;="&amp;$A204),MAX(0,F204-F203)))</f>
        <v/>
      </c>
      <c r="H204" s="24" t="str">
        <f aca="false">IF($A204="","",MAX(0,F203+G204-F204))</f>
        <v/>
      </c>
      <c r="I204" s="24" t="str">
        <f aca="false">IF($A204="","",Stock_Diario!G204)</f>
        <v/>
      </c>
      <c r="J204" s="24" t="str">
        <f aca="false">IF($A204="","",IF(SUMIFS(Recepciones!$C$5:$C$2000,Recepciones!$B$5:$B$2000,Config!$A$25,Recepciones!$A$5:$A$2000,"&gt;"&amp;$A203,Recepciones!$A$5:$A$2000,"&lt;="&amp;$A204)&gt;0,SUMIFS(Recepciones!$C$5:$C$2000,Recepciones!$B$5:$B$2000,Config!$A$25,Recepciones!$A$5:$A$2000,"&gt;"&amp;$A203,Recepciones!$A$5:$A$2000,"&lt;="&amp;$A204),MAX(0,I204-I203)))</f>
        <v/>
      </c>
      <c r="K204" s="24" t="str">
        <f aca="false">IF($A204="","",MAX(0,I203+J204-I204))</f>
        <v/>
      </c>
      <c r="L204" s="24" t="str">
        <f aca="false">IF($A204="","",E204+H204+K204)</f>
        <v/>
      </c>
      <c r="M204" s="4" t="str">
        <f aca="false">IF($A204="","",IF(AND(D204+G204+J204&gt;0,SUMIFS(Recepciones!$C$5:$C$2000,Recepciones!$A$5:$A$2000,"&gt;"&amp;$A203,Recepciones!$A$5:$A$2000,"&lt;="&amp;$A204)=0),"Aumento de stock sin recepción registrada",IF(B204&gt;1,"Intervalo de "&amp;B204&amp;" días","")))</f>
        <v/>
      </c>
    </row>
    <row r="205" customFormat="false" ht="15" hidden="false" customHeight="false" outlineLevel="0" collapsed="false">
      <c r="A205" s="5" t="str">
        <f aca="false">IF(Stock_Diario!A205="","",Stock_Diario!A205)</f>
        <v/>
      </c>
      <c r="B205" s="4" t="str">
        <f aca="false">IF($A205="","",$A205-$A204)</f>
        <v/>
      </c>
      <c r="C205" s="24" t="str">
        <f aca="false">IF($A205="","",Stock_Diario!E205)</f>
        <v/>
      </c>
      <c r="D205" s="24" t="str">
        <f aca="false">IF($A205="","",IF(SUMIFS(Recepciones!$C$5:$C$2000,Recepciones!$B$5:$B$2000,Config!$A$23,Recepciones!$A$5:$A$2000,"&gt;"&amp;$A204,Recepciones!$A$5:$A$2000,"&lt;="&amp;$A205)&gt;0,SUMIFS(Recepciones!$C$5:$C$2000,Recepciones!$B$5:$B$2000,Config!$A$23,Recepciones!$A$5:$A$2000,"&gt;"&amp;$A204,Recepciones!$A$5:$A$2000,"&lt;="&amp;$A205),MAX(0,C205-C204)))</f>
        <v/>
      </c>
      <c r="E205" s="24" t="str">
        <f aca="false">IF($A205="","",MAX(0,C204+D205-C205))</f>
        <v/>
      </c>
      <c r="F205" s="24" t="str">
        <f aca="false">IF($A205="","",Stock_Diario!F205)</f>
        <v/>
      </c>
      <c r="G205" s="24" t="str">
        <f aca="false">IF($A205="","",IF(SUMIFS(Recepciones!$C$5:$C$2000,Recepciones!$B$5:$B$2000,Config!$A$24,Recepciones!$A$5:$A$2000,"&gt;"&amp;$A204,Recepciones!$A$5:$A$2000,"&lt;="&amp;$A205)&gt;0,SUMIFS(Recepciones!$C$5:$C$2000,Recepciones!$B$5:$B$2000,Config!$A$24,Recepciones!$A$5:$A$2000,"&gt;"&amp;$A204,Recepciones!$A$5:$A$2000,"&lt;="&amp;$A205),MAX(0,F205-F204)))</f>
        <v/>
      </c>
      <c r="H205" s="24" t="str">
        <f aca="false">IF($A205="","",MAX(0,F204+G205-F205))</f>
        <v/>
      </c>
      <c r="I205" s="24" t="str">
        <f aca="false">IF($A205="","",Stock_Diario!G205)</f>
        <v/>
      </c>
      <c r="J205" s="24" t="str">
        <f aca="false">IF($A205="","",IF(SUMIFS(Recepciones!$C$5:$C$2000,Recepciones!$B$5:$B$2000,Config!$A$25,Recepciones!$A$5:$A$2000,"&gt;"&amp;$A204,Recepciones!$A$5:$A$2000,"&lt;="&amp;$A205)&gt;0,SUMIFS(Recepciones!$C$5:$C$2000,Recepciones!$B$5:$B$2000,Config!$A$25,Recepciones!$A$5:$A$2000,"&gt;"&amp;$A204,Recepciones!$A$5:$A$2000,"&lt;="&amp;$A205),MAX(0,I205-I204)))</f>
        <v/>
      </c>
      <c r="K205" s="24" t="str">
        <f aca="false">IF($A205="","",MAX(0,I204+J205-I205))</f>
        <v/>
      </c>
      <c r="L205" s="24" t="str">
        <f aca="false">IF($A205="","",E205+H205+K205)</f>
        <v/>
      </c>
      <c r="M205" s="4" t="str">
        <f aca="false">IF($A205="","",IF(AND(D205+G205+J205&gt;0,SUMIFS(Recepciones!$C$5:$C$2000,Recepciones!$A$5:$A$2000,"&gt;"&amp;$A204,Recepciones!$A$5:$A$2000,"&lt;="&amp;$A205)=0),"Aumento de stock sin recepción registrada",IF(B205&gt;1,"Intervalo de "&amp;B205&amp;" días","")))</f>
        <v/>
      </c>
    </row>
    <row r="206" customFormat="false" ht="15" hidden="false" customHeight="false" outlineLevel="0" collapsed="false">
      <c r="A206" s="5" t="str">
        <f aca="false">IF(Stock_Diario!A206="","",Stock_Diario!A206)</f>
        <v/>
      </c>
      <c r="B206" s="4" t="str">
        <f aca="false">IF($A206="","",$A206-$A205)</f>
        <v/>
      </c>
      <c r="C206" s="24" t="str">
        <f aca="false">IF($A206="","",Stock_Diario!E206)</f>
        <v/>
      </c>
      <c r="D206" s="24" t="str">
        <f aca="false">IF($A206="","",IF(SUMIFS(Recepciones!$C$5:$C$2000,Recepciones!$B$5:$B$2000,Config!$A$23,Recepciones!$A$5:$A$2000,"&gt;"&amp;$A205,Recepciones!$A$5:$A$2000,"&lt;="&amp;$A206)&gt;0,SUMIFS(Recepciones!$C$5:$C$2000,Recepciones!$B$5:$B$2000,Config!$A$23,Recepciones!$A$5:$A$2000,"&gt;"&amp;$A205,Recepciones!$A$5:$A$2000,"&lt;="&amp;$A206),MAX(0,C206-C205)))</f>
        <v/>
      </c>
      <c r="E206" s="24" t="str">
        <f aca="false">IF($A206="","",MAX(0,C205+D206-C206))</f>
        <v/>
      </c>
      <c r="F206" s="24" t="str">
        <f aca="false">IF($A206="","",Stock_Diario!F206)</f>
        <v/>
      </c>
      <c r="G206" s="24" t="str">
        <f aca="false">IF($A206="","",IF(SUMIFS(Recepciones!$C$5:$C$2000,Recepciones!$B$5:$B$2000,Config!$A$24,Recepciones!$A$5:$A$2000,"&gt;"&amp;$A205,Recepciones!$A$5:$A$2000,"&lt;="&amp;$A206)&gt;0,SUMIFS(Recepciones!$C$5:$C$2000,Recepciones!$B$5:$B$2000,Config!$A$24,Recepciones!$A$5:$A$2000,"&gt;"&amp;$A205,Recepciones!$A$5:$A$2000,"&lt;="&amp;$A206),MAX(0,F206-F205)))</f>
        <v/>
      </c>
      <c r="H206" s="24" t="str">
        <f aca="false">IF($A206="","",MAX(0,F205+G206-F206))</f>
        <v/>
      </c>
      <c r="I206" s="24" t="str">
        <f aca="false">IF($A206="","",Stock_Diario!G206)</f>
        <v/>
      </c>
      <c r="J206" s="24" t="str">
        <f aca="false">IF($A206="","",IF(SUMIFS(Recepciones!$C$5:$C$2000,Recepciones!$B$5:$B$2000,Config!$A$25,Recepciones!$A$5:$A$2000,"&gt;"&amp;$A205,Recepciones!$A$5:$A$2000,"&lt;="&amp;$A206)&gt;0,SUMIFS(Recepciones!$C$5:$C$2000,Recepciones!$B$5:$B$2000,Config!$A$25,Recepciones!$A$5:$A$2000,"&gt;"&amp;$A205,Recepciones!$A$5:$A$2000,"&lt;="&amp;$A206),MAX(0,I206-I205)))</f>
        <v/>
      </c>
      <c r="K206" s="24" t="str">
        <f aca="false">IF($A206="","",MAX(0,I205+J206-I206))</f>
        <v/>
      </c>
      <c r="L206" s="24" t="str">
        <f aca="false">IF($A206="","",E206+H206+K206)</f>
        <v/>
      </c>
      <c r="M206" s="4" t="str">
        <f aca="false">IF($A206="","",IF(AND(D206+G206+J206&gt;0,SUMIFS(Recepciones!$C$5:$C$2000,Recepciones!$A$5:$A$2000,"&gt;"&amp;$A205,Recepciones!$A$5:$A$2000,"&lt;="&amp;$A206)=0),"Aumento de stock sin recepción registrada",IF(B206&gt;1,"Intervalo de "&amp;B206&amp;" días","")))</f>
        <v/>
      </c>
    </row>
    <row r="207" customFormat="false" ht="15" hidden="false" customHeight="false" outlineLevel="0" collapsed="false">
      <c r="A207" s="5" t="str">
        <f aca="false">IF(Stock_Diario!A207="","",Stock_Diario!A207)</f>
        <v/>
      </c>
      <c r="B207" s="4" t="str">
        <f aca="false">IF($A207="","",$A207-$A206)</f>
        <v/>
      </c>
      <c r="C207" s="24" t="str">
        <f aca="false">IF($A207="","",Stock_Diario!E207)</f>
        <v/>
      </c>
      <c r="D207" s="24" t="str">
        <f aca="false">IF($A207="","",IF(SUMIFS(Recepciones!$C$5:$C$2000,Recepciones!$B$5:$B$2000,Config!$A$23,Recepciones!$A$5:$A$2000,"&gt;"&amp;$A206,Recepciones!$A$5:$A$2000,"&lt;="&amp;$A207)&gt;0,SUMIFS(Recepciones!$C$5:$C$2000,Recepciones!$B$5:$B$2000,Config!$A$23,Recepciones!$A$5:$A$2000,"&gt;"&amp;$A206,Recepciones!$A$5:$A$2000,"&lt;="&amp;$A207),MAX(0,C207-C206)))</f>
        <v/>
      </c>
      <c r="E207" s="24" t="str">
        <f aca="false">IF($A207="","",MAX(0,C206+D207-C207))</f>
        <v/>
      </c>
      <c r="F207" s="24" t="str">
        <f aca="false">IF($A207="","",Stock_Diario!F207)</f>
        <v/>
      </c>
      <c r="G207" s="24" t="str">
        <f aca="false">IF($A207="","",IF(SUMIFS(Recepciones!$C$5:$C$2000,Recepciones!$B$5:$B$2000,Config!$A$24,Recepciones!$A$5:$A$2000,"&gt;"&amp;$A206,Recepciones!$A$5:$A$2000,"&lt;="&amp;$A207)&gt;0,SUMIFS(Recepciones!$C$5:$C$2000,Recepciones!$B$5:$B$2000,Config!$A$24,Recepciones!$A$5:$A$2000,"&gt;"&amp;$A206,Recepciones!$A$5:$A$2000,"&lt;="&amp;$A207),MAX(0,F207-F206)))</f>
        <v/>
      </c>
      <c r="H207" s="24" t="str">
        <f aca="false">IF($A207="","",MAX(0,F206+G207-F207))</f>
        <v/>
      </c>
      <c r="I207" s="24" t="str">
        <f aca="false">IF($A207="","",Stock_Diario!G207)</f>
        <v/>
      </c>
      <c r="J207" s="24" t="str">
        <f aca="false">IF($A207="","",IF(SUMIFS(Recepciones!$C$5:$C$2000,Recepciones!$B$5:$B$2000,Config!$A$25,Recepciones!$A$5:$A$2000,"&gt;"&amp;$A206,Recepciones!$A$5:$A$2000,"&lt;="&amp;$A207)&gt;0,SUMIFS(Recepciones!$C$5:$C$2000,Recepciones!$B$5:$B$2000,Config!$A$25,Recepciones!$A$5:$A$2000,"&gt;"&amp;$A206,Recepciones!$A$5:$A$2000,"&lt;="&amp;$A207),MAX(0,I207-I206)))</f>
        <v/>
      </c>
      <c r="K207" s="24" t="str">
        <f aca="false">IF($A207="","",MAX(0,I206+J207-I207))</f>
        <v/>
      </c>
      <c r="L207" s="24" t="str">
        <f aca="false">IF($A207="","",E207+H207+K207)</f>
        <v/>
      </c>
      <c r="M207" s="4" t="str">
        <f aca="false">IF($A207="","",IF(AND(D207+G207+J207&gt;0,SUMIFS(Recepciones!$C$5:$C$2000,Recepciones!$A$5:$A$2000,"&gt;"&amp;$A206,Recepciones!$A$5:$A$2000,"&lt;="&amp;$A207)=0),"Aumento de stock sin recepción registrada",IF(B207&gt;1,"Intervalo de "&amp;B207&amp;" días","")))</f>
        <v/>
      </c>
    </row>
    <row r="208" customFormat="false" ht="15" hidden="false" customHeight="false" outlineLevel="0" collapsed="false">
      <c r="A208" s="5" t="str">
        <f aca="false">IF(Stock_Diario!A208="","",Stock_Diario!A208)</f>
        <v/>
      </c>
      <c r="B208" s="4" t="str">
        <f aca="false">IF($A208="","",$A208-$A207)</f>
        <v/>
      </c>
      <c r="C208" s="24" t="str">
        <f aca="false">IF($A208="","",Stock_Diario!E208)</f>
        <v/>
      </c>
      <c r="D208" s="24" t="str">
        <f aca="false">IF($A208="","",IF(SUMIFS(Recepciones!$C$5:$C$2000,Recepciones!$B$5:$B$2000,Config!$A$23,Recepciones!$A$5:$A$2000,"&gt;"&amp;$A207,Recepciones!$A$5:$A$2000,"&lt;="&amp;$A208)&gt;0,SUMIFS(Recepciones!$C$5:$C$2000,Recepciones!$B$5:$B$2000,Config!$A$23,Recepciones!$A$5:$A$2000,"&gt;"&amp;$A207,Recepciones!$A$5:$A$2000,"&lt;="&amp;$A208),MAX(0,C208-C207)))</f>
        <v/>
      </c>
      <c r="E208" s="24" t="str">
        <f aca="false">IF($A208="","",MAX(0,C207+D208-C208))</f>
        <v/>
      </c>
      <c r="F208" s="24" t="str">
        <f aca="false">IF($A208="","",Stock_Diario!F208)</f>
        <v/>
      </c>
      <c r="G208" s="24" t="str">
        <f aca="false">IF($A208="","",IF(SUMIFS(Recepciones!$C$5:$C$2000,Recepciones!$B$5:$B$2000,Config!$A$24,Recepciones!$A$5:$A$2000,"&gt;"&amp;$A207,Recepciones!$A$5:$A$2000,"&lt;="&amp;$A208)&gt;0,SUMIFS(Recepciones!$C$5:$C$2000,Recepciones!$B$5:$B$2000,Config!$A$24,Recepciones!$A$5:$A$2000,"&gt;"&amp;$A207,Recepciones!$A$5:$A$2000,"&lt;="&amp;$A208),MAX(0,F208-F207)))</f>
        <v/>
      </c>
      <c r="H208" s="24" t="str">
        <f aca="false">IF($A208="","",MAX(0,F207+G208-F208))</f>
        <v/>
      </c>
      <c r="I208" s="24" t="str">
        <f aca="false">IF($A208="","",Stock_Diario!G208)</f>
        <v/>
      </c>
      <c r="J208" s="24" t="str">
        <f aca="false">IF($A208="","",IF(SUMIFS(Recepciones!$C$5:$C$2000,Recepciones!$B$5:$B$2000,Config!$A$25,Recepciones!$A$5:$A$2000,"&gt;"&amp;$A207,Recepciones!$A$5:$A$2000,"&lt;="&amp;$A208)&gt;0,SUMIFS(Recepciones!$C$5:$C$2000,Recepciones!$B$5:$B$2000,Config!$A$25,Recepciones!$A$5:$A$2000,"&gt;"&amp;$A207,Recepciones!$A$5:$A$2000,"&lt;="&amp;$A208),MAX(0,I208-I207)))</f>
        <v/>
      </c>
      <c r="K208" s="24" t="str">
        <f aca="false">IF($A208="","",MAX(0,I207+J208-I208))</f>
        <v/>
      </c>
      <c r="L208" s="24" t="str">
        <f aca="false">IF($A208="","",E208+H208+K208)</f>
        <v/>
      </c>
      <c r="M208" s="4" t="str">
        <f aca="false">IF($A208="","",IF(AND(D208+G208+J208&gt;0,SUMIFS(Recepciones!$C$5:$C$2000,Recepciones!$A$5:$A$2000,"&gt;"&amp;$A207,Recepciones!$A$5:$A$2000,"&lt;="&amp;$A208)=0),"Aumento de stock sin recepción registrada",IF(B208&gt;1,"Intervalo de "&amp;B208&amp;" días","")))</f>
        <v/>
      </c>
    </row>
    <row r="209" customFormat="false" ht="15" hidden="false" customHeight="false" outlineLevel="0" collapsed="false">
      <c r="A209" s="5" t="str">
        <f aca="false">IF(Stock_Diario!A209="","",Stock_Diario!A209)</f>
        <v/>
      </c>
      <c r="B209" s="4" t="str">
        <f aca="false">IF($A209="","",$A209-$A208)</f>
        <v/>
      </c>
      <c r="C209" s="24" t="str">
        <f aca="false">IF($A209="","",Stock_Diario!E209)</f>
        <v/>
      </c>
      <c r="D209" s="24" t="str">
        <f aca="false">IF($A209="","",IF(SUMIFS(Recepciones!$C$5:$C$2000,Recepciones!$B$5:$B$2000,Config!$A$23,Recepciones!$A$5:$A$2000,"&gt;"&amp;$A208,Recepciones!$A$5:$A$2000,"&lt;="&amp;$A209)&gt;0,SUMIFS(Recepciones!$C$5:$C$2000,Recepciones!$B$5:$B$2000,Config!$A$23,Recepciones!$A$5:$A$2000,"&gt;"&amp;$A208,Recepciones!$A$5:$A$2000,"&lt;="&amp;$A209),MAX(0,C209-C208)))</f>
        <v/>
      </c>
      <c r="E209" s="24" t="str">
        <f aca="false">IF($A209="","",MAX(0,C208+D209-C209))</f>
        <v/>
      </c>
      <c r="F209" s="24" t="str">
        <f aca="false">IF($A209="","",Stock_Diario!F209)</f>
        <v/>
      </c>
      <c r="G209" s="24" t="str">
        <f aca="false">IF($A209="","",IF(SUMIFS(Recepciones!$C$5:$C$2000,Recepciones!$B$5:$B$2000,Config!$A$24,Recepciones!$A$5:$A$2000,"&gt;"&amp;$A208,Recepciones!$A$5:$A$2000,"&lt;="&amp;$A209)&gt;0,SUMIFS(Recepciones!$C$5:$C$2000,Recepciones!$B$5:$B$2000,Config!$A$24,Recepciones!$A$5:$A$2000,"&gt;"&amp;$A208,Recepciones!$A$5:$A$2000,"&lt;="&amp;$A209),MAX(0,F209-F208)))</f>
        <v/>
      </c>
      <c r="H209" s="24" t="str">
        <f aca="false">IF($A209="","",MAX(0,F208+G209-F209))</f>
        <v/>
      </c>
      <c r="I209" s="24" t="str">
        <f aca="false">IF($A209="","",Stock_Diario!G209)</f>
        <v/>
      </c>
      <c r="J209" s="24" t="str">
        <f aca="false">IF($A209="","",IF(SUMIFS(Recepciones!$C$5:$C$2000,Recepciones!$B$5:$B$2000,Config!$A$25,Recepciones!$A$5:$A$2000,"&gt;"&amp;$A208,Recepciones!$A$5:$A$2000,"&lt;="&amp;$A209)&gt;0,SUMIFS(Recepciones!$C$5:$C$2000,Recepciones!$B$5:$B$2000,Config!$A$25,Recepciones!$A$5:$A$2000,"&gt;"&amp;$A208,Recepciones!$A$5:$A$2000,"&lt;="&amp;$A209),MAX(0,I209-I208)))</f>
        <v/>
      </c>
      <c r="K209" s="24" t="str">
        <f aca="false">IF($A209="","",MAX(0,I208+J209-I209))</f>
        <v/>
      </c>
      <c r="L209" s="24" t="str">
        <f aca="false">IF($A209="","",E209+H209+K209)</f>
        <v/>
      </c>
      <c r="M209" s="4" t="str">
        <f aca="false">IF($A209="","",IF(AND(D209+G209+J209&gt;0,SUMIFS(Recepciones!$C$5:$C$2000,Recepciones!$A$5:$A$2000,"&gt;"&amp;$A208,Recepciones!$A$5:$A$2000,"&lt;="&amp;$A209)=0),"Aumento de stock sin recepción registrada",IF(B209&gt;1,"Intervalo de "&amp;B209&amp;" días","")))</f>
        <v/>
      </c>
    </row>
    <row r="210" customFormat="false" ht="15" hidden="false" customHeight="false" outlineLevel="0" collapsed="false">
      <c r="A210" s="5" t="str">
        <f aca="false">IF(Stock_Diario!A210="","",Stock_Diario!A210)</f>
        <v/>
      </c>
      <c r="B210" s="4" t="str">
        <f aca="false">IF($A210="","",$A210-$A209)</f>
        <v/>
      </c>
      <c r="C210" s="24" t="str">
        <f aca="false">IF($A210="","",Stock_Diario!E210)</f>
        <v/>
      </c>
      <c r="D210" s="24" t="str">
        <f aca="false">IF($A210="","",IF(SUMIFS(Recepciones!$C$5:$C$2000,Recepciones!$B$5:$B$2000,Config!$A$23,Recepciones!$A$5:$A$2000,"&gt;"&amp;$A209,Recepciones!$A$5:$A$2000,"&lt;="&amp;$A210)&gt;0,SUMIFS(Recepciones!$C$5:$C$2000,Recepciones!$B$5:$B$2000,Config!$A$23,Recepciones!$A$5:$A$2000,"&gt;"&amp;$A209,Recepciones!$A$5:$A$2000,"&lt;="&amp;$A210),MAX(0,C210-C209)))</f>
        <v/>
      </c>
      <c r="E210" s="24" t="str">
        <f aca="false">IF($A210="","",MAX(0,C209+D210-C210))</f>
        <v/>
      </c>
      <c r="F210" s="24" t="str">
        <f aca="false">IF($A210="","",Stock_Diario!F210)</f>
        <v/>
      </c>
      <c r="G210" s="24" t="str">
        <f aca="false">IF($A210="","",IF(SUMIFS(Recepciones!$C$5:$C$2000,Recepciones!$B$5:$B$2000,Config!$A$24,Recepciones!$A$5:$A$2000,"&gt;"&amp;$A209,Recepciones!$A$5:$A$2000,"&lt;="&amp;$A210)&gt;0,SUMIFS(Recepciones!$C$5:$C$2000,Recepciones!$B$5:$B$2000,Config!$A$24,Recepciones!$A$5:$A$2000,"&gt;"&amp;$A209,Recepciones!$A$5:$A$2000,"&lt;="&amp;$A210),MAX(0,F210-F209)))</f>
        <v/>
      </c>
      <c r="H210" s="24" t="str">
        <f aca="false">IF($A210="","",MAX(0,F209+G210-F210))</f>
        <v/>
      </c>
      <c r="I210" s="24" t="str">
        <f aca="false">IF($A210="","",Stock_Diario!G210)</f>
        <v/>
      </c>
      <c r="J210" s="24" t="str">
        <f aca="false">IF($A210="","",IF(SUMIFS(Recepciones!$C$5:$C$2000,Recepciones!$B$5:$B$2000,Config!$A$25,Recepciones!$A$5:$A$2000,"&gt;"&amp;$A209,Recepciones!$A$5:$A$2000,"&lt;="&amp;$A210)&gt;0,SUMIFS(Recepciones!$C$5:$C$2000,Recepciones!$B$5:$B$2000,Config!$A$25,Recepciones!$A$5:$A$2000,"&gt;"&amp;$A209,Recepciones!$A$5:$A$2000,"&lt;="&amp;$A210),MAX(0,I210-I209)))</f>
        <v/>
      </c>
      <c r="K210" s="24" t="str">
        <f aca="false">IF($A210="","",MAX(0,I209+J210-I210))</f>
        <v/>
      </c>
      <c r="L210" s="24" t="str">
        <f aca="false">IF($A210="","",E210+H210+K210)</f>
        <v/>
      </c>
      <c r="M210" s="4" t="str">
        <f aca="false">IF($A210="","",IF(AND(D210+G210+J210&gt;0,SUMIFS(Recepciones!$C$5:$C$2000,Recepciones!$A$5:$A$2000,"&gt;"&amp;$A209,Recepciones!$A$5:$A$2000,"&lt;="&amp;$A210)=0),"Aumento de stock sin recepción registrada",IF(B210&gt;1,"Intervalo de "&amp;B210&amp;" días","")))</f>
        <v/>
      </c>
    </row>
    <row r="211" customFormat="false" ht="15" hidden="false" customHeight="false" outlineLevel="0" collapsed="false">
      <c r="A211" s="5" t="str">
        <f aca="false">IF(Stock_Diario!A211="","",Stock_Diario!A211)</f>
        <v/>
      </c>
      <c r="B211" s="4" t="str">
        <f aca="false">IF($A211="","",$A211-$A210)</f>
        <v/>
      </c>
      <c r="C211" s="24" t="str">
        <f aca="false">IF($A211="","",Stock_Diario!E211)</f>
        <v/>
      </c>
      <c r="D211" s="24" t="str">
        <f aca="false">IF($A211="","",IF(SUMIFS(Recepciones!$C$5:$C$2000,Recepciones!$B$5:$B$2000,Config!$A$23,Recepciones!$A$5:$A$2000,"&gt;"&amp;$A210,Recepciones!$A$5:$A$2000,"&lt;="&amp;$A211)&gt;0,SUMIFS(Recepciones!$C$5:$C$2000,Recepciones!$B$5:$B$2000,Config!$A$23,Recepciones!$A$5:$A$2000,"&gt;"&amp;$A210,Recepciones!$A$5:$A$2000,"&lt;="&amp;$A211),MAX(0,C211-C210)))</f>
        <v/>
      </c>
      <c r="E211" s="24" t="str">
        <f aca="false">IF($A211="","",MAX(0,C210+D211-C211))</f>
        <v/>
      </c>
      <c r="F211" s="24" t="str">
        <f aca="false">IF($A211="","",Stock_Diario!F211)</f>
        <v/>
      </c>
      <c r="G211" s="24" t="str">
        <f aca="false">IF($A211="","",IF(SUMIFS(Recepciones!$C$5:$C$2000,Recepciones!$B$5:$B$2000,Config!$A$24,Recepciones!$A$5:$A$2000,"&gt;"&amp;$A210,Recepciones!$A$5:$A$2000,"&lt;="&amp;$A211)&gt;0,SUMIFS(Recepciones!$C$5:$C$2000,Recepciones!$B$5:$B$2000,Config!$A$24,Recepciones!$A$5:$A$2000,"&gt;"&amp;$A210,Recepciones!$A$5:$A$2000,"&lt;="&amp;$A211),MAX(0,F211-F210)))</f>
        <v/>
      </c>
      <c r="H211" s="24" t="str">
        <f aca="false">IF($A211="","",MAX(0,F210+G211-F211))</f>
        <v/>
      </c>
      <c r="I211" s="24" t="str">
        <f aca="false">IF($A211="","",Stock_Diario!G211)</f>
        <v/>
      </c>
      <c r="J211" s="24" t="str">
        <f aca="false">IF($A211="","",IF(SUMIFS(Recepciones!$C$5:$C$2000,Recepciones!$B$5:$B$2000,Config!$A$25,Recepciones!$A$5:$A$2000,"&gt;"&amp;$A210,Recepciones!$A$5:$A$2000,"&lt;="&amp;$A211)&gt;0,SUMIFS(Recepciones!$C$5:$C$2000,Recepciones!$B$5:$B$2000,Config!$A$25,Recepciones!$A$5:$A$2000,"&gt;"&amp;$A210,Recepciones!$A$5:$A$2000,"&lt;="&amp;$A211),MAX(0,I211-I210)))</f>
        <v/>
      </c>
      <c r="K211" s="24" t="str">
        <f aca="false">IF($A211="","",MAX(0,I210+J211-I211))</f>
        <v/>
      </c>
      <c r="L211" s="24" t="str">
        <f aca="false">IF($A211="","",E211+H211+K211)</f>
        <v/>
      </c>
      <c r="M211" s="4" t="str">
        <f aca="false">IF($A211="","",IF(AND(D211+G211+J211&gt;0,SUMIFS(Recepciones!$C$5:$C$2000,Recepciones!$A$5:$A$2000,"&gt;"&amp;$A210,Recepciones!$A$5:$A$2000,"&lt;="&amp;$A211)=0),"Aumento de stock sin recepción registrada",IF(B211&gt;1,"Intervalo de "&amp;B211&amp;" días","")))</f>
        <v/>
      </c>
    </row>
    <row r="212" customFormat="false" ht="15" hidden="false" customHeight="false" outlineLevel="0" collapsed="false">
      <c r="A212" s="5" t="str">
        <f aca="false">IF(Stock_Diario!A212="","",Stock_Diario!A212)</f>
        <v/>
      </c>
      <c r="B212" s="4" t="str">
        <f aca="false">IF($A212="","",$A212-$A211)</f>
        <v/>
      </c>
      <c r="C212" s="24" t="str">
        <f aca="false">IF($A212="","",Stock_Diario!E212)</f>
        <v/>
      </c>
      <c r="D212" s="24" t="str">
        <f aca="false">IF($A212="","",IF(SUMIFS(Recepciones!$C$5:$C$2000,Recepciones!$B$5:$B$2000,Config!$A$23,Recepciones!$A$5:$A$2000,"&gt;"&amp;$A211,Recepciones!$A$5:$A$2000,"&lt;="&amp;$A212)&gt;0,SUMIFS(Recepciones!$C$5:$C$2000,Recepciones!$B$5:$B$2000,Config!$A$23,Recepciones!$A$5:$A$2000,"&gt;"&amp;$A211,Recepciones!$A$5:$A$2000,"&lt;="&amp;$A212),MAX(0,C212-C211)))</f>
        <v/>
      </c>
      <c r="E212" s="24" t="str">
        <f aca="false">IF($A212="","",MAX(0,C211+D212-C212))</f>
        <v/>
      </c>
      <c r="F212" s="24" t="str">
        <f aca="false">IF($A212="","",Stock_Diario!F212)</f>
        <v/>
      </c>
      <c r="G212" s="24" t="str">
        <f aca="false">IF($A212="","",IF(SUMIFS(Recepciones!$C$5:$C$2000,Recepciones!$B$5:$B$2000,Config!$A$24,Recepciones!$A$5:$A$2000,"&gt;"&amp;$A211,Recepciones!$A$5:$A$2000,"&lt;="&amp;$A212)&gt;0,SUMIFS(Recepciones!$C$5:$C$2000,Recepciones!$B$5:$B$2000,Config!$A$24,Recepciones!$A$5:$A$2000,"&gt;"&amp;$A211,Recepciones!$A$5:$A$2000,"&lt;="&amp;$A212),MAX(0,F212-F211)))</f>
        <v/>
      </c>
      <c r="H212" s="24" t="str">
        <f aca="false">IF($A212="","",MAX(0,F211+G212-F212))</f>
        <v/>
      </c>
      <c r="I212" s="24" t="str">
        <f aca="false">IF($A212="","",Stock_Diario!G212)</f>
        <v/>
      </c>
      <c r="J212" s="24" t="str">
        <f aca="false">IF($A212="","",IF(SUMIFS(Recepciones!$C$5:$C$2000,Recepciones!$B$5:$B$2000,Config!$A$25,Recepciones!$A$5:$A$2000,"&gt;"&amp;$A211,Recepciones!$A$5:$A$2000,"&lt;="&amp;$A212)&gt;0,SUMIFS(Recepciones!$C$5:$C$2000,Recepciones!$B$5:$B$2000,Config!$A$25,Recepciones!$A$5:$A$2000,"&gt;"&amp;$A211,Recepciones!$A$5:$A$2000,"&lt;="&amp;$A212),MAX(0,I212-I211)))</f>
        <v/>
      </c>
      <c r="K212" s="24" t="str">
        <f aca="false">IF($A212="","",MAX(0,I211+J212-I212))</f>
        <v/>
      </c>
      <c r="L212" s="24" t="str">
        <f aca="false">IF($A212="","",E212+H212+K212)</f>
        <v/>
      </c>
      <c r="M212" s="4" t="str">
        <f aca="false">IF($A212="","",IF(AND(D212+G212+J212&gt;0,SUMIFS(Recepciones!$C$5:$C$2000,Recepciones!$A$5:$A$2000,"&gt;"&amp;$A211,Recepciones!$A$5:$A$2000,"&lt;="&amp;$A212)=0),"Aumento de stock sin recepción registrada",IF(B212&gt;1,"Intervalo de "&amp;B212&amp;" días","")))</f>
        <v/>
      </c>
    </row>
    <row r="213" customFormat="false" ht="15" hidden="false" customHeight="false" outlineLevel="0" collapsed="false">
      <c r="A213" s="5" t="str">
        <f aca="false">IF(Stock_Diario!A213="","",Stock_Diario!A213)</f>
        <v/>
      </c>
      <c r="B213" s="4" t="str">
        <f aca="false">IF($A213="","",$A213-$A212)</f>
        <v/>
      </c>
      <c r="C213" s="24" t="str">
        <f aca="false">IF($A213="","",Stock_Diario!E213)</f>
        <v/>
      </c>
      <c r="D213" s="24" t="str">
        <f aca="false">IF($A213="","",IF(SUMIFS(Recepciones!$C$5:$C$2000,Recepciones!$B$5:$B$2000,Config!$A$23,Recepciones!$A$5:$A$2000,"&gt;"&amp;$A212,Recepciones!$A$5:$A$2000,"&lt;="&amp;$A213)&gt;0,SUMIFS(Recepciones!$C$5:$C$2000,Recepciones!$B$5:$B$2000,Config!$A$23,Recepciones!$A$5:$A$2000,"&gt;"&amp;$A212,Recepciones!$A$5:$A$2000,"&lt;="&amp;$A213),MAX(0,C213-C212)))</f>
        <v/>
      </c>
      <c r="E213" s="24" t="str">
        <f aca="false">IF($A213="","",MAX(0,C212+D213-C213))</f>
        <v/>
      </c>
      <c r="F213" s="24" t="str">
        <f aca="false">IF($A213="","",Stock_Diario!F213)</f>
        <v/>
      </c>
      <c r="G213" s="24" t="str">
        <f aca="false">IF($A213="","",IF(SUMIFS(Recepciones!$C$5:$C$2000,Recepciones!$B$5:$B$2000,Config!$A$24,Recepciones!$A$5:$A$2000,"&gt;"&amp;$A212,Recepciones!$A$5:$A$2000,"&lt;="&amp;$A213)&gt;0,SUMIFS(Recepciones!$C$5:$C$2000,Recepciones!$B$5:$B$2000,Config!$A$24,Recepciones!$A$5:$A$2000,"&gt;"&amp;$A212,Recepciones!$A$5:$A$2000,"&lt;="&amp;$A213),MAX(0,F213-F212)))</f>
        <v/>
      </c>
      <c r="H213" s="24" t="str">
        <f aca="false">IF($A213="","",MAX(0,F212+G213-F213))</f>
        <v/>
      </c>
      <c r="I213" s="24" t="str">
        <f aca="false">IF($A213="","",Stock_Diario!G213)</f>
        <v/>
      </c>
      <c r="J213" s="24" t="str">
        <f aca="false">IF($A213="","",IF(SUMIFS(Recepciones!$C$5:$C$2000,Recepciones!$B$5:$B$2000,Config!$A$25,Recepciones!$A$5:$A$2000,"&gt;"&amp;$A212,Recepciones!$A$5:$A$2000,"&lt;="&amp;$A213)&gt;0,SUMIFS(Recepciones!$C$5:$C$2000,Recepciones!$B$5:$B$2000,Config!$A$25,Recepciones!$A$5:$A$2000,"&gt;"&amp;$A212,Recepciones!$A$5:$A$2000,"&lt;="&amp;$A213),MAX(0,I213-I212)))</f>
        <v/>
      </c>
      <c r="K213" s="24" t="str">
        <f aca="false">IF($A213="","",MAX(0,I212+J213-I213))</f>
        <v/>
      </c>
      <c r="L213" s="24" t="str">
        <f aca="false">IF($A213="","",E213+H213+K213)</f>
        <v/>
      </c>
      <c r="M213" s="4" t="str">
        <f aca="false">IF($A213="","",IF(AND(D213+G213+J213&gt;0,SUMIFS(Recepciones!$C$5:$C$2000,Recepciones!$A$5:$A$2000,"&gt;"&amp;$A212,Recepciones!$A$5:$A$2000,"&lt;="&amp;$A213)=0),"Aumento de stock sin recepción registrada",IF(B213&gt;1,"Intervalo de "&amp;B213&amp;" días","")))</f>
        <v/>
      </c>
    </row>
    <row r="214" customFormat="false" ht="15" hidden="false" customHeight="false" outlineLevel="0" collapsed="false">
      <c r="A214" s="5" t="str">
        <f aca="false">IF(Stock_Diario!A214="","",Stock_Diario!A214)</f>
        <v/>
      </c>
      <c r="B214" s="4" t="str">
        <f aca="false">IF($A214="","",$A214-$A213)</f>
        <v/>
      </c>
      <c r="C214" s="24" t="str">
        <f aca="false">IF($A214="","",Stock_Diario!E214)</f>
        <v/>
      </c>
      <c r="D214" s="24" t="str">
        <f aca="false">IF($A214="","",IF(SUMIFS(Recepciones!$C$5:$C$2000,Recepciones!$B$5:$B$2000,Config!$A$23,Recepciones!$A$5:$A$2000,"&gt;"&amp;$A213,Recepciones!$A$5:$A$2000,"&lt;="&amp;$A214)&gt;0,SUMIFS(Recepciones!$C$5:$C$2000,Recepciones!$B$5:$B$2000,Config!$A$23,Recepciones!$A$5:$A$2000,"&gt;"&amp;$A213,Recepciones!$A$5:$A$2000,"&lt;="&amp;$A214),MAX(0,C214-C213)))</f>
        <v/>
      </c>
      <c r="E214" s="24" t="str">
        <f aca="false">IF($A214="","",MAX(0,C213+D214-C214))</f>
        <v/>
      </c>
      <c r="F214" s="24" t="str">
        <f aca="false">IF($A214="","",Stock_Diario!F214)</f>
        <v/>
      </c>
      <c r="G214" s="24" t="str">
        <f aca="false">IF($A214="","",IF(SUMIFS(Recepciones!$C$5:$C$2000,Recepciones!$B$5:$B$2000,Config!$A$24,Recepciones!$A$5:$A$2000,"&gt;"&amp;$A213,Recepciones!$A$5:$A$2000,"&lt;="&amp;$A214)&gt;0,SUMIFS(Recepciones!$C$5:$C$2000,Recepciones!$B$5:$B$2000,Config!$A$24,Recepciones!$A$5:$A$2000,"&gt;"&amp;$A213,Recepciones!$A$5:$A$2000,"&lt;="&amp;$A214),MAX(0,F214-F213)))</f>
        <v/>
      </c>
      <c r="H214" s="24" t="str">
        <f aca="false">IF($A214="","",MAX(0,F213+G214-F214))</f>
        <v/>
      </c>
      <c r="I214" s="24" t="str">
        <f aca="false">IF($A214="","",Stock_Diario!G214)</f>
        <v/>
      </c>
      <c r="J214" s="24" t="str">
        <f aca="false">IF($A214="","",IF(SUMIFS(Recepciones!$C$5:$C$2000,Recepciones!$B$5:$B$2000,Config!$A$25,Recepciones!$A$5:$A$2000,"&gt;"&amp;$A213,Recepciones!$A$5:$A$2000,"&lt;="&amp;$A214)&gt;0,SUMIFS(Recepciones!$C$5:$C$2000,Recepciones!$B$5:$B$2000,Config!$A$25,Recepciones!$A$5:$A$2000,"&gt;"&amp;$A213,Recepciones!$A$5:$A$2000,"&lt;="&amp;$A214),MAX(0,I214-I213)))</f>
        <v/>
      </c>
      <c r="K214" s="24" t="str">
        <f aca="false">IF($A214="","",MAX(0,I213+J214-I214))</f>
        <v/>
      </c>
      <c r="L214" s="24" t="str">
        <f aca="false">IF($A214="","",E214+H214+K214)</f>
        <v/>
      </c>
      <c r="M214" s="4" t="str">
        <f aca="false">IF($A214="","",IF(AND(D214+G214+J214&gt;0,SUMIFS(Recepciones!$C$5:$C$2000,Recepciones!$A$5:$A$2000,"&gt;"&amp;$A213,Recepciones!$A$5:$A$2000,"&lt;="&amp;$A214)=0),"Aumento de stock sin recepción registrada",IF(B214&gt;1,"Intervalo de "&amp;B214&amp;" días","")))</f>
        <v/>
      </c>
    </row>
    <row r="215" customFormat="false" ht="15" hidden="false" customHeight="false" outlineLevel="0" collapsed="false">
      <c r="A215" s="5" t="str">
        <f aca="false">IF(Stock_Diario!A215="","",Stock_Diario!A215)</f>
        <v/>
      </c>
      <c r="B215" s="4" t="str">
        <f aca="false">IF($A215="","",$A215-$A214)</f>
        <v/>
      </c>
      <c r="C215" s="24" t="str">
        <f aca="false">IF($A215="","",Stock_Diario!E215)</f>
        <v/>
      </c>
      <c r="D215" s="24" t="str">
        <f aca="false">IF($A215="","",IF(SUMIFS(Recepciones!$C$5:$C$2000,Recepciones!$B$5:$B$2000,Config!$A$23,Recepciones!$A$5:$A$2000,"&gt;"&amp;$A214,Recepciones!$A$5:$A$2000,"&lt;="&amp;$A215)&gt;0,SUMIFS(Recepciones!$C$5:$C$2000,Recepciones!$B$5:$B$2000,Config!$A$23,Recepciones!$A$5:$A$2000,"&gt;"&amp;$A214,Recepciones!$A$5:$A$2000,"&lt;="&amp;$A215),MAX(0,C215-C214)))</f>
        <v/>
      </c>
      <c r="E215" s="24" t="str">
        <f aca="false">IF($A215="","",MAX(0,C214+D215-C215))</f>
        <v/>
      </c>
      <c r="F215" s="24" t="str">
        <f aca="false">IF($A215="","",Stock_Diario!F215)</f>
        <v/>
      </c>
      <c r="G215" s="24" t="str">
        <f aca="false">IF($A215="","",IF(SUMIFS(Recepciones!$C$5:$C$2000,Recepciones!$B$5:$B$2000,Config!$A$24,Recepciones!$A$5:$A$2000,"&gt;"&amp;$A214,Recepciones!$A$5:$A$2000,"&lt;="&amp;$A215)&gt;0,SUMIFS(Recepciones!$C$5:$C$2000,Recepciones!$B$5:$B$2000,Config!$A$24,Recepciones!$A$5:$A$2000,"&gt;"&amp;$A214,Recepciones!$A$5:$A$2000,"&lt;="&amp;$A215),MAX(0,F215-F214)))</f>
        <v/>
      </c>
      <c r="H215" s="24" t="str">
        <f aca="false">IF($A215="","",MAX(0,F214+G215-F215))</f>
        <v/>
      </c>
      <c r="I215" s="24" t="str">
        <f aca="false">IF($A215="","",Stock_Diario!G215)</f>
        <v/>
      </c>
      <c r="J215" s="24" t="str">
        <f aca="false">IF($A215="","",IF(SUMIFS(Recepciones!$C$5:$C$2000,Recepciones!$B$5:$B$2000,Config!$A$25,Recepciones!$A$5:$A$2000,"&gt;"&amp;$A214,Recepciones!$A$5:$A$2000,"&lt;="&amp;$A215)&gt;0,SUMIFS(Recepciones!$C$5:$C$2000,Recepciones!$B$5:$B$2000,Config!$A$25,Recepciones!$A$5:$A$2000,"&gt;"&amp;$A214,Recepciones!$A$5:$A$2000,"&lt;="&amp;$A215),MAX(0,I215-I214)))</f>
        <v/>
      </c>
      <c r="K215" s="24" t="str">
        <f aca="false">IF($A215="","",MAX(0,I214+J215-I215))</f>
        <v/>
      </c>
      <c r="L215" s="24" t="str">
        <f aca="false">IF($A215="","",E215+H215+K215)</f>
        <v/>
      </c>
      <c r="M215" s="4" t="str">
        <f aca="false">IF($A215="","",IF(AND(D215+G215+J215&gt;0,SUMIFS(Recepciones!$C$5:$C$2000,Recepciones!$A$5:$A$2000,"&gt;"&amp;$A214,Recepciones!$A$5:$A$2000,"&lt;="&amp;$A215)=0),"Aumento de stock sin recepción registrada",IF(B215&gt;1,"Intervalo de "&amp;B215&amp;" días","")))</f>
        <v/>
      </c>
    </row>
    <row r="216" customFormat="false" ht="15" hidden="false" customHeight="false" outlineLevel="0" collapsed="false">
      <c r="A216" s="5" t="str">
        <f aca="false">IF(Stock_Diario!A216="","",Stock_Diario!A216)</f>
        <v/>
      </c>
      <c r="B216" s="4" t="str">
        <f aca="false">IF($A216="","",$A216-$A215)</f>
        <v/>
      </c>
      <c r="C216" s="24" t="str">
        <f aca="false">IF($A216="","",Stock_Diario!E216)</f>
        <v/>
      </c>
      <c r="D216" s="24" t="str">
        <f aca="false">IF($A216="","",IF(SUMIFS(Recepciones!$C$5:$C$2000,Recepciones!$B$5:$B$2000,Config!$A$23,Recepciones!$A$5:$A$2000,"&gt;"&amp;$A215,Recepciones!$A$5:$A$2000,"&lt;="&amp;$A216)&gt;0,SUMIFS(Recepciones!$C$5:$C$2000,Recepciones!$B$5:$B$2000,Config!$A$23,Recepciones!$A$5:$A$2000,"&gt;"&amp;$A215,Recepciones!$A$5:$A$2000,"&lt;="&amp;$A216),MAX(0,C216-C215)))</f>
        <v/>
      </c>
      <c r="E216" s="24" t="str">
        <f aca="false">IF($A216="","",MAX(0,C215+D216-C216))</f>
        <v/>
      </c>
      <c r="F216" s="24" t="str">
        <f aca="false">IF($A216="","",Stock_Diario!F216)</f>
        <v/>
      </c>
      <c r="G216" s="24" t="str">
        <f aca="false">IF($A216="","",IF(SUMIFS(Recepciones!$C$5:$C$2000,Recepciones!$B$5:$B$2000,Config!$A$24,Recepciones!$A$5:$A$2000,"&gt;"&amp;$A215,Recepciones!$A$5:$A$2000,"&lt;="&amp;$A216)&gt;0,SUMIFS(Recepciones!$C$5:$C$2000,Recepciones!$B$5:$B$2000,Config!$A$24,Recepciones!$A$5:$A$2000,"&gt;"&amp;$A215,Recepciones!$A$5:$A$2000,"&lt;="&amp;$A216),MAX(0,F216-F215)))</f>
        <v/>
      </c>
      <c r="H216" s="24" t="str">
        <f aca="false">IF($A216="","",MAX(0,F215+G216-F216))</f>
        <v/>
      </c>
      <c r="I216" s="24" t="str">
        <f aca="false">IF($A216="","",Stock_Diario!G216)</f>
        <v/>
      </c>
      <c r="J216" s="24" t="str">
        <f aca="false">IF($A216="","",IF(SUMIFS(Recepciones!$C$5:$C$2000,Recepciones!$B$5:$B$2000,Config!$A$25,Recepciones!$A$5:$A$2000,"&gt;"&amp;$A215,Recepciones!$A$5:$A$2000,"&lt;="&amp;$A216)&gt;0,SUMIFS(Recepciones!$C$5:$C$2000,Recepciones!$B$5:$B$2000,Config!$A$25,Recepciones!$A$5:$A$2000,"&gt;"&amp;$A215,Recepciones!$A$5:$A$2000,"&lt;="&amp;$A216),MAX(0,I216-I215)))</f>
        <v/>
      </c>
      <c r="K216" s="24" t="str">
        <f aca="false">IF($A216="","",MAX(0,I215+J216-I216))</f>
        <v/>
      </c>
      <c r="L216" s="24" t="str">
        <f aca="false">IF($A216="","",E216+H216+K216)</f>
        <v/>
      </c>
      <c r="M216" s="4" t="str">
        <f aca="false">IF($A216="","",IF(AND(D216+G216+J216&gt;0,SUMIFS(Recepciones!$C$5:$C$2000,Recepciones!$A$5:$A$2000,"&gt;"&amp;$A215,Recepciones!$A$5:$A$2000,"&lt;="&amp;$A216)=0),"Aumento de stock sin recepción registrada",IF(B216&gt;1,"Intervalo de "&amp;B216&amp;" días","")))</f>
        <v/>
      </c>
    </row>
    <row r="217" customFormat="false" ht="15" hidden="false" customHeight="false" outlineLevel="0" collapsed="false">
      <c r="A217" s="5" t="str">
        <f aca="false">IF(Stock_Diario!A217="","",Stock_Diario!A217)</f>
        <v/>
      </c>
      <c r="B217" s="4" t="str">
        <f aca="false">IF($A217="","",$A217-$A216)</f>
        <v/>
      </c>
      <c r="C217" s="24" t="str">
        <f aca="false">IF($A217="","",Stock_Diario!E217)</f>
        <v/>
      </c>
      <c r="D217" s="24" t="str">
        <f aca="false">IF($A217="","",IF(SUMIFS(Recepciones!$C$5:$C$2000,Recepciones!$B$5:$B$2000,Config!$A$23,Recepciones!$A$5:$A$2000,"&gt;"&amp;$A216,Recepciones!$A$5:$A$2000,"&lt;="&amp;$A217)&gt;0,SUMIFS(Recepciones!$C$5:$C$2000,Recepciones!$B$5:$B$2000,Config!$A$23,Recepciones!$A$5:$A$2000,"&gt;"&amp;$A216,Recepciones!$A$5:$A$2000,"&lt;="&amp;$A217),MAX(0,C217-C216)))</f>
        <v/>
      </c>
      <c r="E217" s="24" t="str">
        <f aca="false">IF($A217="","",MAX(0,C216+D217-C217))</f>
        <v/>
      </c>
      <c r="F217" s="24" t="str">
        <f aca="false">IF($A217="","",Stock_Diario!F217)</f>
        <v/>
      </c>
      <c r="G217" s="24" t="str">
        <f aca="false">IF($A217="","",IF(SUMIFS(Recepciones!$C$5:$C$2000,Recepciones!$B$5:$B$2000,Config!$A$24,Recepciones!$A$5:$A$2000,"&gt;"&amp;$A216,Recepciones!$A$5:$A$2000,"&lt;="&amp;$A217)&gt;0,SUMIFS(Recepciones!$C$5:$C$2000,Recepciones!$B$5:$B$2000,Config!$A$24,Recepciones!$A$5:$A$2000,"&gt;"&amp;$A216,Recepciones!$A$5:$A$2000,"&lt;="&amp;$A217),MAX(0,F217-F216)))</f>
        <v/>
      </c>
      <c r="H217" s="24" t="str">
        <f aca="false">IF($A217="","",MAX(0,F216+G217-F217))</f>
        <v/>
      </c>
      <c r="I217" s="24" t="str">
        <f aca="false">IF($A217="","",Stock_Diario!G217)</f>
        <v/>
      </c>
      <c r="J217" s="24" t="str">
        <f aca="false">IF($A217="","",IF(SUMIFS(Recepciones!$C$5:$C$2000,Recepciones!$B$5:$B$2000,Config!$A$25,Recepciones!$A$5:$A$2000,"&gt;"&amp;$A216,Recepciones!$A$5:$A$2000,"&lt;="&amp;$A217)&gt;0,SUMIFS(Recepciones!$C$5:$C$2000,Recepciones!$B$5:$B$2000,Config!$A$25,Recepciones!$A$5:$A$2000,"&gt;"&amp;$A216,Recepciones!$A$5:$A$2000,"&lt;="&amp;$A217),MAX(0,I217-I216)))</f>
        <v/>
      </c>
      <c r="K217" s="24" t="str">
        <f aca="false">IF($A217="","",MAX(0,I216+J217-I217))</f>
        <v/>
      </c>
      <c r="L217" s="24" t="str">
        <f aca="false">IF($A217="","",E217+H217+K217)</f>
        <v/>
      </c>
      <c r="M217" s="4" t="str">
        <f aca="false">IF($A217="","",IF(AND(D217+G217+J217&gt;0,SUMIFS(Recepciones!$C$5:$C$2000,Recepciones!$A$5:$A$2000,"&gt;"&amp;$A216,Recepciones!$A$5:$A$2000,"&lt;="&amp;$A217)=0),"Aumento de stock sin recepción registrada",IF(B217&gt;1,"Intervalo de "&amp;B217&amp;" días","")))</f>
        <v/>
      </c>
    </row>
    <row r="218" customFormat="false" ht="15" hidden="false" customHeight="false" outlineLevel="0" collapsed="false">
      <c r="A218" s="5" t="str">
        <f aca="false">IF(Stock_Diario!A218="","",Stock_Diario!A218)</f>
        <v/>
      </c>
      <c r="B218" s="4" t="str">
        <f aca="false">IF($A218="","",$A218-$A217)</f>
        <v/>
      </c>
      <c r="C218" s="24" t="str">
        <f aca="false">IF($A218="","",Stock_Diario!E218)</f>
        <v/>
      </c>
      <c r="D218" s="24" t="str">
        <f aca="false">IF($A218="","",IF(SUMIFS(Recepciones!$C$5:$C$2000,Recepciones!$B$5:$B$2000,Config!$A$23,Recepciones!$A$5:$A$2000,"&gt;"&amp;$A217,Recepciones!$A$5:$A$2000,"&lt;="&amp;$A218)&gt;0,SUMIFS(Recepciones!$C$5:$C$2000,Recepciones!$B$5:$B$2000,Config!$A$23,Recepciones!$A$5:$A$2000,"&gt;"&amp;$A217,Recepciones!$A$5:$A$2000,"&lt;="&amp;$A218),MAX(0,C218-C217)))</f>
        <v/>
      </c>
      <c r="E218" s="24" t="str">
        <f aca="false">IF($A218="","",MAX(0,C217+D218-C218))</f>
        <v/>
      </c>
      <c r="F218" s="24" t="str">
        <f aca="false">IF($A218="","",Stock_Diario!F218)</f>
        <v/>
      </c>
      <c r="G218" s="24" t="str">
        <f aca="false">IF($A218="","",IF(SUMIFS(Recepciones!$C$5:$C$2000,Recepciones!$B$5:$B$2000,Config!$A$24,Recepciones!$A$5:$A$2000,"&gt;"&amp;$A217,Recepciones!$A$5:$A$2000,"&lt;="&amp;$A218)&gt;0,SUMIFS(Recepciones!$C$5:$C$2000,Recepciones!$B$5:$B$2000,Config!$A$24,Recepciones!$A$5:$A$2000,"&gt;"&amp;$A217,Recepciones!$A$5:$A$2000,"&lt;="&amp;$A218),MAX(0,F218-F217)))</f>
        <v/>
      </c>
      <c r="H218" s="24" t="str">
        <f aca="false">IF($A218="","",MAX(0,F217+G218-F218))</f>
        <v/>
      </c>
      <c r="I218" s="24" t="str">
        <f aca="false">IF($A218="","",Stock_Diario!G218)</f>
        <v/>
      </c>
      <c r="J218" s="24" t="str">
        <f aca="false">IF($A218="","",IF(SUMIFS(Recepciones!$C$5:$C$2000,Recepciones!$B$5:$B$2000,Config!$A$25,Recepciones!$A$5:$A$2000,"&gt;"&amp;$A217,Recepciones!$A$5:$A$2000,"&lt;="&amp;$A218)&gt;0,SUMIFS(Recepciones!$C$5:$C$2000,Recepciones!$B$5:$B$2000,Config!$A$25,Recepciones!$A$5:$A$2000,"&gt;"&amp;$A217,Recepciones!$A$5:$A$2000,"&lt;="&amp;$A218),MAX(0,I218-I217)))</f>
        <v/>
      </c>
      <c r="K218" s="24" t="str">
        <f aca="false">IF($A218="","",MAX(0,I217+J218-I218))</f>
        <v/>
      </c>
      <c r="L218" s="24" t="str">
        <f aca="false">IF($A218="","",E218+H218+K218)</f>
        <v/>
      </c>
      <c r="M218" s="4" t="str">
        <f aca="false">IF($A218="","",IF(AND(D218+G218+J218&gt;0,SUMIFS(Recepciones!$C$5:$C$2000,Recepciones!$A$5:$A$2000,"&gt;"&amp;$A217,Recepciones!$A$5:$A$2000,"&lt;="&amp;$A218)=0),"Aumento de stock sin recepción registrada",IF(B218&gt;1,"Intervalo de "&amp;B218&amp;" días","")))</f>
        <v/>
      </c>
    </row>
    <row r="219" customFormat="false" ht="15" hidden="false" customHeight="false" outlineLevel="0" collapsed="false">
      <c r="A219" s="5" t="str">
        <f aca="false">IF(Stock_Diario!A219="","",Stock_Diario!A219)</f>
        <v/>
      </c>
      <c r="B219" s="4" t="str">
        <f aca="false">IF($A219="","",$A219-$A218)</f>
        <v/>
      </c>
      <c r="C219" s="24" t="str">
        <f aca="false">IF($A219="","",Stock_Diario!E219)</f>
        <v/>
      </c>
      <c r="D219" s="24" t="str">
        <f aca="false">IF($A219="","",IF(SUMIFS(Recepciones!$C$5:$C$2000,Recepciones!$B$5:$B$2000,Config!$A$23,Recepciones!$A$5:$A$2000,"&gt;"&amp;$A218,Recepciones!$A$5:$A$2000,"&lt;="&amp;$A219)&gt;0,SUMIFS(Recepciones!$C$5:$C$2000,Recepciones!$B$5:$B$2000,Config!$A$23,Recepciones!$A$5:$A$2000,"&gt;"&amp;$A218,Recepciones!$A$5:$A$2000,"&lt;="&amp;$A219),MAX(0,C219-C218)))</f>
        <v/>
      </c>
      <c r="E219" s="24" t="str">
        <f aca="false">IF($A219="","",MAX(0,C218+D219-C219))</f>
        <v/>
      </c>
      <c r="F219" s="24" t="str">
        <f aca="false">IF($A219="","",Stock_Diario!F219)</f>
        <v/>
      </c>
      <c r="G219" s="24" t="str">
        <f aca="false">IF($A219="","",IF(SUMIFS(Recepciones!$C$5:$C$2000,Recepciones!$B$5:$B$2000,Config!$A$24,Recepciones!$A$5:$A$2000,"&gt;"&amp;$A218,Recepciones!$A$5:$A$2000,"&lt;="&amp;$A219)&gt;0,SUMIFS(Recepciones!$C$5:$C$2000,Recepciones!$B$5:$B$2000,Config!$A$24,Recepciones!$A$5:$A$2000,"&gt;"&amp;$A218,Recepciones!$A$5:$A$2000,"&lt;="&amp;$A219),MAX(0,F219-F218)))</f>
        <v/>
      </c>
      <c r="H219" s="24" t="str">
        <f aca="false">IF($A219="","",MAX(0,F218+G219-F219))</f>
        <v/>
      </c>
      <c r="I219" s="24" t="str">
        <f aca="false">IF($A219="","",Stock_Diario!G219)</f>
        <v/>
      </c>
      <c r="J219" s="24" t="str">
        <f aca="false">IF($A219="","",IF(SUMIFS(Recepciones!$C$5:$C$2000,Recepciones!$B$5:$B$2000,Config!$A$25,Recepciones!$A$5:$A$2000,"&gt;"&amp;$A218,Recepciones!$A$5:$A$2000,"&lt;="&amp;$A219)&gt;0,SUMIFS(Recepciones!$C$5:$C$2000,Recepciones!$B$5:$B$2000,Config!$A$25,Recepciones!$A$5:$A$2000,"&gt;"&amp;$A218,Recepciones!$A$5:$A$2000,"&lt;="&amp;$A219),MAX(0,I219-I218)))</f>
        <v/>
      </c>
      <c r="K219" s="24" t="str">
        <f aca="false">IF($A219="","",MAX(0,I218+J219-I219))</f>
        <v/>
      </c>
      <c r="L219" s="24" t="str">
        <f aca="false">IF($A219="","",E219+H219+K219)</f>
        <v/>
      </c>
      <c r="M219" s="4" t="str">
        <f aca="false">IF($A219="","",IF(AND(D219+G219+J219&gt;0,SUMIFS(Recepciones!$C$5:$C$2000,Recepciones!$A$5:$A$2000,"&gt;"&amp;$A218,Recepciones!$A$5:$A$2000,"&lt;="&amp;$A219)=0),"Aumento de stock sin recepción registrada",IF(B219&gt;1,"Intervalo de "&amp;B219&amp;" días","")))</f>
        <v/>
      </c>
    </row>
    <row r="220" customFormat="false" ht="15" hidden="false" customHeight="false" outlineLevel="0" collapsed="false">
      <c r="A220" s="5" t="str">
        <f aca="false">IF(Stock_Diario!A220="","",Stock_Diario!A220)</f>
        <v/>
      </c>
      <c r="B220" s="4" t="str">
        <f aca="false">IF($A220="","",$A220-$A219)</f>
        <v/>
      </c>
      <c r="C220" s="24" t="str">
        <f aca="false">IF($A220="","",Stock_Diario!E220)</f>
        <v/>
      </c>
      <c r="D220" s="24" t="str">
        <f aca="false">IF($A220="","",IF(SUMIFS(Recepciones!$C$5:$C$2000,Recepciones!$B$5:$B$2000,Config!$A$23,Recepciones!$A$5:$A$2000,"&gt;"&amp;$A219,Recepciones!$A$5:$A$2000,"&lt;="&amp;$A220)&gt;0,SUMIFS(Recepciones!$C$5:$C$2000,Recepciones!$B$5:$B$2000,Config!$A$23,Recepciones!$A$5:$A$2000,"&gt;"&amp;$A219,Recepciones!$A$5:$A$2000,"&lt;="&amp;$A220),MAX(0,C220-C219)))</f>
        <v/>
      </c>
      <c r="E220" s="24" t="str">
        <f aca="false">IF($A220="","",MAX(0,C219+D220-C220))</f>
        <v/>
      </c>
      <c r="F220" s="24" t="str">
        <f aca="false">IF($A220="","",Stock_Diario!F220)</f>
        <v/>
      </c>
      <c r="G220" s="24" t="str">
        <f aca="false">IF($A220="","",IF(SUMIFS(Recepciones!$C$5:$C$2000,Recepciones!$B$5:$B$2000,Config!$A$24,Recepciones!$A$5:$A$2000,"&gt;"&amp;$A219,Recepciones!$A$5:$A$2000,"&lt;="&amp;$A220)&gt;0,SUMIFS(Recepciones!$C$5:$C$2000,Recepciones!$B$5:$B$2000,Config!$A$24,Recepciones!$A$5:$A$2000,"&gt;"&amp;$A219,Recepciones!$A$5:$A$2000,"&lt;="&amp;$A220),MAX(0,F220-F219)))</f>
        <v/>
      </c>
      <c r="H220" s="24" t="str">
        <f aca="false">IF($A220="","",MAX(0,F219+G220-F220))</f>
        <v/>
      </c>
      <c r="I220" s="24" t="str">
        <f aca="false">IF($A220="","",Stock_Diario!G220)</f>
        <v/>
      </c>
      <c r="J220" s="24" t="str">
        <f aca="false">IF($A220="","",IF(SUMIFS(Recepciones!$C$5:$C$2000,Recepciones!$B$5:$B$2000,Config!$A$25,Recepciones!$A$5:$A$2000,"&gt;"&amp;$A219,Recepciones!$A$5:$A$2000,"&lt;="&amp;$A220)&gt;0,SUMIFS(Recepciones!$C$5:$C$2000,Recepciones!$B$5:$B$2000,Config!$A$25,Recepciones!$A$5:$A$2000,"&gt;"&amp;$A219,Recepciones!$A$5:$A$2000,"&lt;="&amp;$A220),MAX(0,I220-I219)))</f>
        <v/>
      </c>
      <c r="K220" s="24" t="str">
        <f aca="false">IF($A220="","",MAX(0,I219+J220-I220))</f>
        <v/>
      </c>
      <c r="L220" s="24" t="str">
        <f aca="false">IF($A220="","",E220+H220+K220)</f>
        <v/>
      </c>
      <c r="M220" s="4" t="str">
        <f aca="false">IF($A220="","",IF(AND(D220+G220+J220&gt;0,SUMIFS(Recepciones!$C$5:$C$2000,Recepciones!$A$5:$A$2000,"&gt;"&amp;$A219,Recepciones!$A$5:$A$2000,"&lt;="&amp;$A220)=0),"Aumento de stock sin recepción registrada",IF(B220&gt;1,"Intervalo de "&amp;B220&amp;" días","")))</f>
        <v/>
      </c>
    </row>
    <row r="221" customFormat="false" ht="15" hidden="false" customHeight="false" outlineLevel="0" collapsed="false">
      <c r="A221" s="5" t="str">
        <f aca="false">IF(Stock_Diario!A221="","",Stock_Diario!A221)</f>
        <v/>
      </c>
      <c r="B221" s="4" t="str">
        <f aca="false">IF($A221="","",$A221-$A220)</f>
        <v/>
      </c>
      <c r="C221" s="24" t="str">
        <f aca="false">IF($A221="","",Stock_Diario!E221)</f>
        <v/>
      </c>
      <c r="D221" s="24" t="str">
        <f aca="false">IF($A221="","",IF(SUMIFS(Recepciones!$C$5:$C$2000,Recepciones!$B$5:$B$2000,Config!$A$23,Recepciones!$A$5:$A$2000,"&gt;"&amp;$A220,Recepciones!$A$5:$A$2000,"&lt;="&amp;$A221)&gt;0,SUMIFS(Recepciones!$C$5:$C$2000,Recepciones!$B$5:$B$2000,Config!$A$23,Recepciones!$A$5:$A$2000,"&gt;"&amp;$A220,Recepciones!$A$5:$A$2000,"&lt;="&amp;$A221),MAX(0,C221-C220)))</f>
        <v/>
      </c>
      <c r="E221" s="24" t="str">
        <f aca="false">IF($A221="","",MAX(0,C220+D221-C221))</f>
        <v/>
      </c>
      <c r="F221" s="24" t="str">
        <f aca="false">IF($A221="","",Stock_Diario!F221)</f>
        <v/>
      </c>
      <c r="G221" s="24" t="str">
        <f aca="false">IF($A221="","",IF(SUMIFS(Recepciones!$C$5:$C$2000,Recepciones!$B$5:$B$2000,Config!$A$24,Recepciones!$A$5:$A$2000,"&gt;"&amp;$A220,Recepciones!$A$5:$A$2000,"&lt;="&amp;$A221)&gt;0,SUMIFS(Recepciones!$C$5:$C$2000,Recepciones!$B$5:$B$2000,Config!$A$24,Recepciones!$A$5:$A$2000,"&gt;"&amp;$A220,Recepciones!$A$5:$A$2000,"&lt;="&amp;$A221),MAX(0,F221-F220)))</f>
        <v/>
      </c>
      <c r="H221" s="24" t="str">
        <f aca="false">IF($A221="","",MAX(0,F220+G221-F221))</f>
        <v/>
      </c>
      <c r="I221" s="24" t="str">
        <f aca="false">IF($A221="","",Stock_Diario!G221)</f>
        <v/>
      </c>
      <c r="J221" s="24" t="str">
        <f aca="false">IF($A221="","",IF(SUMIFS(Recepciones!$C$5:$C$2000,Recepciones!$B$5:$B$2000,Config!$A$25,Recepciones!$A$5:$A$2000,"&gt;"&amp;$A220,Recepciones!$A$5:$A$2000,"&lt;="&amp;$A221)&gt;0,SUMIFS(Recepciones!$C$5:$C$2000,Recepciones!$B$5:$B$2000,Config!$A$25,Recepciones!$A$5:$A$2000,"&gt;"&amp;$A220,Recepciones!$A$5:$A$2000,"&lt;="&amp;$A221),MAX(0,I221-I220)))</f>
        <v/>
      </c>
      <c r="K221" s="24" t="str">
        <f aca="false">IF($A221="","",MAX(0,I220+J221-I221))</f>
        <v/>
      </c>
      <c r="L221" s="24" t="str">
        <f aca="false">IF($A221="","",E221+H221+K221)</f>
        <v/>
      </c>
      <c r="M221" s="4" t="str">
        <f aca="false">IF($A221="","",IF(AND(D221+G221+J221&gt;0,SUMIFS(Recepciones!$C$5:$C$2000,Recepciones!$A$5:$A$2000,"&gt;"&amp;$A220,Recepciones!$A$5:$A$2000,"&lt;="&amp;$A221)=0),"Aumento de stock sin recepción registrada",IF(B221&gt;1,"Intervalo de "&amp;B221&amp;" días","")))</f>
        <v/>
      </c>
    </row>
    <row r="222" customFormat="false" ht="15" hidden="false" customHeight="false" outlineLevel="0" collapsed="false">
      <c r="A222" s="5" t="str">
        <f aca="false">IF(Stock_Diario!A222="","",Stock_Diario!A222)</f>
        <v/>
      </c>
      <c r="B222" s="4" t="str">
        <f aca="false">IF($A222="","",$A222-$A221)</f>
        <v/>
      </c>
      <c r="C222" s="24" t="str">
        <f aca="false">IF($A222="","",Stock_Diario!E222)</f>
        <v/>
      </c>
      <c r="D222" s="24" t="str">
        <f aca="false">IF($A222="","",IF(SUMIFS(Recepciones!$C$5:$C$2000,Recepciones!$B$5:$B$2000,Config!$A$23,Recepciones!$A$5:$A$2000,"&gt;"&amp;$A221,Recepciones!$A$5:$A$2000,"&lt;="&amp;$A222)&gt;0,SUMIFS(Recepciones!$C$5:$C$2000,Recepciones!$B$5:$B$2000,Config!$A$23,Recepciones!$A$5:$A$2000,"&gt;"&amp;$A221,Recepciones!$A$5:$A$2000,"&lt;="&amp;$A222),MAX(0,C222-C221)))</f>
        <v/>
      </c>
      <c r="E222" s="24" t="str">
        <f aca="false">IF($A222="","",MAX(0,C221+D222-C222))</f>
        <v/>
      </c>
      <c r="F222" s="24" t="str">
        <f aca="false">IF($A222="","",Stock_Diario!F222)</f>
        <v/>
      </c>
      <c r="G222" s="24" t="str">
        <f aca="false">IF($A222="","",IF(SUMIFS(Recepciones!$C$5:$C$2000,Recepciones!$B$5:$B$2000,Config!$A$24,Recepciones!$A$5:$A$2000,"&gt;"&amp;$A221,Recepciones!$A$5:$A$2000,"&lt;="&amp;$A222)&gt;0,SUMIFS(Recepciones!$C$5:$C$2000,Recepciones!$B$5:$B$2000,Config!$A$24,Recepciones!$A$5:$A$2000,"&gt;"&amp;$A221,Recepciones!$A$5:$A$2000,"&lt;="&amp;$A222),MAX(0,F222-F221)))</f>
        <v/>
      </c>
      <c r="H222" s="24" t="str">
        <f aca="false">IF($A222="","",MAX(0,F221+G222-F222))</f>
        <v/>
      </c>
      <c r="I222" s="24" t="str">
        <f aca="false">IF($A222="","",Stock_Diario!G222)</f>
        <v/>
      </c>
      <c r="J222" s="24" t="str">
        <f aca="false">IF($A222="","",IF(SUMIFS(Recepciones!$C$5:$C$2000,Recepciones!$B$5:$B$2000,Config!$A$25,Recepciones!$A$5:$A$2000,"&gt;"&amp;$A221,Recepciones!$A$5:$A$2000,"&lt;="&amp;$A222)&gt;0,SUMIFS(Recepciones!$C$5:$C$2000,Recepciones!$B$5:$B$2000,Config!$A$25,Recepciones!$A$5:$A$2000,"&gt;"&amp;$A221,Recepciones!$A$5:$A$2000,"&lt;="&amp;$A222),MAX(0,I222-I221)))</f>
        <v/>
      </c>
      <c r="K222" s="24" t="str">
        <f aca="false">IF($A222="","",MAX(0,I221+J222-I222))</f>
        <v/>
      </c>
      <c r="L222" s="24" t="str">
        <f aca="false">IF($A222="","",E222+H222+K222)</f>
        <v/>
      </c>
      <c r="M222" s="4" t="str">
        <f aca="false">IF($A222="","",IF(AND(D222+G222+J222&gt;0,SUMIFS(Recepciones!$C$5:$C$2000,Recepciones!$A$5:$A$2000,"&gt;"&amp;$A221,Recepciones!$A$5:$A$2000,"&lt;="&amp;$A222)=0),"Aumento de stock sin recepción registrada",IF(B222&gt;1,"Intervalo de "&amp;B222&amp;" días","")))</f>
        <v/>
      </c>
    </row>
    <row r="223" customFormat="false" ht="15" hidden="false" customHeight="false" outlineLevel="0" collapsed="false">
      <c r="A223" s="5" t="str">
        <f aca="false">IF(Stock_Diario!A223="","",Stock_Diario!A223)</f>
        <v/>
      </c>
      <c r="B223" s="4" t="str">
        <f aca="false">IF($A223="","",$A223-$A222)</f>
        <v/>
      </c>
      <c r="C223" s="24" t="str">
        <f aca="false">IF($A223="","",Stock_Diario!E223)</f>
        <v/>
      </c>
      <c r="D223" s="24" t="str">
        <f aca="false">IF($A223="","",IF(SUMIFS(Recepciones!$C$5:$C$2000,Recepciones!$B$5:$B$2000,Config!$A$23,Recepciones!$A$5:$A$2000,"&gt;"&amp;$A222,Recepciones!$A$5:$A$2000,"&lt;="&amp;$A223)&gt;0,SUMIFS(Recepciones!$C$5:$C$2000,Recepciones!$B$5:$B$2000,Config!$A$23,Recepciones!$A$5:$A$2000,"&gt;"&amp;$A222,Recepciones!$A$5:$A$2000,"&lt;="&amp;$A223),MAX(0,C223-C222)))</f>
        <v/>
      </c>
      <c r="E223" s="24" t="str">
        <f aca="false">IF($A223="","",MAX(0,C222+D223-C223))</f>
        <v/>
      </c>
      <c r="F223" s="24" t="str">
        <f aca="false">IF($A223="","",Stock_Diario!F223)</f>
        <v/>
      </c>
      <c r="G223" s="24" t="str">
        <f aca="false">IF($A223="","",IF(SUMIFS(Recepciones!$C$5:$C$2000,Recepciones!$B$5:$B$2000,Config!$A$24,Recepciones!$A$5:$A$2000,"&gt;"&amp;$A222,Recepciones!$A$5:$A$2000,"&lt;="&amp;$A223)&gt;0,SUMIFS(Recepciones!$C$5:$C$2000,Recepciones!$B$5:$B$2000,Config!$A$24,Recepciones!$A$5:$A$2000,"&gt;"&amp;$A222,Recepciones!$A$5:$A$2000,"&lt;="&amp;$A223),MAX(0,F223-F222)))</f>
        <v/>
      </c>
      <c r="H223" s="24" t="str">
        <f aca="false">IF($A223="","",MAX(0,F222+G223-F223))</f>
        <v/>
      </c>
      <c r="I223" s="24" t="str">
        <f aca="false">IF($A223="","",Stock_Diario!G223)</f>
        <v/>
      </c>
      <c r="J223" s="24" t="str">
        <f aca="false">IF($A223="","",IF(SUMIFS(Recepciones!$C$5:$C$2000,Recepciones!$B$5:$B$2000,Config!$A$25,Recepciones!$A$5:$A$2000,"&gt;"&amp;$A222,Recepciones!$A$5:$A$2000,"&lt;="&amp;$A223)&gt;0,SUMIFS(Recepciones!$C$5:$C$2000,Recepciones!$B$5:$B$2000,Config!$A$25,Recepciones!$A$5:$A$2000,"&gt;"&amp;$A222,Recepciones!$A$5:$A$2000,"&lt;="&amp;$A223),MAX(0,I223-I222)))</f>
        <v/>
      </c>
      <c r="K223" s="24" t="str">
        <f aca="false">IF($A223="","",MAX(0,I222+J223-I223))</f>
        <v/>
      </c>
      <c r="L223" s="24" t="str">
        <f aca="false">IF($A223="","",E223+H223+K223)</f>
        <v/>
      </c>
      <c r="M223" s="4" t="str">
        <f aca="false">IF($A223="","",IF(AND(D223+G223+J223&gt;0,SUMIFS(Recepciones!$C$5:$C$2000,Recepciones!$A$5:$A$2000,"&gt;"&amp;$A222,Recepciones!$A$5:$A$2000,"&lt;="&amp;$A223)=0),"Aumento de stock sin recepción registrada",IF(B223&gt;1,"Intervalo de "&amp;B223&amp;" días","")))</f>
        <v/>
      </c>
    </row>
    <row r="224" customFormat="false" ht="15" hidden="false" customHeight="false" outlineLevel="0" collapsed="false">
      <c r="A224" s="5" t="str">
        <f aca="false">IF(Stock_Diario!A224="","",Stock_Diario!A224)</f>
        <v/>
      </c>
      <c r="B224" s="4" t="str">
        <f aca="false">IF($A224="","",$A224-$A223)</f>
        <v/>
      </c>
      <c r="C224" s="24" t="str">
        <f aca="false">IF($A224="","",Stock_Diario!E224)</f>
        <v/>
      </c>
      <c r="D224" s="24" t="str">
        <f aca="false">IF($A224="","",IF(SUMIFS(Recepciones!$C$5:$C$2000,Recepciones!$B$5:$B$2000,Config!$A$23,Recepciones!$A$5:$A$2000,"&gt;"&amp;$A223,Recepciones!$A$5:$A$2000,"&lt;="&amp;$A224)&gt;0,SUMIFS(Recepciones!$C$5:$C$2000,Recepciones!$B$5:$B$2000,Config!$A$23,Recepciones!$A$5:$A$2000,"&gt;"&amp;$A223,Recepciones!$A$5:$A$2000,"&lt;="&amp;$A224),MAX(0,C224-C223)))</f>
        <v/>
      </c>
      <c r="E224" s="24" t="str">
        <f aca="false">IF($A224="","",MAX(0,C223+D224-C224))</f>
        <v/>
      </c>
      <c r="F224" s="24" t="str">
        <f aca="false">IF($A224="","",Stock_Diario!F224)</f>
        <v/>
      </c>
      <c r="G224" s="24" t="str">
        <f aca="false">IF($A224="","",IF(SUMIFS(Recepciones!$C$5:$C$2000,Recepciones!$B$5:$B$2000,Config!$A$24,Recepciones!$A$5:$A$2000,"&gt;"&amp;$A223,Recepciones!$A$5:$A$2000,"&lt;="&amp;$A224)&gt;0,SUMIFS(Recepciones!$C$5:$C$2000,Recepciones!$B$5:$B$2000,Config!$A$24,Recepciones!$A$5:$A$2000,"&gt;"&amp;$A223,Recepciones!$A$5:$A$2000,"&lt;="&amp;$A224),MAX(0,F224-F223)))</f>
        <v/>
      </c>
      <c r="H224" s="24" t="str">
        <f aca="false">IF($A224="","",MAX(0,F223+G224-F224))</f>
        <v/>
      </c>
      <c r="I224" s="24" t="str">
        <f aca="false">IF($A224="","",Stock_Diario!G224)</f>
        <v/>
      </c>
      <c r="J224" s="24" t="str">
        <f aca="false">IF($A224="","",IF(SUMIFS(Recepciones!$C$5:$C$2000,Recepciones!$B$5:$B$2000,Config!$A$25,Recepciones!$A$5:$A$2000,"&gt;"&amp;$A223,Recepciones!$A$5:$A$2000,"&lt;="&amp;$A224)&gt;0,SUMIFS(Recepciones!$C$5:$C$2000,Recepciones!$B$5:$B$2000,Config!$A$25,Recepciones!$A$5:$A$2000,"&gt;"&amp;$A223,Recepciones!$A$5:$A$2000,"&lt;="&amp;$A224),MAX(0,I224-I223)))</f>
        <v/>
      </c>
      <c r="K224" s="24" t="str">
        <f aca="false">IF($A224="","",MAX(0,I223+J224-I224))</f>
        <v/>
      </c>
      <c r="L224" s="24" t="str">
        <f aca="false">IF($A224="","",E224+H224+K224)</f>
        <v/>
      </c>
      <c r="M224" s="4" t="str">
        <f aca="false">IF($A224="","",IF(AND(D224+G224+J224&gt;0,SUMIFS(Recepciones!$C$5:$C$2000,Recepciones!$A$5:$A$2000,"&gt;"&amp;$A223,Recepciones!$A$5:$A$2000,"&lt;="&amp;$A224)=0),"Aumento de stock sin recepción registrada",IF(B224&gt;1,"Intervalo de "&amp;B224&amp;" días","")))</f>
        <v/>
      </c>
    </row>
    <row r="225" customFormat="false" ht="15" hidden="false" customHeight="false" outlineLevel="0" collapsed="false">
      <c r="A225" s="5" t="str">
        <f aca="false">IF(Stock_Diario!A225="","",Stock_Diario!A225)</f>
        <v/>
      </c>
      <c r="B225" s="4" t="str">
        <f aca="false">IF($A225="","",$A225-$A224)</f>
        <v/>
      </c>
      <c r="C225" s="24" t="str">
        <f aca="false">IF($A225="","",Stock_Diario!E225)</f>
        <v/>
      </c>
      <c r="D225" s="24" t="str">
        <f aca="false">IF($A225="","",IF(SUMIFS(Recepciones!$C$5:$C$2000,Recepciones!$B$5:$B$2000,Config!$A$23,Recepciones!$A$5:$A$2000,"&gt;"&amp;$A224,Recepciones!$A$5:$A$2000,"&lt;="&amp;$A225)&gt;0,SUMIFS(Recepciones!$C$5:$C$2000,Recepciones!$B$5:$B$2000,Config!$A$23,Recepciones!$A$5:$A$2000,"&gt;"&amp;$A224,Recepciones!$A$5:$A$2000,"&lt;="&amp;$A225),MAX(0,C225-C224)))</f>
        <v/>
      </c>
      <c r="E225" s="24" t="str">
        <f aca="false">IF($A225="","",MAX(0,C224+D225-C225))</f>
        <v/>
      </c>
      <c r="F225" s="24" t="str">
        <f aca="false">IF($A225="","",Stock_Diario!F225)</f>
        <v/>
      </c>
      <c r="G225" s="24" t="str">
        <f aca="false">IF($A225="","",IF(SUMIFS(Recepciones!$C$5:$C$2000,Recepciones!$B$5:$B$2000,Config!$A$24,Recepciones!$A$5:$A$2000,"&gt;"&amp;$A224,Recepciones!$A$5:$A$2000,"&lt;="&amp;$A225)&gt;0,SUMIFS(Recepciones!$C$5:$C$2000,Recepciones!$B$5:$B$2000,Config!$A$24,Recepciones!$A$5:$A$2000,"&gt;"&amp;$A224,Recepciones!$A$5:$A$2000,"&lt;="&amp;$A225),MAX(0,F225-F224)))</f>
        <v/>
      </c>
      <c r="H225" s="24" t="str">
        <f aca="false">IF($A225="","",MAX(0,F224+G225-F225))</f>
        <v/>
      </c>
      <c r="I225" s="24" t="str">
        <f aca="false">IF($A225="","",Stock_Diario!G225)</f>
        <v/>
      </c>
      <c r="J225" s="24" t="str">
        <f aca="false">IF($A225="","",IF(SUMIFS(Recepciones!$C$5:$C$2000,Recepciones!$B$5:$B$2000,Config!$A$25,Recepciones!$A$5:$A$2000,"&gt;"&amp;$A224,Recepciones!$A$5:$A$2000,"&lt;="&amp;$A225)&gt;0,SUMIFS(Recepciones!$C$5:$C$2000,Recepciones!$B$5:$B$2000,Config!$A$25,Recepciones!$A$5:$A$2000,"&gt;"&amp;$A224,Recepciones!$A$5:$A$2000,"&lt;="&amp;$A225),MAX(0,I225-I224)))</f>
        <v/>
      </c>
      <c r="K225" s="24" t="str">
        <f aca="false">IF($A225="","",MAX(0,I224+J225-I225))</f>
        <v/>
      </c>
      <c r="L225" s="24" t="str">
        <f aca="false">IF($A225="","",E225+H225+K225)</f>
        <v/>
      </c>
      <c r="M225" s="4" t="str">
        <f aca="false">IF($A225="","",IF(AND(D225+G225+J225&gt;0,SUMIFS(Recepciones!$C$5:$C$2000,Recepciones!$A$5:$A$2000,"&gt;"&amp;$A224,Recepciones!$A$5:$A$2000,"&lt;="&amp;$A225)=0),"Aumento de stock sin recepción registrada",IF(B225&gt;1,"Intervalo de "&amp;B225&amp;" días","")))</f>
        <v/>
      </c>
    </row>
    <row r="226" customFormat="false" ht="15" hidden="false" customHeight="false" outlineLevel="0" collapsed="false">
      <c r="A226" s="5" t="str">
        <f aca="false">IF(Stock_Diario!A226="","",Stock_Diario!A226)</f>
        <v/>
      </c>
      <c r="B226" s="4" t="str">
        <f aca="false">IF($A226="","",$A226-$A225)</f>
        <v/>
      </c>
      <c r="C226" s="24" t="str">
        <f aca="false">IF($A226="","",Stock_Diario!E226)</f>
        <v/>
      </c>
      <c r="D226" s="24" t="str">
        <f aca="false">IF($A226="","",IF(SUMIFS(Recepciones!$C$5:$C$2000,Recepciones!$B$5:$B$2000,Config!$A$23,Recepciones!$A$5:$A$2000,"&gt;"&amp;$A225,Recepciones!$A$5:$A$2000,"&lt;="&amp;$A226)&gt;0,SUMIFS(Recepciones!$C$5:$C$2000,Recepciones!$B$5:$B$2000,Config!$A$23,Recepciones!$A$5:$A$2000,"&gt;"&amp;$A225,Recepciones!$A$5:$A$2000,"&lt;="&amp;$A226),MAX(0,C226-C225)))</f>
        <v/>
      </c>
      <c r="E226" s="24" t="str">
        <f aca="false">IF($A226="","",MAX(0,C225+D226-C226))</f>
        <v/>
      </c>
      <c r="F226" s="24" t="str">
        <f aca="false">IF($A226="","",Stock_Diario!F226)</f>
        <v/>
      </c>
      <c r="G226" s="24" t="str">
        <f aca="false">IF($A226="","",IF(SUMIFS(Recepciones!$C$5:$C$2000,Recepciones!$B$5:$B$2000,Config!$A$24,Recepciones!$A$5:$A$2000,"&gt;"&amp;$A225,Recepciones!$A$5:$A$2000,"&lt;="&amp;$A226)&gt;0,SUMIFS(Recepciones!$C$5:$C$2000,Recepciones!$B$5:$B$2000,Config!$A$24,Recepciones!$A$5:$A$2000,"&gt;"&amp;$A225,Recepciones!$A$5:$A$2000,"&lt;="&amp;$A226),MAX(0,F226-F225)))</f>
        <v/>
      </c>
      <c r="H226" s="24" t="str">
        <f aca="false">IF($A226="","",MAX(0,F225+G226-F226))</f>
        <v/>
      </c>
      <c r="I226" s="24" t="str">
        <f aca="false">IF($A226="","",Stock_Diario!G226)</f>
        <v/>
      </c>
      <c r="J226" s="24" t="str">
        <f aca="false">IF($A226="","",IF(SUMIFS(Recepciones!$C$5:$C$2000,Recepciones!$B$5:$B$2000,Config!$A$25,Recepciones!$A$5:$A$2000,"&gt;"&amp;$A225,Recepciones!$A$5:$A$2000,"&lt;="&amp;$A226)&gt;0,SUMIFS(Recepciones!$C$5:$C$2000,Recepciones!$B$5:$B$2000,Config!$A$25,Recepciones!$A$5:$A$2000,"&gt;"&amp;$A225,Recepciones!$A$5:$A$2000,"&lt;="&amp;$A226),MAX(0,I226-I225)))</f>
        <v/>
      </c>
      <c r="K226" s="24" t="str">
        <f aca="false">IF($A226="","",MAX(0,I225+J226-I226))</f>
        <v/>
      </c>
      <c r="L226" s="24" t="str">
        <f aca="false">IF($A226="","",E226+H226+K226)</f>
        <v/>
      </c>
      <c r="M226" s="4" t="str">
        <f aca="false">IF($A226="","",IF(AND(D226+G226+J226&gt;0,SUMIFS(Recepciones!$C$5:$C$2000,Recepciones!$A$5:$A$2000,"&gt;"&amp;$A225,Recepciones!$A$5:$A$2000,"&lt;="&amp;$A226)=0),"Aumento de stock sin recepción registrada",IF(B226&gt;1,"Intervalo de "&amp;B226&amp;" días","")))</f>
        <v/>
      </c>
    </row>
    <row r="227" customFormat="false" ht="15" hidden="false" customHeight="false" outlineLevel="0" collapsed="false">
      <c r="A227" s="5" t="str">
        <f aca="false">IF(Stock_Diario!A227="","",Stock_Diario!A227)</f>
        <v/>
      </c>
      <c r="B227" s="4" t="str">
        <f aca="false">IF($A227="","",$A227-$A226)</f>
        <v/>
      </c>
      <c r="C227" s="24" t="str">
        <f aca="false">IF($A227="","",Stock_Diario!E227)</f>
        <v/>
      </c>
      <c r="D227" s="24" t="str">
        <f aca="false">IF($A227="","",IF(SUMIFS(Recepciones!$C$5:$C$2000,Recepciones!$B$5:$B$2000,Config!$A$23,Recepciones!$A$5:$A$2000,"&gt;"&amp;$A226,Recepciones!$A$5:$A$2000,"&lt;="&amp;$A227)&gt;0,SUMIFS(Recepciones!$C$5:$C$2000,Recepciones!$B$5:$B$2000,Config!$A$23,Recepciones!$A$5:$A$2000,"&gt;"&amp;$A226,Recepciones!$A$5:$A$2000,"&lt;="&amp;$A227),MAX(0,C227-C226)))</f>
        <v/>
      </c>
      <c r="E227" s="24" t="str">
        <f aca="false">IF($A227="","",MAX(0,C226+D227-C227))</f>
        <v/>
      </c>
      <c r="F227" s="24" t="str">
        <f aca="false">IF($A227="","",Stock_Diario!F227)</f>
        <v/>
      </c>
      <c r="G227" s="24" t="str">
        <f aca="false">IF($A227="","",IF(SUMIFS(Recepciones!$C$5:$C$2000,Recepciones!$B$5:$B$2000,Config!$A$24,Recepciones!$A$5:$A$2000,"&gt;"&amp;$A226,Recepciones!$A$5:$A$2000,"&lt;="&amp;$A227)&gt;0,SUMIFS(Recepciones!$C$5:$C$2000,Recepciones!$B$5:$B$2000,Config!$A$24,Recepciones!$A$5:$A$2000,"&gt;"&amp;$A226,Recepciones!$A$5:$A$2000,"&lt;="&amp;$A227),MAX(0,F227-F226)))</f>
        <v/>
      </c>
      <c r="H227" s="24" t="str">
        <f aca="false">IF($A227="","",MAX(0,F226+G227-F227))</f>
        <v/>
      </c>
      <c r="I227" s="24" t="str">
        <f aca="false">IF($A227="","",Stock_Diario!G227)</f>
        <v/>
      </c>
      <c r="J227" s="24" t="str">
        <f aca="false">IF($A227="","",IF(SUMIFS(Recepciones!$C$5:$C$2000,Recepciones!$B$5:$B$2000,Config!$A$25,Recepciones!$A$5:$A$2000,"&gt;"&amp;$A226,Recepciones!$A$5:$A$2000,"&lt;="&amp;$A227)&gt;0,SUMIFS(Recepciones!$C$5:$C$2000,Recepciones!$B$5:$B$2000,Config!$A$25,Recepciones!$A$5:$A$2000,"&gt;"&amp;$A226,Recepciones!$A$5:$A$2000,"&lt;="&amp;$A227),MAX(0,I227-I226)))</f>
        <v/>
      </c>
      <c r="K227" s="24" t="str">
        <f aca="false">IF($A227="","",MAX(0,I226+J227-I227))</f>
        <v/>
      </c>
      <c r="L227" s="24" t="str">
        <f aca="false">IF($A227="","",E227+H227+K227)</f>
        <v/>
      </c>
      <c r="M227" s="4" t="str">
        <f aca="false">IF($A227="","",IF(AND(D227+G227+J227&gt;0,SUMIFS(Recepciones!$C$5:$C$2000,Recepciones!$A$5:$A$2000,"&gt;"&amp;$A226,Recepciones!$A$5:$A$2000,"&lt;="&amp;$A227)=0),"Aumento de stock sin recepción registrada",IF(B227&gt;1,"Intervalo de "&amp;B227&amp;" días","")))</f>
        <v/>
      </c>
    </row>
    <row r="228" customFormat="false" ht="15" hidden="false" customHeight="false" outlineLevel="0" collapsed="false">
      <c r="A228" s="5" t="str">
        <f aca="false">IF(Stock_Diario!A228="","",Stock_Diario!A228)</f>
        <v/>
      </c>
      <c r="B228" s="4" t="str">
        <f aca="false">IF($A228="","",$A228-$A227)</f>
        <v/>
      </c>
      <c r="C228" s="24" t="str">
        <f aca="false">IF($A228="","",Stock_Diario!E228)</f>
        <v/>
      </c>
      <c r="D228" s="24" t="str">
        <f aca="false">IF($A228="","",IF(SUMIFS(Recepciones!$C$5:$C$2000,Recepciones!$B$5:$B$2000,Config!$A$23,Recepciones!$A$5:$A$2000,"&gt;"&amp;$A227,Recepciones!$A$5:$A$2000,"&lt;="&amp;$A228)&gt;0,SUMIFS(Recepciones!$C$5:$C$2000,Recepciones!$B$5:$B$2000,Config!$A$23,Recepciones!$A$5:$A$2000,"&gt;"&amp;$A227,Recepciones!$A$5:$A$2000,"&lt;="&amp;$A228),MAX(0,C228-C227)))</f>
        <v/>
      </c>
      <c r="E228" s="24" t="str">
        <f aca="false">IF($A228="","",MAX(0,C227+D228-C228))</f>
        <v/>
      </c>
      <c r="F228" s="24" t="str">
        <f aca="false">IF($A228="","",Stock_Diario!F228)</f>
        <v/>
      </c>
      <c r="G228" s="24" t="str">
        <f aca="false">IF($A228="","",IF(SUMIFS(Recepciones!$C$5:$C$2000,Recepciones!$B$5:$B$2000,Config!$A$24,Recepciones!$A$5:$A$2000,"&gt;"&amp;$A227,Recepciones!$A$5:$A$2000,"&lt;="&amp;$A228)&gt;0,SUMIFS(Recepciones!$C$5:$C$2000,Recepciones!$B$5:$B$2000,Config!$A$24,Recepciones!$A$5:$A$2000,"&gt;"&amp;$A227,Recepciones!$A$5:$A$2000,"&lt;="&amp;$A228),MAX(0,F228-F227)))</f>
        <v/>
      </c>
      <c r="H228" s="24" t="str">
        <f aca="false">IF($A228="","",MAX(0,F227+G228-F228))</f>
        <v/>
      </c>
      <c r="I228" s="24" t="str">
        <f aca="false">IF($A228="","",Stock_Diario!G228)</f>
        <v/>
      </c>
      <c r="J228" s="24" t="str">
        <f aca="false">IF($A228="","",IF(SUMIFS(Recepciones!$C$5:$C$2000,Recepciones!$B$5:$B$2000,Config!$A$25,Recepciones!$A$5:$A$2000,"&gt;"&amp;$A227,Recepciones!$A$5:$A$2000,"&lt;="&amp;$A228)&gt;0,SUMIFS(Recepciones!$C$5:$C$2000,Recepciones!$B$5:$B$2000,Config!$A$25,Recepciones!$A$5:$A$2000,"&gt;"&amp;$A227,Recepciones!$A$5:$A$2000,"&lt;="&amp;$A228),MAX(0,I228-I227)))</f>
        <v/>
      </c>
      <c r="K228" s="24" t="str">
        <f aca="false">IF($A228="","",MAX(0,I227+J228-I228))</f>
        <v/>
      </c>
      <c r="L228" s="24" t="str">
        <f aca="false">IF($A228="","",E228+H228+K228)</f>
        <v/>
      </c>
      <c r="M228" s="4" t="str">
        <f aca="false">IF($A228="","",IF(AND(D228+G228+J228&gt;0,SUMIFS(Recepciones!$C$5:$C$2000,Recepciones!$A$5:$A$2000,"&gt;"&amp;$A227,Recepciones!$A$5:$A$2000,"&lt;="&amp;$A228)=0),"Aumento de stock sin recepción registrada",IF(B228&gt;1,"Intervalo de "&amp;B228&amp;" días","")))</f>
        <v/>
      </c>
    </row>
    <row r="229" customFormat="false" ht="15" hidden="false" customHeight="false" outlineLevel="0" collapsed="false">
      <c r="A229" s="5" t="str">
        <f aca="false">IF(Stock_Diario!A229="","",Stock_Diario!A229)</f>
        <v/>
      </c>
      <c r="B229" s="4" t="str">
        <f aca="false">IF($A229="","",$A229-$A228)</f>
        <v/>
      </c>
      <c r="C229" s="24" t="str">
        <f aca="false">IF($A229="","",Stock_Diario!E229)</f>
        <v/>
      </c>
      <c r="D229" s="24" t="str">
        <f aca="false">IF($A229="","",IF(SUMIFS(Recepciones!$C$5:$C$2000,Recepciones!$B$5:$B$2000,Config!$A$23,Recepciones!$A$5:$A$2000,"&gt;"&amp;$A228,Recepciones!$A$5:$A$2000,"&lt;="&amp;$A229)&gt;0,SUMIFS(Recepciones!$C$5:$C$2000,Recepciones!$B$5:$B$2000,Config!$A$23,Recepciones!$A$5:$A$2000,"&gt;"&amp;$A228,Recepciones!$A$5:$A$2000,"&lt;="&amp;$A229),MAX(0,C229-C228)))</f>
        <v/>
      </c>
      <c r="E229" s="24" t="str">
        <f aca="false">IF($A229="","",MAX(0,C228+D229-C229))</f>
        <v/>
      </c>
      <c r="F229" s="24" t="str">
        <f aca="false">IF($A229="","",Stock_Diario!F229)</f>
        <v/>
      </c>
      <c r="G229" s="24" t="str">
        <f aca="false">IF($A229="","",IF(SUMIFS(Recepciones!$C$5:$C$2000,Recepciones!$B$5:$B$2000,Config!$A$24,Recepciones!$A$5:$A$2000,"&gt;"&amp;$A228,Recepciones!$A$5:$A$2000,"&lt;="&amp;$A229)&gt;0,SUMIFS(Recepciones!$C$5:$C$2000,Recepciones!$B$5:$B$2000,Config!$A$24,Recepciones!$A$5:$A$2000,"&gt;"&amp;$A228,Recepciones!$A$5:$A$2000,"&lt;="&amp;$A229),MAX(0,F229-F228)))</f>
        <v/>
      </c>
      <c r="H229" s="24" t="str">
        <f aca="false">IF($A229="","",MAX(0,F228+G229-F229))</f>
        <v/>
      </c>
      <c r="I229" s="24" t="str">
        <f aca="false">IF($A229="","",Stock_Diario!G229)</f>
        <v/>
      </c>
      <c r="J229" s="24" t="str">
        <f aca="false">IF($A229="","",IF(SUMIFS(Recepciones!$C$5:$C$2000,Recepciones!$B$5:$B$2000,Config!$A$25,Recepciones!$A$5:$A$2000,"&gt;"&amp;$A228,Recepciones!$A$5:$A$2000,"&lt;="&amp;$A229)&gt;0,SUMIFS(Recepciones!$C$5:$C$2000,Recepciones!$B$5:$B$2000,Config!$A$25,Recepciones!$A$5:$A$2000,"&gt;"&amp;$A228,Recepciones!$A$5:$A$2000,"&lt;="&amp;$A229),MAX(0,I229-I228)))</f>
        <v/>
      </c>
      <c r="K229" s="24" t="str">
        <f aca="false">IF($A229="","",MAX(0,I228+J229-I229))</f>
        <v/>
      </c>
      <c r="L229" s="24" t="str">
        <f aca="false">IF($A229="","",E229+H229+K229)</f>
        <v/>
      </c>
      <c r="M229" s="4" t="str">
        <f aca="false">IF($A229="","",IF(AND(D229+G229+J229&gt;0,SUMIFS(Recepciones!$C$5:$C$2000,Recepciones!$A$5:$A$2000,"&gt;"&amp;$A228,Recepciones!$A$5:$A$2000,"&lt;="&amp;$A229)=0),"Aumento de stock sin recepción registrada",IF(B229&gt;1,"Intervalo de "&amp;B229&amp;" días","")))</f>
        <v/>
      </c>
    </row>
    <row r="230" customFormat="false" ht="15" hidden="false" customHeight="false" outlineLevel="0" collapsed="false">
      <c r="A230" s="5" t="str">
        <f aca="false">IF(Stock_Diario!A230="","",Stock_Diario!A230)</f>
        <v/>
      </c>
      <c r="B230" s="4" t="str">
        <f aca="false">IF($A230="","",$A230-$A229)</f>
        <v/>
      </c>
      <c r="C230" s="24" t="str">
        <f aca="false">IF($A230="","",Stock_Diario!E230)</f>
        <v/>
      </c>
      <c r="D230" s="24" t="str">
        <f aca="false">IF($A230="","",IF(SUMIFS(Recepciones!$C$5:$C$2000,Recepciones!$B$5:$B$2000,Config!$A$23,Recepciones!$A$5:$A$2000,"&gt;"&amp;$A229,Recepciones!$A$5:$A$2000,"&lt;="&amp;$A230)&gt;0,SUMIFS(Recepciones!$C$5:$C$2000,Recepciones!$B$5:$B$2000,Config!$A$23,Recepciones!$A$5:$A$2000,"&gt;"&amp;$A229,Recepciones!$A$5:$A$2000,"&lt;="&amp;$A230),MAX(0,C230-C229)))</f>
        <v/>
      </c>
      <c r="E230" s="24" t="str">
        <f aca="false">IF($A230="","",MAX(0,C229+D230-C230))</f>
        <v/>
      </c>
      <c r="F230" s="24" t="str">
        <f aca="false">IF($A230="","",Stock_Diario!F230)</f>
        <v/>
      </c>
      <c r="G230" s="24" t="str">
        <f aca="false">IF($A230="","",IF(SUMIFS(Recepciones!$C$5:$C$2000,Recepciones!$B$5:$B$2000,Config!$A$24,Recepciones!$A$5:$A$2000,"&gt;"&amp;$A229,Recepciones!$A$5:$A$2000,"&lt;="&amp;$A230)&gt;0,SUMIFS(Recepciones!$C$5:$C$2000,Recepciones!$B$5:$B$2000,Config!$A$24,Recepciones!$A$5:$A$2000,"&gt;"&amp;$A229,Recepciones!$A$5:$A$2000,"&lt;="&amp;$A230),MAX(0,F230-F229)))</f>
        <v/>
      </c>
      <c r="H230" s="24" t="str">
        <f aca="false">IF($A230="","",MAX(0,F229+G230-F230))</f>
        <v/>
      </c>
      <c r="I230" s="24" t="str">
        <f aca="false">IF($A230="","",Stock_Diario!G230)</f>
        <v/>
      </c>
      <c r="J230" s="24" t="str">
        <f aca="false">IF($A230="","",IF(SUMIFS(Recepciones!$C$5:$C$2000,Recepciones!$B$5:$B$2000,Config!$A$25,Recepciones!$A$5:$A$2000,"&gt;"&amp;$A229,Recepciones!$A$5:$A$2000,"&lt;="&amp;$A230)&gt;0,SUMIFS(Recepciones!$C$5:$C$2000,Recepciones!$B$5:$B$2000,Config!$A$25,Recepciones!$A$5:$A$2000,"&gt;"&amp;$A229,Recepciones!$A$5:$A$2000,"&lt;="&amp;$A230),MAX(0,I230-I229)))</f>
        <v/>
      </c>
      <c r="K230" s="24" t="str">
        <f aca="false">IF($A230="","",MAX(0,I229+J230-I230))</f>
        <v/>
      </c>
      <c r="L230" s="24" t="str">
        <f aca="false">IF($A230="","",E230+H230+K230)</f>
        <v/>
      </c>
      <c r="M230" s="4" t="str">
        <f aca="false">IF($A230="","",IF(AND(D230+G230+J230&gt;0,SUMIFS(Recepciones!$C$5:$C$2000,Recepciones!$A$5:$A$2000,"&gt;"&amp;$A229,Recepciones!$A$5:$A$2000,"&lt;="&amp;$A230)=0),"Aumento de stock sin recepción registrada",IF(B230&gt;1,"Intervalo de "&amp;B230&amp;" días","")))</f>
        <v/>
      </c>
    </row>
    <row r="231" customFormat="false" ht="15" hidden="false" customHeight="false" outlineLevel="0" collapsed="false">
      <c r="A231" s="5" t="str">
        <f aca="false">IF(Stock_Diario!A231="","",Stock_Diario!A231)</f>
        <v/>
      </c>
      <c r="B231" s="4" t="str">
        <f aca="false">IF($A231="","",$A231-$A230)</f>
        <v/>
      </c>
      <c r="C231" s="24" t="str">
        <f aca="false">IF($A231="","",Stock_Diario!E231)</f>
        <v/>
      </c>
      <c r="D231" s="24" t="str">
        <f aca="false">IF($A231="","",IF(SUMIFS(Recepciones!$C$5:$C$2000,Recepciones!$B$5:$B$2000,Config!$A$23,Recepciones!$A$5:$A$2000,"&gt;"&amp;$A230,Recepciones!$A$5:$A$2000,"&lt;="&amp;$A231)&gt;0,SUMIFS(Recepciones!$C$5:$C$2000,Recepciones!$B$5:$B$2000,Config!$A$23,Recepciones!$A$5:$A$2000,"&gt;"&amp;$A230,Recepciones!$A$5:$A$2000,"&lt;="&amp;$A231),MAX(0,C231-C230)))</f>
        <v/>
      </c>
      <c r="E231" s="24" t="str">
        <f aca="false">IF($A231="","",MAX(0,C230+D231-C231))</f>
        <v/>
      </c>
      <c r="F231" s="24" t="str">
        <f aca="false">IF($A231="","",Stock_Diario!F231)</f>
        <v/>
      </c>
      <c r="G231" s="24" t="str">
        <f aca="false">IF($A231="","",IF(SUMIFS(Recepciones!$C$5:$C$2000,Recepciones!$B$5:$B$2000,Config!$A$24,Recepciones!$A$5:$A$2000,"&gt;"&amp;$A230,Recepciones!$A$5:$A$2000,"&lt;="&amp;$A231)&gt;0,SUMIFS(Recepciones!$C$5:$C$2000,Recepciones!$B$5:$B$2000,Config!$A$24,Recepciones!$A$5:$A$2000,"&gt;"&amp;$A230,Recepciones!$A$5:$A$2000,"&lt;="&amp;$A231),MAX(0,F231-F230)))</f>
        <v/>
      </c>
      <c r="H231" s="24" t="str">
        <f aca="false">IF($A231="","",MAX(0,F230+G231-F231))</f>
        <v/>
      </c>
      <c r="I231" s="24" t="str">
        <f aca="false">IF($A231="","",Stock_Diario!G231)</f>
        <v/>
      </c>
      <c r="J231" s="24" t="str">
        <f aca="false">IF($A231="","",IF(SUMIFS(Recepciones!$C$5:$C$2000,Recepciones!$B$5:$B$2000,Config!$A$25,Recepciones!$A$5:$A$2000,"&gt;"&amp;$A230,Recepciones!$A$5:$A$2000,"&lt;="&amp;$A231)&gt;0,SUMIFS(Recepciones!$C$5:$C$2000,Recepciones!$B$5:$B$2000,Config!$A$25,Recepciones!$A$5:$A$2000,"&gt;"&amp;$A230,Recepciones!$A$5:$A$2000,"&lt;="&amp;$A231),MAX(0,I231-I230)))</f>
        <v/>
      </c>
      <c r="K231" s="24" t="str">
        <f aca="false">IF($A231="","",MAX(0,I230+J231-I231))</f>
        <v/>
      </c>
      <c r="L231" s="24" t="str">
        <f aca="false">IF($A231="","",E231+H231+K231)</f>
        <v/>
      </c>
      <c r="M231" s="4" t="str">
        <f aca="false">IF($A231="","",IF(AND(D231+G231+J231&gt;0,SUMIFS(Recepciones!$C$5:$C$2000,Recepciones!$A$5:$A$2000,"&gt;"&amp;$A230,Recepciones!$A$5:$A$2000,"&lt;="&amp;$A231)=0),"Aumento de stock sin recepción registrada",IF(B231&gt;1,"Intervalo de "&amp;B231&amp;" días","")))</f>
        <v/>
      </c>
    </row>
    <row r="232" customFormat="false" ht="15" hidden="false" customHeight="false" outlineLevel="0" collapsed="false">
      <c r="A232" s="5" t="str">
        <f aca="false">IF(Stock_Diario!A232="","",Stock_Diario!A232)</f>
        <v/>
      </c>
      <c r="B232" s="4" t="str">
        <f aca="false">IF($A232="","",$A232-$A231)</f>
        <v/>
      </c>
      <c r="C232" s="24" t="str">
        <f aca="false">IF($A232="","",Stock_Diario!E232)</f>
        <v/>
      </c>
      <c r="D232" s="24" t="str">
        <f aca="false">IF($A232="","",IF(SUMIFS(Recepciones!$C$5:$C$2000,Recepciones!$B$5:$B$2000,Config!$A$23,Recepciones!$A$5:$A$2000,"&gt;"&amp;$A231,Recepciones!$A$5:$A$2000,"&lt;="&amp;$A232)&gt;0,SUMIFS(Recepciones!$C$5:$C$2000,Recepciones!$B$5:$B$2000,Config!$A$23,Recepciones!$A$5:$A$2000,"&gt;"&amp;$A231,Recepciones!$A$5:$A$2000,"&lt;="&amp;$A232),MAX(0,C232-C231)))</f>
        <v/>
      </c>
      <c r="E232" s="24" t="str">
        <f aca="false">IF($A232="","",MAX(0,C231+D232-C232))</f>
        <v/>
      </c>
      <c r="F232" s="24" t="str">
        <f aca="false">IF($A232="","",Stock_Diario!F232)</f>
        <v/>
      </c>
      <c r="G232" s="24" t="str">
        <f aca="false">IF($A232="","",IF(SUMIFS(Recepciones!$C$5:$C$2000,Recepciones!$B$5:$B$2000,Config!$A$24,Recepciones!$A$5:$A$2000,"&gt;"&amp;$A231,Recepciones!$A$5:$A$2000,"&lt;="&amp;$A232)&gt;0,SUMIFS(Recepciones!$C$5:$C$2000,Recepciones!$B$5:$B$2000,Config!$A$24,Recepciones!$A$5:$A$2000,"&gt;"&amp;$A231,Recepciones!$A$5:$A$2000,"&lt;="&amp;$A232),MAX(0,F232-F231)))</f>
        <v/>
      </c>
      <c r="H232" s="24" t="str">
        <f aca="false">IF($A232="","",MAX(0,F231+G232-F232))</f>
        <v/>
      </c>
      <c r="I232" s="24" t="str">
        <f aca="false">IF($A232="","",Stock_Diario!G232)</f>
        <v/>
      </c>
      <c r="J232" s="24" t="str">
        <f aca="false">IF($A232="","",IF(SUMIFS(Recepciones!$C$5:$C$2000,Recepciones!$B$5:$B$2000,Config!$A$25,Recepciones!$A$5:$A$2000,"&gt;"&amp;$A231,Recepciones!$A$5:$A$2000,"&lt;="&amp;$A232)&gt;0,SUMIFS(Recepciones!$C$5:$C$2000,Recepciones!$B$5:$B$2000,Config!$A$25,Recepciones!$A$5:$A$2000,"&gt;"&amp;$A231,Recepciones!$A$5:$A$2000,"&lt;="&amp;$A232),MAX(0,I232-I231)))</f>
        <v/>
      </c>
      <c r="K232" s="24" t="str">
        <f aca="false">IF($A232="","",MAX(0,I231+J232-I232))</f>
        <v/>
      </c>
      <c r="L232" s="24" t="str">
        <f aca="false">IF($A232="","",E232+H232+K232)</f>
        <v/>
      </c>
      <c r="M232" s="4" t="str">
        <f aca="false">IF($A232="","",IF(AND(D232+G232+J232&gt;0,SUMIFS(Recepciones!$C$5:$C$2000,Recepciones!$A$5:$A$2000,"&gt;"&amp;$A231,Recepciones!$A$5:$A$2000,"&lt;="&amp;$A232)=0),"Aumento de stock sin recepción registrada",IF(B232&gt;1,"Intervalo de "&amp;B232&amp;" días","")))</f>
        <v/>
      </c>
    </row>
    <row r="233" customFormat="false" ht="15" hidden="false" customHeight="false" outlineLevel="0" collapsed="false">
      <c r="A233" s="5" t="str">
        <f aca="false">IF(Stock_Diario!A233="","",Stock_Diario!A233)</f>
        <v/>
      </c>
      <c r="B233" s="4" t="str">
        <f aca="false">IF($A233="","",$A233-$A232)</f>
        <v/>
      </c>
      <c r="C233" s="24" t="str">
        <f aca="false">IF($A233="","",Stock_Diario!E233)</f>
        <v/>
      </c>
      <c r="D233" s="24" t="str">
        <f aca="false">IF($A233="","",IF(SUMIFS(Recepciones!$C$5:$C$2000,Recepciones!$B$5:$B$2000,Config!$A$23,Recepciones!$A$5:$A$2000,"&gt;"&amp;$A232,Recepciones!$A$5:$A$2000,"&lt;="&amp;$A233)&gt;0,SUMIFS(Recepciones!$C$5:$C$2000,Recepciones!$B$5:$B$2000,Config!$A$23,Recepciones!$A$5:$A$2000,"&gt;"&amp;$A232,Recepciones!$A$5:$A$2000,"&lt;="&amp;$A233),MAX(0,C233-C232)))</f>
        <v/>
      </c>
      <c r="E233" s="24" t="str">
        <f aca="false">IF($A233="","",MAX(0,C232+D233-C233))</f>
        <v/>
      </c>
      <c r="F233" s="24" t="str">
        <f aca="false">IF($A233="","",Stock_Diario!F233)</f>
        <v/>
      </c>
      <c r="G233" s="24" t="str">
        <f aca="false">IF($A233="","",IF(SUMIFS(Recepciones!$C$5:$C$2000,Recepciones!$B$5:$B$2000,Config!$A$24,Recepciones!$A$5:$A$2000,"&gt;"&amp;$A232,Recepciones!$A$5:$A$2000,"&lt;="&amp;$A233)&gt;0,SUMIFS(Recepciones!$C$5:$C$2000,Recepciones!$B$5:$B$2000,Config!$A$24,Recepciones!$A$5:$A$2000,"&gt;"&amp;$A232,Recepciones!$A$5:$A$2000,"&lt;="&amp;$A233),MAX(0,F233-F232)))</f>
        <v/>
      </c>
      <c r="H233" s="24" t="str">
        <f aca="false">IF($A233="","",MAX(0,F232+G233-F233))</f>
        <v/>
      </c>
      <c r="I233" s="24" t="str">
        <f aca="false">IF($A233="","",Stock_Diario!G233)</f>
        <v/>
      </c>
      <c r="J233" s="24" t="str">
        <f aca="false">IF($A233="","",IF(SUMIFS(Recepciones!$C$5:$C$2000,Recepciones!$B$5:$B$2000,Config!$A$25,Recepciones!$A$5:$A$2000,"&gt;"&amp;$A232,Recepciones!$A$5:$A$2000,"&lt;="&amp;$A233)&gt;0,SUMIFS(Recepciones!$C$5:$C$2000,Recepciones!$B$5:$B$2000,Config!$A$25,Recepciones!$A$5:$A$2000,"&gt;"&amp;$A232,Recepciones!$A$5:$A$2000,"&lt;="&amp;$A233),MAX(0,I233-I232)))</f>
        <v/>
      </c>
      <c r="K233" s="24" t="str">
        <f aca="false">IF($A233="","",MAX(0,I232+J233-I233))</f>
        <v/>
      </c>
      <c r="L233" s="24" t="str">
        <f aca="false">IF($A233="","",E233+H233+K233)</f>
        <v/>
      </c>
      <c r="M233" s="4" t="str">
        <f aca="false">IF($A233="","",IF(AND(D233+G233+J233&gt;0,SUMIFS(Recepciones!$C$5:$C$2000,Recepciones!$A$5:$A$2000,"&gt;"&amp;$A232,Recepciones!$A$5:$A$2000,"&lt;="&amp;$A233)=0),"Aumento de stock sin recepción registrada",IF(B233&gt;1,"Intervalo de "&amp;B233&amp;" días","")))</f>
        <v/>
      </c>
    </row>
    <row r="234" customFormat="false" ht="15" hidden="false" customHeight="false" outlineLevel="0" collapsed="false">
      <c r="A234" s="5" t="str">
        <f aca="false">IF(Stock_Diario!A234="","",Stock_Diario!A234)</f>
        <v/>
      </c>
      <c r="B234" s="4" t="str">
        <f aca="false">IF($A234="","",$A234-$A233)</f>
        <v/>
      </c>
      <c r="C234" s="24" t="str">
        <f aca="false">IF($A234="","",Stock_Diario!E234)</f>
        <v/>
      </c>
      <c r="D234" s="24" t="str">
        <f aca="false">IF($A234="","",IF(SUMIFS(Recepciones!$C$5:$C$2000,Recepciones!$B$5:$B$2000,Config!$A$23,Recepciones!$A$5:$A$2000,"&gt;"&amp;$A233,Recepciones!$A$5:$A$2000,"&lt;="&amp;$A234)&gt;0,SUMIFS(Recepciones!$C$5:$C$2000,Recepciones!$B$5:$B$2000,Config!$A$23,Recepciones!$A$5:$A$2000,"&gt;"&amp;$A233,Recepciones!$A$5:$A$2000,"&lt;="&amp;$A234),MAX(0,C234-C233)))</f>
        <v/>
      </c>
      <c r="E234" s="24" t="str">
        <f aca="false">IF($A234="","",MAX(0,C233+D234-C234))</f>
        <v/>
      </c>
      <c r="F234" s="24" t="str">
        <f aca="false">IF($A234="","",Stock_Diario!F234)</f>
        <v/>
      </c>
      <c r="G234" s="24" t="str">
        <f aca="false">IF($A234="","",IF(SUMIFS(Recepciones!$C$5:$C$2000,Recepciones!$B$5:$B$2000,Config!$A$24,Recepciones!$A$5:$A$2000,"&gt;"&amp;$A233,Recepciones!$A$5:$A$2000,"&lt;="&amp;$A234)&gt;0,SUMIFS(Recepciones!$C$5:$C$2000,Recepciones!$B$5:$B$2000,Config!$A$24,Recepciones!$A$5:$A$2000,"&gt;"&amp;$A233,Recepciones!$A$5:$A$2000,"&lt;="&amp;$A234),MAX(0,F234-F233)))</f>
        <v/>
      </c>
      <c r="H234" s="24" t="str">
        <f aca="false">IF($A234="","",MAX(0,F233+G234-F234))</f>
        <v/>
      </c>
      <c r="I234" s="24" t="str">
        <f aca="false">IF($A234="","",Stock_Diario!G234)</f>
        <v/>
      </c>
      <c r="J234" s="24" t="str">
        <f aca="false">IF($A234="","",IF(SUMIFS(Recepciones!$C$5:$C$2000,Recepciones!$B$5:$B$2000,Config!$A$25,Recepciones!$A$5:$A$2000,"&gt;"&amp;$A233,Recepciones!$A$5:$A$2000,"&lt;="&amp;$A234)&gt;0,SUMIFS(Recepciones!$C$5:$C$2000,Recepciones!$B$5:$B$2000,Config!$A$25,Recepciones!$A$5:$A$2000,"&gt;"&amp;$A233,Recepciones!$A$5:$A$2000,"&lt;="&amp;$A234),MAX(0,I234-I233)))</f>
        <v/>
      </c>
      <c r="K234" s="24" t="str">
        <f aca="false">IF($A234="","",MAX(0,I233+J234-I234))</f>
        <v/>
      </c>
      <c r="L234" s="24" t="str">
        <f aca="false">IF($A234="","",E234+H234+K234)</f>
        <v/>
      </c>
      <c r="M234" s="4" t="str">
        <f aca="false">IF($A234="","",IF(AND(D234+G234+J234&gt;0,SUMIFS(Recepciones!$C$5:$C$2000,Recepciones!$A$5:$A$2000,"&gt;"&amp;$A233,Recepciones!$A$5:$A$2000,"&lt;="&amp;$A234)=0),"Aumento de stock sin recepción registrada",IF(B234&gt;1,"Intervalo de "&amp;B234&amp;" días","")))</f>
        <v/>
      </c>
    </row>
    <row r="235" customFormat="false" ht="15" hidden="false" customHeight="false" outlineLevel="0" collapsed="false">
      <c r="A235" s="5" t="str">
        <f aca="false">IF(Stock_Diario!A235="","",Stock_Diario!A235)</f>
        <v/>
      </c>
      <c r="B235" s="4" t="str">
        <f aca="false">IF($A235="","",$A235-$A234)</f>
        <v/>
      </c>
      <c r="C235" s="24" t="str">
        <f aca="false">IF($A235="","",Stock_Diario!E235)</f>
        <v/>
      </c>
      <c r="D235" s="24" t="str">
        <f aca="false">IF($A235="","",IF(SUMIFS(Recepciones!$C$5:$C$2000,Recepciones!$B$5:$B$2000,Config!$A$23,Recepciones!$A$5:$A$2000,"&gt;"&amp;$A234,Recepciones!$A$5:$A$2000,"&lt;="&amp;$A235)&gt;0,SUMIFS(Recepciones!$C$5:$C$2000,Recepciones!$B$5:$B$2000,Config!$A$23,Recepciones!$A$5:$A$2000,"&gt;"&amp;$A234,Recepciones!$A$5:$A$2000,"&lt;="&amp;$A235),MAX(0,C235-C234)))</f>
        <v/>
      </c>
      <c r="E235" s="24" t="str">
        <f aca="false">IF($A235="","",MAX(0,C234+D235-C235))</f>
        <v/>
      </c>
      <c r="F235" s="24" t="str">
        <f aca="false">IF($A235="","",Stock_Diario!F235)</f>
        <v/>
      </c>
      <c r="G235" s="24" t="str">
        <f aca="false">IF($A235="","",IF(SUMIFS(Recepciones!$C$5:$C$2000,Recepciones!$B$5:$B$2000,Config!$A$24,Recepciones!$A$5:$A$2000,"&gt;"&amp;$A234,Recepciones!$A$5:$A$2000,"&lt;="&amp;$A235)&gt;0,SUMIFS(Recepciones!$C$5:$C$2000,Recepciones!$B$5:$B$2000,Config!$A$24,Recepciones!$A$5:$A$2000,"&gt;"&amp;$A234,Recepciones!$A$5:$A$2000,"&lt;="&amp;$A235),MAX(0,F235-F234)))</f>
        <v/>
      </c>
      <c r="H235" s="24" t="str">
        <f aca="false">IF($A235="","",MAX(0,F234+G235-F235))</f>
        <v/>
      </c>
      <c r="I235" s="24" t="str">
        <f aca="false">IF($A235="","",Stock_Diario!G235)</f>
        <v/>
      </c>
      <c r="J235" s="24" t="str">
        <f aca="false">IF($A235="","",IF(SUMIFS(Recepciones!$C$5:$C$2000,Recepciones!$B$5:$B$2000,Config!$A$25,Recepciones!$A$5:$A$2000,"&gt;"&amp;$A234,Recepciones!$A$5:$A$2000,"&lt;="&amp;$A235)&gt;0,SUMIFS(Recepciones!$C$5:$C$2000,Recepciones!$B$5:$B$2000,Config!$A$25,Recepciones!$A$5:$A$2000,"&gt;"&amp;$A234,Recepciones!$A$5:$A$2000,"&lt;="&amp;$A235),MAX(0,I235-I234)))</f>
        <v/>
      </c>
      <c r="K235" s="24" t="str">
        <f aca="false">IF($A235="","",MAX(0,I234+J235-I235))</f>
        <v/>
      </c>
      <c r="L235" s="24" t="str">
        <f aca="false">IF($A235="","",E235+H235+K235)</f>
        <v/>
      </c>
      <c r="M235" s="4" t="str">
        <f aca="false">IF($A235="","",IF(AND(D235+G235+J235&gt;0,SUMIFS(Recepciones!$C$5:$C$2000,Recepciones!$A$5:$A$2000,"&gt;"&amp;$A234,Recepciones!$A$5:$A$2000,"&lt;="&amp;$A235)=0),"Aumento de stock sin recepción registrada",IF(B235&gt;1,"Intervalo de "&amp;B235&amp;" días","")))</f>
        <v/>
      </c>
    </row>
    <row r="236" customFormat="false" ht="15" hidden="false" customHeight="false" outlineLevel="0" collapsed="false">
      <c r="A236" s="5" t="str">
        <f aca="false">IF(Stock_Diario!A236="","",Stock_Diario!A236)</f>
        <v/>
      </c>
      <c r="B236" s="4" t="str">
        <f aca="false">IF($A236="","",$A236-$A235)</f>
        <v/>
      </c>
      <c r="C236" s="24" t="str">
        <f aca="false">IF($A236="","",Stock_Diario!E236)</f>
        <v/>
      </c>
      <c r="D236" s="24" t="str">
        <f aca="false">IF($A236="","",IF(SUMIFS(Recepciones!$C$5:$C$2000,Recepciones!$B$5:$B$2000,Config!$A$23,Recepciones!$A$5:$A$2000,"&gt;"&amp;$A235,Recepciones!$A$5:$A$2000,"&lt;="&amp;$A236)&gt;0,SUMIFS(Recepciones!$C$5:$C$2000,Recepciones!$B$5:$B$2000,Config!$A$23,Recepciones!$A$5:$A$2000,"&gt;"&amp;$A235,Recepciones!$A$5:$A$2000,"&lt;="&amp;$A236),MAX(0,C236-C235)))</f>
        <v/>
      </c>
      <c r="E236" s="24" t="str">
        <f aca="false">IF($A236="","",MAX(0,C235+D236-C236))</f>
        <v/>
      </c>
      <c r="F236" s="24" t="str">
        <f aca="false">IF($A236="","",Stock_Diario!F236)</f>
        <v/>
      </c>
      <c r="G236" s="24" t="str">
        <f aca="false">IF($A236="","",IF(SUMIFS(Recepciones!$C$5:$C$2000,Recepciones!$B$5:$B$2000,Config!$A$24,Recepciones!$A$5:$A$2000,"&gt;"&amp;$A235,Recepciones!$A$5:$A$2000,"&lt;="&amp;$A236)&gt;0,SUMIFS(Recepciones!$C$5:$C$2000,Recepciones!$B$5:$B$2000,Config!$A$24,Recepciones!$A$5:$A$2000,"&gt;"&amp;$A235,Recepciones!$A$5:$A$2000,"&lt;="&amp;$A236),MAX(0,F236-F235)))</f>
        <v/>
      </c>
      <c r="H236" s="24" t="str">
        <f aca="false">IF($A236="","",MAX(0,F235+G236-F236))</f>
        <v/>
      </c>
      <c r="I236" s="24" t="str">
        <f aca="false">IF($A236="","",Stock_Diario!G236)</f>
        <v/>
      </c>
      <c r="J236" s="24" t="str">
        <f aca="false">IF($A236="","",IF(SUMIFS(Recepciones!$C$5:$C$2000,Recepciones!$B$5:$B$2000,Config!$A$25,Recepciones!$A$5:$A$2000,"&gt;"&amp;$A235,Recepciones!$A$5:$A$2000,"&lt;="&amp;$A236)&gt;0,SUMIFS(Recepciones!$C$5:$C$2000,Recepciones!$B$5:$B$2000,Config!$A$25,Recepciones!$A$5:$A$2000,"&gt;"&amp;$A235,Recepciones!$A$5:$A$2000,"&lt;="&amp;$A236),MAX(0,I236-I235)))</f>
        <v/>
      </c>
      <c r="K236" s="24" t="str">
        <f aca="false">IF($A236="","",MAX(0,I235+J236-I236))</f>
        <v/>
      </c>
      <c r="L236" s="24" t="str">
        <f aca="false">IF($A236="","",E236+H236+K236)</f>
        <v/>
      </c>
      <c r="M236" s="4" t="str">
        <f aca="false">IF($A236="","",IF(AND(D236+G236+J236&gt;0,SUMIFS(Recepciones!$C$5:$C$2000,Recepciones!$A$5:$A$2000,"&gt;"&amp;$A235,Recepciones!$A$5:$A$2000,"&lt;="&amp;$A236)=0),"Aumento de stock sin recepción registrada",IF(B236&gt;1,"Intervalo de "&amp;B236&amp;" días","")))</f>
        <v/>
      </c>
    </row>
    <row r="237" customFormat="false" ht="15" hidden="false" customHeight="false" outlineLevel="0" collapsed="false">
      <c r="A237" s="5" t="str">
        <f aca="false">IF(Stock_Diario!A237="","",Stock_Diario!A237)</f>
        <v/>
      </c>
      <c r="B237" s="4" t="str">
        <f aca="false">IF($A237="","",$A237-$A236)</f>
        <v/>
      </c>
      <c r="C237" s="24" t="str">
        <f aca="false">IF($A237="","",Stock_Diario!E237)</f>
        <v/>
      </c>
      <c r="D237" s="24" t="str">
        <f aca="false">IF($A237="","",IF(SUMIFS(Recepciones!$C$5:$C$2000,Recepciones!$B$5:$B$2000,Config!$A$23,Recepciones!$A$5:$A$2000,"&gt;"&amp;$A236,Recepciones!$A$5:$A$2000,"&lt;="&amp;$A237)&gt;0,SUMIFS(Recepciones!$C$5:$C$2000,Recepciones!$B$5:$B$2000,Config!$A$23,Recepciones!$A$5:$A$2000,"&gt;"&amp;$A236,Recepciones!$A$5:$A$2000,"&lt;="&amp;$A237),MAX(0,C237-C236)))</f>
        <v/>
      </c>
      <c r="E237" s="24" t="str">
        <f aca="false">IF($A237="","",MAX(0,C236+D237-C237))</f>
        <v/>
      </c>
      <c r="F237" s="24" t="str">
        <f aca="false">IF($A237="","",Stock_Diario!F237)</f>
        <v/>
      </c>
      <c r="G237" s="24" t="str">
        <f aca="false">IF($A237="","",IF(SUMIFS(Recepciones!$C$5:$C$2000,Recepciones!$B$5:$B$2000,Config!$A$24,Recepciones!$A$5:$A$2000,"&gt;"&amp;$A236,Recepciones!$A$5:$A$2000,"&lt;="&amp;$A237)&gt;0,SUMIFS(Recepciones!$C$5:$C$2000,Recepciones!$B$5:$B$2000,Config!$A$24,Recepciones!$A$5:$A$2000,"&gt;"&amp;$A236,Recepciones!$A$5:$A$2000,"&lt;="&amp;$A237),MAX(0,F237-F236)))</f>
        <v/>
      </c>
      <c r="H237" s="24" t="str">
        <f aca="false">IF($A237="","",MAX(0,F236+G237-F237))</f>
        <v/>
      </c>
      <c r="I237" s="24" t="str">
        <f aca="false">IF($A237="","",Stock_Diario!G237)</f>
        <v/>
      </c>
      <c r="J237" s="24" t="str">
        <f aca="false">IF($A237="","",IF(SUMIFS(Recepciones!$C$5:$C$2000,Recepciones!$B$5:$B$2000,Config!$A$25,Recepciones!$A$5:$A$2000,"&gt;"&amp;$A236,Recepciones!$A$5:$A$2000,"&lt;="&amp;$A237)&gt;0,SUMIFS(Recepciones!$C$5:$C$2000,Recepciones!$B$5:$B$2000,Config!$A$25,Recepciones!$A$5:$A$2000,"&gt;"&amp;$A236,Recepciones!$A$5:$A$2000,"&lt;="&amp;$A237),MAX(0,I237-I236)))</f>
        <v/>
      </c>
      <c r="K237" s="24" t="str">
        <f aca="false">IF($A237="","",MAX(0,I236+J237-I237))</f>
        <v/>
      </c>
      <c r="L237" s="24" t="str">
        <f aca="false">IF($A237="","",E237+H237+K237)</f>
        <v/>
      </c>
      <c r="M237" s="4" t="str">
        <f aca="false">IF($A237="","",IF(AND(D237+G237+J237&gt;0,SUMIFS(Recepciones!$C$5:$C$2000,Recepciones!$A$5:$A$2000,"&gt;"&amp;$A236,Recepciones!$A$5:$A$2000,"&lt;="&amp;$A237)=0),"Aumento de stock sin recepción registrada",IF(B237&gt;1,"Intervalo de "&amp;B237&amp;" días","")))</f>
        <v/>
      </c>
    </row>
    <row r="238" customFormat="false" ht="15" hidden="false" customHeight="false" outlineLevel="0" collapsed="false">
      <c r="A238" s="5" t="str">
        <f aca="false">IF(Stock_Diario!A238="","",Stock_Diario!A238)</f>
        <v/>
      </c>
      <c r="B238" s="4" t="str">
        <f aca="false">IF($A238="","",$A238-$A237)</f>
        <v/>
      </c>
      <c r="C238" s="24" t="str">
        <f aca="false">IF($A238="","",Stock_Diario!E238)</f>
        <v/>
      </c>
      <c r="D238" s="24" t="str">
        <f aca="false">IF($A238="","",IF(SUMIFS(Recepciones!$C$5:$C$2000,Recepciones!$B$5:$B$2000,Config!$A$23,Recepciones!$A$5:$A$2000,"&gt;"&amp;$A237,Recepciones!$A$5:$A$2000,"&lt;="&amp;$A238)&gt;0,SUMIFS(Recepciones!$C$5:$C$2000,Recepciones!$B$5:$B$2000,Config!$A$23,Recepciones!$A$5:$A$2000,"&gt;"&amp;$A237,Recepciones!$A$5:$A$2000,"&lt;="&amp;$A238),MAX(0,C238-C237)))</f>
        <v/>
      </c>
      <c r="E238" s="24" t="str">
        <f aca="false">IF($A238="","",MAX(0,C237+D238-C238))</f>
        <v/>
      </c>
      <c r="F238" s="24" t="str">
        <f aca="false">IF($A238="","",Stock_Diario!F238)</f>
        <v/>
      </c>
      <c r="G238" s="24" t="str">
        <f aca="false">IF($A238="","",IF(SUMIFS(Recepciones!$C$5:$C$2000,Recepciones!$B$5:$B$2000,Config!$A$24,Recepciones!$A$5:$A$2000,"&gt;"&amp;$A237,Recepciones!$A$5:$A$2000,"&lt;="&amp;$A238)&gt;0,SUMIFS(Recepciones!$C$5:$C$2000,Recepciones!$B$5:$B$2000,Config!$A$24,Recepciones!$A$5:$A$2000,"&gt;"&amp;$A237,Recepciones!$A$5:$A$2000,"&lt;="&amp;$A238),MAX(0,F238-F237)))</f>
        <v/>
      </c>
      <c r="H238" s="24" t="str">
        <f aca="false">IF($A238="","",MAX(0,F237+G238-F238))</f>
        <v/>
      </c>
      <c r="I238" s="24" t="str">
        <f aca="false">IF($A238="","",Stock_Diario!G238)</f>
        <v/>
      </c>
      <c r="J238" s="24" t="str">
        <f aca="false">IF($A238="","",IF(SUMIFS(Recepciones!$C$5:$C$2000,Recepciones!$B$5:$B$2000,Config!$A$25,Recepciones!$A$5:$A$2000,"&gt;"&amp;$A237,Recepciones!$A$5:$A$2000,"&lt;="&amp;$A238)&gt;0,SUMIFS(Recepciones!$C$5:$C$2000,Recepciones!$B$5:$B$2000,Config!$A$25,Recepciones!$A$5:$A$2000,"&gt;"&amp;$A237,Recepciones!$A$5:$A$2000,"&lt;="&amp;$A238),MAX(0,I238-I237)))</f>
        <v/>
      </c>
      <c r="K238" s="24" t="str">
        <f aca="false">IF($A238="","",MAX(0,I237+J238-I238))</f>
        <v/>
      </c>
      <c r="L238" s="24" t="str">
        <f aca="false">IF($A238="","",E238+H238+K238)</f>
        <v/>
      </c>
      <c r="M238" s="4" t="str">
        <f aca="false">IF($A238="","",IF(AND(D238+G238+J238&gt;0,SUMIFS(Recepciones!$C$5:$C$2000,Recepciones!$A$5:$A$2000,"&gt;"&amp;$A237,Recepciones!$A$5:$A$2000,"&lt;="&amp;$A238)=0),"Aumento de stock sin recepción registrada",IF(B238&gt;1,"Intervalo de "&amp;B238&amp;" días","")))</f>
        <v/>
      </c>
    </row>
    <row r="239" customFormat="false" ht="15" hidden="false" customHeight="false" outlineLevel="0" collapsed="false">
      <c r="A239" s="5" t="str">
        <f aca="false">IF(Stock_Diario!A239="","",Stock_Diario!A239)</f>
        <v/>
      </c>
      <c r="B239" s="4" t="str">
        <f aca="false">IF($A239="","",$A239-$A238)</f>
        <v/>
      </c>
      <c r="C239" s="24" t="str">
        <f aca="false">IF($A239="","",Stock_Diario!E239)</f>
        <v/>
      </c>
      <c r="D239" s="24" t="str">
        <f aca="false">IF($A239="","",IF(SUMIFS(Recepciones!$C$5:$C$2000,Recepciones!$B$5:$B$2000,Config!$A$23,Recepciones!$A$5:$A$2000,"&gt;"&amp;$A238,Recepciones!$A$5:$A$2000,"&lt;="&amp;$A239)&gt;0,SUMIFS(Recepciones!$C$5:$C$2000,Recepciones!$B$5:$B$2000,Config!$A$23,Recepciones!$A$5:$A$2000,"&gt;"&amp;$A238,Recepciones!$A$5:$A$2000,"&lt;="&amp;$A239),MAX(0,C239-C238)))</f>
        <v/>
      </c>
      <c r="E239" s="24" t="str">
        <f aca="false">IF($A239="","",MAX(0,C238+D239-C239))</f>
        <v/>
      </c>
      <c r="F239" s="24" t="str">
        <f aca="false">IF($A239="","",Stock_Diario!F239)</f>
        <v/>
      </c>
      <c r="G239" s="24" t="str">
        <f aca="false">IF($A239="","",IF(SUMIFS(Recepciones!$C$5:$C$2000,Recepciones!$B$5:$B$2000,Config!$A$24,Recepciones!$A$5:$A$2000,"&gt;"&amp;$A238,Recepciones!$A$5:$A$2000,"&lt;="&amp;$A239)&gt;0,SUMIFS(Recepciones!$C$5:$C$2000,Recepciones!$B$5:$B$2000,Config!$A$24,Recepciones!$A$5:$A$2000,"&gt;"&amp;$A238,Recepciones!$A$5:$A$2000,"&lt;="&amp;$A239),MAX(0,F239-F238)))</f>
        <v/>
      </c>
      <c r="H239" s="24" t="str">
        <f aca="false">IF($A239="","",MAX(0,F238+G239-F239))</f>
        <v/>
      </c>
      <c r="I239" s="24" t="str">
        <f aca="false">IF($A239="","",Stock_Diario!G239)</f>
        <v/>
      </c>
      <c r="J239" s="24" t="str">
        <f aca="false">IF($A239="","",IF(SUMIFS(Recepciones!$C$5:$C$2000,Recepciones!$B$5:$B$2000,Config!$A$25,Recepciones!$A$5:$A$2000,"&gt;"&amp;$A238,Recepciones!$A$5:$A$2000,"&lt;="&amp;$A239)&gt;0,SUMIFS(Recepciones!$C$5:$C$2000,Recepciones!$B$5:$B$2000,Config!$A$25,Recepciones!$A$5:$A$2000,"&gt;"&amp;$A238,Recepciones!$A$5:$A$2000,"&lt;="&amp;$A239),MAX(0,I239-I238)))</f>
        <v/>
      </c>
      <c r="K239" s="24" t="str">
        <f aca="false">IF($A239="","",MAX(0,I238+J239-I239))</f>
        <v/>
      </c>
      <c r="L239" s="24" t="str">
        <f aca="false">IF($A239="","",E239+H239+K239)</f>
        <v/>
      </c>
      <c r="M239" s="4" t="str">
        <f aca="false">IF($A239="","",IF(AND(D239+G239+J239&gt;0,SUMIFS(Recepciones!$C$5:$C$2000,Recepciones!$A$5:$A$2000,"&gt;"&amp;$A238,Recepciones!$A$5:$A$2000,"&lt;="&amp;$A239)=0),"Aumento de stock sin recepción registrada",IF(B239&gt;1,"Intervalo de "&amp;B239&amp;" días","")))</f>
        <v/>
      </c>
    </row>
    <row r="240" customFormat="false" ht="15" hidden="false" customHeight="false" outlineLevel="0" collapsed="false">
      <c r="A240" s="5" t="str">
        <f aca="false">IF(Stock_Diario!A240="","",Stock_Diario!A240)</f>
        <v/>
      </c>
      <c r="B240" s="4" t="str">
        <f aca="false">IF($A240="","",$A240-$A239)</f>
        <v/>
      </c>
      <c r="C240" s="24" t="str">
        <f aca="false">IF($A240="","",Stock_Diario!E240)</f>
        <v/>
      </c>
      <c r="D240" s="24" t="str">
        <f aca="false">IF($A240="","",IF(SUMIFS(Recepciones!$C$5:$C$2000,Recepciones!$B$5:$B$2000,Config!$A$23,Recepciones!$A$5:$A$2000,"&gt;"&amp;$A239,Recepciones!$A$5:$A$2000,"&lt;="&amp;$A240)&gt;0,SUMIFS(Recepciones!$C$5:$C$2000,Recepciones!$B$5:$B$2000,Config!$A$23,Recepciones!$A$5:$A$2000,"&gt;"&amp;$A239,Recepciones!$A$5:$A$2000,"&lt;="&amp;$A240),MAX(0,C240-C239)))</f>
        <v/>
      </c>
      <c r="E240" s="24" t="str">
        <f aca="false">IF($A240="","",MAX(0,C239+D240-C240))</f>
        <v/>
      </c>
      <c r="F240" s="24" t="str">
        <f aca="false">IF($A240="","",Stock_Diario!F240)</f>
        <v/>
      </c>
      <c r="G240" s="24" t="str">
        <f aca="false">IF($A240="","",IF(SUMIFS(Recepciones!$C$5:$C$2000,Recepciones!$B$5:$B$2000,Config!$A$24,Recepciones!$A$5:$A$2000,"&gt;"&amp;$A239,Recepciones!$A$5:$A$2000,"&lt;="&amp;$A240)&gt;0,SUMIFS(Recepciones!$C$5:$C$2000,Recepciones!$B$5:$B$2000,Config!$A$24,Recepciones!$A$5:$A$2000,"&gt;"&amp;$A239,Recepciones!$A$5:$A$2000,"&lt;="&amp;$A240),MAX(0,F240-F239)))</f>
        <v/>
      </c>
      <c r="H240" s="24" t="str">
        <f aca="false">IF($A240="","",MAX(0,F239+G240-F240))</f>
        <v/>
      </c>
      <c r="I240" s="24" t="str">
        <f aca="false">IF($A240="","",Stock_Diario!G240)</f>
        <v/>
      </c>
      <c r="J240" s="24" t="str">
        <f aca="false">IF($A240="","",IF(SUMIFS(Recepciones!$C$5:$C$2000,Recepciones!$B$5:$B$2000,Config!$A$25,Recepciones!$A$5:$A$2000,"&gt;"&amp;$A239,Recepciones!$A$5:$A$2000,"&lt;="&amp;$A240)&gt;0,SUMIFS(Recepciones!$C$5:$C$2000,Recepciones!$B$5:$B$2000,Config!$A$25,Recepciones!$A$5:$A$2000,"&gt;"&amp;$A239,Recepciones!$A$5:$A$2000,"&lt;="&amp;$A240),MAX(0,I240-I239)))</f>
        <v/>
      </c>
      <c r="K240" s="24" t="str">
        <f aca="false">IF($A240="","",MAX(0,I239+J240-I240))</f>
        <v/>
      </c>
      <c r="L240" s="24" t="str">
        <f aca="false">IF($A240="","",E240+H240+K240)</f>
        <v/>
      </c>
      <c r="M240" s="4" t="str">
        <f aca="false">IF($A240="","",IF(AND(D240+G240+J240&gt;0,SUMIFS(Recepciones!$C$5:$C$2000,Recepciones!$A$5:$A$2000,"&gt;"&amp;$A239,Recepciones!$A$5:$A$2000,"&lt;="&amp;$A240)=0),"Aumento de stock sin recepción registrada",IF(B240&gt;1,"Intervalo de "&amp;B240&amp;" días","")))</f>
        <v/>
      </c>
    </row>
    <row r="241" customFormat="false" ht="15" hidden="false" customHeight="false" outlineLevel="0" collapsed="false">
      <c r="A241" s="5" t="str">
        <f aca="false">IF(Stock_Diario!A241="","",Stock_Diario!A241)</f>
        <v/>
      </c>
      <c r="B241" s="4" t="str">
        <f aca="false">IF($A241="","",$A241-$A240)</f>
        <v/>
      </c>
      <c r="C241" s="24" t="str">
        <f aca="false">IF($A241="","",Stock_Diario!E241)</f>
        <v/>
      </c>
      <c r="D241" s="24" t="str">
        <f aca="false">IF($A241="","",IF(SUMIFS(Recepciones!$C$5:$C$2000,Recepciones!$B$5:$B$2000,Config!$A$23,Recepciones!$A$5:$A$2000,"&gt;"&amp;$A240,Recepciones!$A$5:$A$2000,"&lt;="&amp;$A241)&gt;0,SUMIFS(Recepciones!$C$5:$C$2000,Recepciones!$B$5:$B$2000,Config!$A$23,Recepciones!$A$5:$A$2000,"&gt;"&amp;$A240,Recepciones!$A$5:$A$2000,"&lt;="&amp;$A241),MAX(0,C241-C240)))</f>
        <v/>
      </c>
      <c r="E241" s="24" t="str">
        <f aca="false">IF($A241="","",MAX(0,C240+D241-C241))</f>
        <v/>
      </c>
      <c r="F241" s="24" t="str">
        <f aca="false">IF($A241="","",Stock_Diario!F241)</f>
        <v/>
      </c>
      <c r="G241" s="24" t="str">
        <f aca="false">IF($A241="","",IF(SUMIFS(Recepciones!$C$5:$C$2000,Recepciones!$B$5:$B$2000,Config!$A$24,Recepciones!$A$5:$A$2000,"&gt;"&amp;$A240,Recepciones!$A$5:$A$2000,"&lt;="&amp;$A241)&gt;0,SUMIFS(Recepciones!$C$5:$C$2000,Recepciones!$B$5:$B$2000,Config!$A$24,Recepciones!$A$5:$A$2000,"&gt;"&amp;$A240,Recepciones!$A$5:$A$2000,"&lt;="&amp;$A241),MAX(0,F241-F240)))</f>
        <v/>
      </c>
      <c r="H241" s="24" t="str">
        <f aca="false">IF($A241="","",MAX(0,F240+G241-F241))</f>
        <v/>
      </c>
      <c r="I241" s="24" t="str">
        <f aca="false">IF($A241="","",Stock_Diario!G241)</f>
        <v/>
      </c>
      <c r="J241" s="24" t="str">
        <f aca="false">IF($A241="","",IF(SUMIFS(Recepciones!$C$5:$C$2000,Recepciones!$B$5:$B$2000,Config!$A$25,Recepciones!$A$5:$A$2000,"&gt;"&amp;$A240,Recepciones!$A$5:$A$2000,"&lt;="&amp;$A241)&gt;0,SUMIFS(Recepciones!$C$5:$C$2000,Recepciones!$B$5:$B$2000,Config!$A$25,Recepciones!$A$5:$A$2000,"&gt;"&amp;$A240,Recepciones!$A$5:$A$2000,"&lt;="&amp;$A241),MAX(0,I241-I240)))</f>
        <v/>
      </c>
      <c r="K241" s="24" t="str">
        <f aca="false">IF($A241="","",MAX(0,I240+J241-I241))</f>
        <v/>
      </c>
      <c r="L241" s="24" t="str">
        <f aca="false">IF($A241="","",E241+H241+K241)</f>
        <v/>
      </c>
      <c r="M241" s="4" t="str">
        <f aca="false">IF($A241="","",IF(AND(D241+G241+J241&gt;0,SUMIFS(Recepciones!$C$5:$C$2000,Recepciones!$A$5:$A$2000,"&gt;"&amp;$A240,Recepciones!$A$5:$A$2000,"&lt;="&amp;$A241)=0),"Aumento de stock sin recepción registrada",IF(B241&gt;1,"Intervalo de "&amp;B241&amp;" días","")))</f>
        <v/>
      </c>
    </row>
    <row r="242" customFormat="false" ht="15" hidden="false" customHeight="false" outlineLevel="0" collapsed="false">
      <c r="A242" s="5" t="str">
        <f aca="false">IF(Stock_Diario!A242="","",Stock_Diario!A242)</f>
        <v/>
      </c>
      <c r="B242" s="4" t="str">
        <f aca="false">IF($A242="","",$A242-$A241)</f>
        <v/>
      </c>
      <c r="C242" s="24" t="str">
        <f aca="false">IF($A242="","",Stock_Diario!E242)</f>
        <v/>
      </c>
      <c r="D242" s="24" t="str">
        <f aca="false">IF($A242="","",IF(SUMIFS(Recepciones!$C$5:$C$2000,Recepciones!$B$5:$B$2000,Config!$A$23,Recepciones!$A$5:$A$2000,"&gt;"&amp;$A241,Recepciones!$A$5:$A$2000,"&lt;="&amp;$A242)&gt;0,SUMIFS(Recepciones!$C$5:$C$2000,Recepciones!$B$5:$B$2000,Config!$A$23,Recepciones!$A$5:$A$2000,"&gt;"&amp;$A241,Recepciones!$A$5:$A$2000,"&lt;="&amp;$A242),MAX(0,C242-C241)))</f>
        <v/>
      </c>
      <c r="E242" s="24" t="str">
        <f aca="false">IF($A242="","",MAX(0,C241+D242-C242))</f>
        <v/>
      </c>
      <c r="F242" s="24" t="str">
        <f aca="false">IF($A242="","",Stock_Diario!F242)</f>
        <v/>
      </c>
      <c r="G242" s="24" t="str">
        <f aca="false">IF($A242="","",IF(SUMIFS(Recepciones!$C$5:$C$2000,Recepciones!$B$5:$B$2000,Config!$A$24,Recepciones!$A$5:$A$2000,"&gt;"&amp;$A241,Recepciones!$A$5:$A$2000,"&lt;="&amp;$A242)&gt;0,SUMIFS(Recepciones!$C$5:$C$2000,Recepciones!$B$5:$B$2000,Config!$A$24,Recepciones!$A$5:$A$2000,"&gt;"&amp;$A241,Recepciones!$A$5:$A$2000,"&lt;="&amp;$A242),MAX(0,F242-F241)))</f>
        <v/>
      </c>
      <c r="H242" s="24" t="str">
        <f aca="false">IF($A242="","",MAX(0,F241+G242-F242))</f>
        <v/>
      </c>
      <c r="I242" s="24" t="str">
        <f aca="false">IF($A242="","",Stock_Diario!G242)</f>
        <v/>
      </c>
      <c r="J242" s="24" t="str">
        <f aca="false">IF($A242="","",IF(SUMIFS(Recepciones!$C$5:$C$2000,Recepciones!$B$5:$B$2000,Config!$A$25,Recepciones!$A$5:$A$2000,"&gt;"&amp;$A241,Recepciones!$A$5:$A$2000,"&lt;="&amp;$A242)&gt;0,SUMIFS(Recepciones!$C$5:$C$2000,Recepciones!$B$5:$B$2000,Config!$A$25,Recepciones!$A$5:$A$2000,"&gt;"&amp;$A241,Recepciones!$A$5:$A$2000,"&lt;="&amp;$A242),MAX(0,I242-I241)))</f>
        <v/>
      </c>
      <c r="K242" s="24" t="str">
        <f aca="false">IF($A242="","",MAX(0,I241+J242-I242))</f>
        <v/>
      </c>
      <c r="L242" s="24" t="str">
        <f aca="false">IF($A242="","",E242+H242+K242)</f>
        <v/>
      </c>
      <c r="M242" s="4" t="str">
        <f aca="false">IF($A242="","",IF(AND(D242+G242+J242&gt;0,SUMIFS(Recepciones!$C$5:$C$2000,Recepciones!$A$5:$A$2000,"&gt;"&amp;$A241,Recepciones!$A$5:$A$2000,"&lt;="&amp;$A242)=0),"Aumento de stock sin recepción registrada",IF(B242&gt;1,"Intervalo de "&amp;B242&amp;" días","")))</f>
        <v/>
      </c>
    </row>
    <row r="243" customFormat="false" ht="15" hidden="false" customHeight="false" outlineLevel="0" collapsed="false">
      <c r="A243" s="5" t="str">
        <f aca="false">IF(Stock_Diario!A243="","",Stock_Diario!A243)</f>
        <v/>
      </c>
      <c r="B243" s="4" t="str">
        <f aca="false">IF($A243="","",$A243-$A242)</f>
        <v/>
      </c>
      <c r="C243" s="24" t="str">
        <f aca="false">IF($A243="","",Stock_Diario!E243)</f>
        <v/>
      </c>
      <c r="D243" s="24" t="str">
        <f aca="false">IF($A243="","",IF(SUMIFS(Recepciones!$C$5:$C$2000,Recepciones!$B$5:$B$2000,Config!$A$23,Recepciones!$A$5:$A$2000,"&gt;"&amp;$A242,Recepciones!$A$5:$A$2000,"&lt;="&amp;$A243)&gt;0,SUMIFS(Recepciones!$C$5:$C$2000,Recepciones!$B$5:$B$2000,Config!$A$23,Recepciones!$A$5:$A$2000,"&gt;"&amp;$A242,Recepciones!$A$5:$A$2000,"&lt;="&amp;$A243),MAX(0,C243-C242)))</f>
        <v/>
      </c>
      <c r="E243" s="24" t="str">
        <f aca="false">IF($A243="","",MAX(0,C242+D243-C243))</f>
        <v/>
      </c>
      <c r="F243" s="24" t="str">
        <f aca="false">IF($A243="","",Stock_Diario!F243)</f>
        <v/>
      </c>
      <c r="G243" s="24" t="str">
        <f aca="false">IF($A243="","",IF(SUMIFS(Recepciones!$C$5:$C$2000,Recepciones!$B$5:$B$2000,Config!$A$24,Recepciones!$A$5:$A$2000,"&gt;"&amp;$A242,Recepciones!$A$5:$A$2000,"&lt;="&amp;$A243)&gt;0,SUMIFS(Recepciones!$C$5:$C$2000,Recepciones!$B$5:$B$2000,Config!$A$24,Recepciones!$A$5:$A$2000,"&gt;"&amp;$A242,Recepciones!$A$5:$A$2000,"&lt;="&amp;$A243),MAX(0,F243-F242)))</f>
        <v/>
      </c>
      <c r="H243" s="24" t="str">
        <f aca="false">IF($A243="","",MAX(0,F242+G243-F243))</f>
        <v/>
      </c>
      <c r="I243" s="24" t="str">
        <f aca="false">IF($A243="","",Stock_Diario!G243)</f>
        <v/>
      </c>
      <c r="J243" s="24" t="str">
        <f aca="false">IF($A243="","",IF(SUMIFS(Recepciones!$C$5:$C$2000,Recepciones!$B$5:$B$2000,Config!$A$25,Recepciones!$A$5:$A$2000,"&gt;"&amp;$A242,Recepciones!$A$5:$A$2000,"&lt;="&amp;$A243)&gt;0,SUMIFS(Recepciones!$C$5:$C$2000,Recepciones!$B$5:$B$2000,Config!$A$25,Recepciones!$A$5:$A$2000,"&gt;"&amp;$A242,Recepciones!$A$5:$A$2000,"&lt;="&amp;$A243),MAX(0,I243-I242)))</f>
        <v/>
      </c>
      <c r="K243" s="24" t="str">
        <f aca="false">IF($A243="","",MAX(0,I242+J243-I243))</f>
        <v/>
      </c>
      <c r="L243" s="24" t="str">
        <f aca="false">IF($A243="","",E243+H243+K243)</f>
        <v/>
      </c>
      <c r="M243" s="4" t="str">
        <f aca="false">IF($A243="","",IF(AND(D243+G243+J243&gt;0,SUMIFS(Recepciones!$C$5:$C$2000,Recepciones!$A$5:$A$2000,"&gt;"&amp;$A242,Recepciones!$A$5:$A$2000,"&lt;="&amp;$A243)=0),"Aumento de stock sin recepción registrada",IF(B243&gt;1,"Intervalo de "&amp;B243&amp;" días","")))</f>
        <v/>
      </c>
    </row>
    <row r="244" customFormat="false" ht="15" hidden="false" customHeight="false" outlineLevel="0" collapsed="false">
      <c r="A244" s="5" t="str">
        <f aca="false">IF(Stock_Diario!A244="","",Stock_Diario!A244)</f>
        <v/>
      </c>
      <c r="B244" s="4" t="str">
        <f aca="false">IF($A244="","",$A244-$A243)</f>
        <v/>
      </c>
      <c r="C244" s="24" t="str">
        <f aca="false">IF($A244="","",Stock_Diario!E244)</f>
        <v/>
      </c>
      <c r="D244" s="24" t="str">
        <f aca="false">IF($A244="","",IF(SUMIFS(Recepciones!$C$5:$C$2000,Recepciones!$B$5:$B$2000,Config!$A$23,Recepciones!$A$5:$A$2000,"&gt;"&amp;$A243,Recepciones!$A$5:$A$2000,"&lt;="&amp;$A244)&gt;0,SUMIFS(Recepciones!$C$5:$C$2000,Recepciones!$B$5:$B$2000,Config!$A$23,Recepciones!$A$5:$A$2000,"&gt;"&amp;$A243,Recepciones!$A$5:$A$2000,"&lt;="&amp;$A244),MAX(0,C244-C243)))</f>
        <v/>
      </c>
      <c r="E244" s="24" t="str">
        <f aca="false">IF($A244="","",MAX(0,C243+D244-C244))</f>
        <v/>
      </c>
      <c r="F244" s="24" t="str">
        <f aca="false">IF($A244="","",Stock_Diario!F244)</f>
        <v/>
      </c>
      <c r="G244" s="24" t="str">
        <f aca="false">IF($A244="","",IF(SUMIFS(Recepciones!$C$5:$C$2000,Recepciones!$B$5:$B$2000,Config!$A$24,Recepciones!$A$5:$A$2000,"&gt;"&amp;$A243,Recepciones!$A$5:$A$2000,"&lt;="&amp;$A244)&gt;0,SUMIFS(Recepciones!$C$5:$C$2000,Recepciones!$B$5:$B$2000,Config!$A$24,Recepciones!$A$5:$A$2000,"&gt;"&amp;$A243,Recepciones!$A$5:$A$2000,"&lt;="&amp;$A244),MAX(0,F244-F243)))</f>
        <v/>
      </c>
      <c r="H244" s="24" t="str">
        <f aca="false">IF($A244="","",MAX(0,F243+G244-F244))</f>
        <v/>
      </c>
      <c r="I244" s="24" t="str">
        <f aca="false">IF($A244="","",Stock_Diario!G244)</f>
        <v/>
      </c>
      <c r="J244" s="24" t="str">
        <f aca="false">IF($A244="","",IF(SUMIFS(Recepciones!$C$5:$C$2000,Recepciones!$B$5:$B$2000,Config!$A$25,Recepciones!$A$5:$A$2000,"&gt;"&amp;$A243,Recepciones!$A$5:$A$2000,"&lt;="&amp;$A244)&gt;0,SUMIFS(Recepciones!$C$5:$C$2000,Recepciones!$B$5:$B$2000,Config!$A$25,Recepciones!$A$5:$A$2000,"&gt;"&amp;$A243,Recepciones!$A$5:$A$2000,"&lt;="&amp;$A244),MAX(0,I244-I243)))</f>
        <v/>
      </c>
      <c r="K244" s="24" t="str">
        <f aca="false">IF($A244="","",MAX(0,I243+J244-I244))</f>
        <v/>
      </c>
      <c r="L244" s="24" t="str">
        <f aca="false">IF($A244="","",E244+H244+K244)</f>
        <v/>
      </c>
      <c r="M244" s="4" t="str">
        <f aca="false">IF($A244="","",IF(AND(D244+G244+J244&gt;0,SUMIFS(Recepciones!$C$5:$C$2000,Recepciones!$A$5:$A$2000,"&gt;"&amp;$A243,Recepciones!$A$5:$A$2000,"&lt;="&amp;$A244)=0),"Aumento de stock sin recepción registrada",IF(B244&gt;1,"Intervalo de "&amp;B244&amp;" días","")))</f>
        <v/>
      </c>
    </row>
    <row r="245" customFormat="false" ht="15" hidden="false" customHeight="false" outlineLevel="0" collapsed="false">
      <c r="A245" s="5" t="str">
        <f aca="false">IF(Stock_Diario!A245="","",Stock_Diario!A245)</f>
        <v/>
      </c>
      <c r="B245" s="4" t="str">
        <f aca="false">IF($A245="","",$A245-$A244)</f>
        <v/>
      </c>
      <c r="C245" s="24" t="str">
        <f aca="false">IF($A245="","",Stock_Diario!E245)</f>
        <v/>
      </c>
      <c r="D245" s="24" t="str">
        <f aca="false">IF($A245="","",IF(SUMIFS(Recepciones!$C$5:$C$2000,Recepciones!$B$5:$B$2000,Config!$A$23,Recepciones!$A$5:$A$2000,"&gt;"&amp;$A244,Recepciones!$A$5:$A$2000,"&lt;="&amp;$A245)&gt;0,SUMIFS(Recepciones!$C$5:$C$2000,Recepciones!$B$5:$B$2000,Config!$A$23,Recepciones!$A$5:$A$2000,"&gt;"&amp;$A244,Recepciones!$A$5:$A$2000,"&lt;="&amp;$A245),MAX(0,C245-C244)))</f>
        <v/>
      </c>
      <c r="E245" s="24" t="str">
        <f aca="false">IF($A245="","",MAX(0,C244+D245-C245))</f>
        <v/>
      </c>
      <c r="F245" s="24" t="str">
        <f aca="false">IF($A245="","",Stock_Diario!F245)</f>
        <v/>
      </c>
      <c r="G245" s="24" t="str">
        <f aca="false">IF($A245="","",IF(SUMIFS(Recepciones!$C$5:$C$2000,Recepciones!$B$5:$B$2000,Config!$A$24,Recepciones!$A$5:$A$2000,"&gt;"&amp;$A244,Recepciones!$A$5:$A$2000,"&lt;="&amp;$A245)&gt;0,SUMIFS(Recepciones!$C$5:$C$2000,Recepciones!$B$5:$B$2000,Config!$A$24,Recepciones!$A$5:$A$2000,"&gt;"&amp;$A244,Recepciones!$A$5:$A$2000,"&lt;="&amp;$A245),MAX(0,F245-F244)))</f>
        <v/>
      </c>
      <c r="H245" s="24" t="str">
        <f aca="false">IF($A245="","",MAX(0,F244+G245-F245))</f>
        <v/>
      </c>
      <c r="I245" s="24" t="str">
        <f aca="false">IF($A245="","",Stock_Diario!G245)</f>
        <v/>
      </c>
      <c r="J245" s="24" t="str">
        <f aca="false">IF($A245="","",IF(SUMIFS(Recepciones!$C$5:$C$2000,Recepciones!$B$5:$B$2000,Config!$A$25,Recepciones!$A$5:$A$2000,"&gt;"&amp;$A244,Recepciones!$A$5:$A$2000,"&lt;="&amp;$A245)&gt;0,SUMIFS(Recepciones!$C$5:$C$2000,Recepciones!$B$5:$B$2000,Config!$A$25,Recepciones!$A$5:$A$2000,"&gt;"&amp;$A244,Recepciones!$A$5:$A$2000,"&lt;="&amp;$A245),MAX(0,I245-I244)))</f>
        <v/>
      </c>
      <c r="K245" s="24" t="str">
        <f aca="false">IF($A245="","",MAX(0,I244+J245-I245))</f>
        <v/>
      </c>
      <c r="L245" s="24" t="str">
        <f aca="false">IF($A245="","",E245+H245+K245)</f>
        <v/>
      </c>
      <c r="M245" s="4" t="str">
        <f aca="false">IF($A245="","",IF(AND(D245+G245+J245&gt;0,SUMIFS(Recepciones!$C$5:$C$2000,Recepciones!$A$5:$A$2000,"&gt;"&amp;$A244,Recepciones!$A$5:$A$2000,"&lt;="&amp;$A245)=0),"Aumento de stock sin recepción registrada",IF(B245&gt;1,"Intervalo de "&amp;B245&amp;" días","")))</f>
        <v/>
      </c>
    </row>
    <row r="246" customFormat="false" ht="15" hidden="false" customHeight="false" outlineLevel="0" collapsed="false">
      <c r="A246" s="5" t="str">
        <f aca="false">IF(Stock_Diario!A246="","",Stock_Diario!A246)</f>
        <v/>
      </c>
      <c r="B246" s="4" t="str">
        <f aca="false">IF($A246="","",$A246-$A245)</f>
        <v/>
      </c>
      <c r="C246" s="24" t="str">
        <f aca="false">IF($A246="","",Stock_Diario!E246)</f>
        <v/>
      </c>
      <c r="D246" s="24" t="str">
        <f aca="false">IF($A246="","",IF(SUMIFS(Recepciones!$C$5:$C$2000,Recepciones!$B$5:$B$2000,Config!$A$23,Recepciones!$A$5:$A$2000,"&gt;"&amp;$A245,Recepciones!$A$5:$A$2000,"&lt;="&amp;$A246)&gt;0,SUMIFS(Recepciones!$C$5:$C$2000,Recepciones!$B$5:$B$2000,Config!$A$23,Recepciones!$A$5:$A$2000,"&gt;"&amp;$A245,Recepciones!$A$5:$A$2000,"&lt;="&amp;$A246),MAX(0,C246-C245)))</f>
        <v/>
      </c>
      <c r="E246" s="24" t="str">
        <f aca="false">IF($A246="","",MAX(0,C245+D246-C246))</f>
        <v/>
      </c>
      <c r="F246" s="24" t="str">
        <f aca="false">IF($A246="","",Stock_Diario!F246)</f>
        <v/>
      </c>
      <c r="G246" s="24" t="str">
        <f aca="false">IF($A246="","",IF(SUMIFS(Recepciones!$C$5:$C$2000,Recepciones!$B$5:$B$2000,Config!$A$24,Recepciones!$A$5:$A$2000,"&gt;"&amp;$A245,Recepciones!$A$5:$A$2000,"&lt;="&amp;$A246)&gt;0,SUMIFS(Recepciones!$C$5:$C$2000,Recepciones!$B$5:$B$2000,Config!$A$24,Recepciones!$A$5:$A$2000,"&gt;"&amp;$A245,Recepciones!$A$5:$A$2000,"&lt;="&amp;$A246),MAX(0,F246-F245)))</f>
        <v/>
      </c>
      <c r="H246" s="24" t="str">
        <f aca="false">IF($A246="","",MAX(0,F245+G246-F246))</f>
        <v/>
      </c>
      <c r="I246" s="24" t="str">
        <f aca="false">IF($A246="","",Stock_Diario!G246)</f>
        <v/>
      </c>
      <c r="J246" s="24" t="str">
        <f aca="false">IF($A246="","",IF(SUMIFS(Recepciones!$C$5:$C$2000,Recepciones!$B$5:$B$2000,Config!$A$25,Recepciones!$A$5:$A$2000,"&gt;"&amp;$A245,Recepciones!$A$5:$A$2000,"&lt;="&amp;$A246)&gt;0,SUMIFS(Recepciones!$C$5:$C$2000,Recepciones!$B$5:$B$2000,Config!$A$25,Recepciones!$A$5:$A$2000,"&gt;"&amp;$A245,Recepciones!$A$5:$A$2000,"&lt;="&amp;$A246),MAX(0,I246-I245)))</f>
        <v/>
      </c>
      <c r="K246" s="24" t="str">
        <f aca="false">IF($A246="","",MAX(0,I245+J246-I246))</f>
        <v/>
      </c>
      <c r="L246" s="24" t="str">
        <f aca="false">IF($A246="","",E246+H246+K246)</f>
        <v/>
      </c>
      <c r="M246" s="4" t="str">
        <f aca="false">IF($A246="","",IF(AND(D246+G246+J246&gt;0,SUMIFS(Recepciones!$C$5:$C$2000,Recepciones!$A$5:$A$2000,"&gt;"&amp;$A245,Recepciones!$A$5:$A$2000,"&lt;="&amp;$A246)=0),"Aumento de stock sin recepción registrada",IF(B246&gt;1,"Intervalo de "&amp;B246&amp;" días","")))</f>
        <v/>
      </c>
    </row>
    <row r="247" customFormat="false" ht="15" hidden="false" customHeight="false" outlineLevel="0" collapsed="false">
      <c r="A247" s="5" t="str">
        <f aca="false">IF(Stock_Diario!A247="","",Stock_Diario!A247)</f>
        <v/>
      </c>
      <c r="B247" s="4" t="str">
        <f aca="false">IF($A247="","",$A247-$A246)</f>
        <v/>
      </c>
      <c r="C247" s="24" t="str">
        <f aca="false">IF($A247="","",Stock_Diario!E247)</f>
        <v/>
      </c>
      <c r="D247" s="24" t="str">
        <f aca="false">IF($A247="","",IF(SUMIFS(Recepciones!$C$5:$C$2000,Recepciones!$B$5:$B$2000,Config!$A$23,Recepciones!$A$5:$A$2000,"&gt;"&amp;$A246,Recepciones!$A$5:$A$2000,"&lt;="&amp;$A247)&gt;0,SUMIFS(Recepciones!$C$5:$C$2000,Recepciones!$B$5:$B$2000,Config!$A$23,Recepciones!$A$5:$A$2000,"&gt;"&amp;$A246,Recepciones!$A$5:$A$2000,"&lt;="&amp;$A247),MAX(0,C247-C246)))</f>
        <v/>
      </c>
      <c r="E247" s="24" t="str">
        <f aca="false">IF($A247="","",MAX(0,C246+D247-C247))</f>
        <v/>
      </c>
      <c r="F247" s="24" t="str">
        <f aca="false">IF($A247="","",Stock_Diario!F247)</f>
        <v/>
      </c>
      <c r="G247" s="24" t="str">
        <f aca="false">IF($A247="","",IF(SUMIFS(Recepciones!$C$5:$C$2000,Recepciones!$B$5:$B$2000,Config!$A$24,Recepciones!$A$5:$A$2000,"&gt;"&amp;$A246,Recepciones!$A$5:$A$2000,"&lt;="&amp;$A247)&gt;0,SUMIFS(Recepciones!$C$5:$C$2000,Recepciones!$B$5:$B$2000,Config!$A$24,Recepciones!$A$5:$A$2000,"&gt;"&amp;$A246,Recepciones!$A$5:$A$2000,"&lt;="&amp;$A247),MAX(0,F247-F246)))</f>
        <v/>
      </c>
      <c r="H247" s="24" t="str">
        <f aca="false">IF($A247="","",MAX(0,F246+G247-F247))</f>
        <v/>
      </c>
      <c r="I247" s="24" t="str">
        <f aca="false">IF($A247="","",Stock_Diario!G247)</f>
        <v/>
      </c>
      <c r="J247" s="24" t="str">
        <f aca="false">IF($A247="","",IF(SUMIFS(Recepciones!$C$5:$C$2000,Recepciones!$B$5:$B$2000,Config!$A$25,Recepciones!$A$5:$A$2000,"&gt;"&amp;$A246,Recepciones!$A$5:$A$2000,"&lt;="&amp;$A247)&gt;0,SUMIFS(Recepciones!$C$5:$C$2000,Recepciones!$B$5:$B$2000,Config!$A$25,Recepciones!$A$5:$A$2000,"&gt;"&amp;$A246,Recepciones!$A$5:$A$2000,"&lt;="&amp;$A247),MAX(0,I247-I246)))</f>
        <v/>
      </c>
      <c r="K247" s="24" t="str">
        <f aca="false">IF($A247="","",MAX(0,I246+J247-I247))</f>
        <v/>
      </c>
      <c r="L247" s="24" t="str">
        <f aca="false">IF($A247="","",E247+H247+K247)</f>
        <v/>
      </c>
      <c r="M247" s="4" t="str">
        <f aca="false">IF($A247="","",IF(AND(D247+G247+J247&gt;0,SUMIFS(Recepciones!$C$5:$C$2000,Recepciones!$A$5:$A$2000,"&gt;"&amp;$A246,Recepciones!$A$5:$A$2000,"&lt;="&amp;$A247)=0),"Aumento de stock sin recepción registrada",IF(B247&gt;1,"Intervalo de "&amp;B247&amp;" días","")))</f>
        <v/>
      </c>
    </row>
    <row r="248" customFormat="false" ht="15" hidden="false" customHeight="false" outlineLevel="0" collapsed="false">
      <c r="A248" s="5" t="str">
        <f aca="false">IF(Stock_Diario!A248="","",Stock_Diario!A248)</f>
        <v/>
      </c>
      <c r="B248" s="4" t="str">
        <f aca="false">IF($A248="","",$A248-$A247)</f>
        <v/>
      </c>
      <c r="C248" s="24" t="str">
        <f aca="false">IF($A248="","",Stock_Diario!E248)</f>
        <v/>
      </c>
      <c r="D248" s="24" t="str">
        <f aca="false">IF($A248="","",IF(SUMIFS(Recepciones!$C$5:$C$2000,Recepciones!$B$5:$B$2000,Config!$A$23,Recepciones!$A$5:$A$2000,"&gt;"&amp;$A247,Recepciones!$A$5:$A$2000,"&lt;="&amp;$A248)&gt;0,SUMIFS(Recepciones!$C$5:$C$2000,Recepciones!$B$5:$B$2000,Config!$A$23,Recepciones!$A$5:$A$2000,"&gt;"&amp;$A247,Recepciones!$A$5:$A$2000,"&lt;="&amp;$A248),MAX(0,C248-C247)))</f>
        <v/>
      </c>
      <c r="E248" s="24" t="str">
        <f aca="false">IF($A248="","",MAX(0,C247+D248-C248))</f>
        <v/>
      </c>
      <c r="F248" s="24" t="str">
        <f aca="false">IF($A248="","",Stock_Diario!F248)</f>
        <v/>
      </c>
      <c r="G248" s="24" t="str">
        <f aca="false">IF($A248="","",IF(SUMIFS(Recepciones!$C$5:$C$2000,Recepciones!$B$5:$B$2000,Config!$A$24,Recepciones!$A$5:$A$2000,"&gt;"&amp;$A247,Recepciones!$A$5:$A$2000,"&lt;="&amp;$A248)&gt;0,SUMIFS(Recepciones!$C$5:$C$2000,Recepciones!$B$5:$B$2000,Config!$A$24,Recepciones!$A$5:$A$2000,"&gt;"&amp;$A247,Recepciones!$A$5:$A$2000,"&lt;="&amp;$A248),MAX(0,F248-F247)))</f>
        <v/>
      </c>
      <c r="H248" s="24" t="str">
        <f aca="false">IF($A248="","",MAX(0,F247+G248-F248))</f>
        <v/>
      </c>
      <c r="I248" s="24" t="str">
        <f aca="false">IF($A248="","",Stock_Diario!G248)</f>
        <v/>
      </c>
      <c r="J248" s="24" t="str">
        <f aca="false">IF($A248="","",IF(SUMIFS(Recepciones!$C$5:$C$2000,Recepciones!$B$5:$B$2000,Config!$A$25,Recepciones!$A$5:$A$2000,"&gt;"&amp;$A247,Recepciones!$A$5:$A$2000,"&lt;="&amp;$A248)&gt;0,SUMIFS(Recepciones!$C$5:$C$2000,Recepciones!$B$5:$B$2000,Config!$A$25,Recepciones!$A$5:$A$2000,"&gt;"&amp;$A247,Recepciones!$A$5:$A$2000,"&lt;="&amp;$A248),MAX(0,I248-I247)))</f>
        <v/>
      </c>
      <c r="K248" s="24" t="str">
        <f aca="false">IF($A248="","",MAX(0,I247+J248-I248))</f>
        <v/>
      </c>
      <c r="L248" s="24" t="str">
        <f aca="false">IF($A248="","",E248+H248+K248)</f>
        <v/>
      </c>
      <c r="M248" s="4" t="str">
        <f aca="false">IF($A248="","",IF(AND(D248+G248+J248&gt;0,SUMIFS(Recepciones!$C$5:$C$2000,Recepciones!$A$5:$A$2000,"&gt;"&amp;$A247,Recepciones!$A$5:$A$2000,"&lt;="&amp;$A248)=0),"Aumento de stock sin recepción registrada",IF(B248&gt;1,"Intervalo de "&amp;B248&amp;" días","")))</f>
        <v/>
      </c>
    </row>
    <row r="249" customFormat="false" ht="15" hidden="false" customHeight="false" outlineLevel="0" collapsed="false">
      <c r="A249" s="5" t="str">
        <f aca="false">IF(Stock_Diario!A249="","",Stock_Diario!A249)</f>
        <v/>
      </c>
      <c r="B249" s="4" t="str">
        <f aca="false">IF($A249="","",$A249-$A248)</f>
        <v/>
      </c>
      <c r="C249" s="24" t="str">
        <f aca="false">IF($A249="","",Stock_Diario!E249)</f>
        <v/>
      </c>
      <c r="D249" s="24" t="str">
        <f aca="false">IF($A249="","",IF(SUMIFS(Recepciones!$C$5:$C$2000,Recepciones!$B$5:$B$2000,Config!$A$23,Recepciones!$A$5:$A$2000,"&gt;"&amp;$A248,Recepciones!$A$5:$A$2000,"&lt;="&amp;$A249)&gt;0,SUMIFS(Recepciones!$C$5:$C$2000,Recepciones!$B$5:$B$2000,Config!$A$23,Recepciones!$A$5:$A$2000,"&gt;"&amp;$A248,Recepciones!$A$5:$A$2000,"&lt;="&amp;$A249),MAX(0,C249-C248)))</f>
        <v/>
      </c>
      <c r="E249" s="24" t="str">
        <f aca="false">IF($A249="","",MAX(0,C248+D249-C249))</f>
        <v/>
      </c>
      <c r="F249" s="24" t="str">
        <f aca="false">IF($A249="","",Stock_Diario!F249)</f>
        <v/>
      </c>
      <c r="G249" s="24" t="str">
        <f aca="false">IF($A249="","",IF(SUMIFS(Recepciones!$C$5:$C$2000,Recepciones!$B$5:$B$2000,Config!$A$24,Recepciones!$A$5:$A$2000,"&gt;"&amp;$A248,Recepciones!$A$5:$A$2000,"&lt;="&amp;$A249)&gt;0,SUMIFS(Recepciones!$C$5:$C$2000,Recepciones!$B$5:$B$2000,Config!$A$24,Recepciones!$A$5:$A$2000,"&gt;"&amp;$A248,Recepciones!$A$5:$A$2000,"&lt;="&amp;$A249),MAX(0,F249-F248)))</f>
        <v/>
      </c>
      <c r="H249" s="24" t="str">
        <f aca="false">IF($A249="","",MAX(0,F248+G249-F249))</f>
        <v/>
      </c>
      <c r="I249" s="24" t="str">
        <f aca="false">IF($A249="","",Stock_Diario!G249)</f>
        <v/>
      </c>
      <c r="J249" s="24" t="str">
        <f aca="false">IF($A249="","",IF(SUMIFS(Recepciones!$C$5:$C$2000,Recepciones!$B$5:$B$2000,Config!$A$25,Recepciones!$A$5:$A$2000,"&gt;"&amp;$A248,Recepciones!$A$5:$A$2000,"&lt;="&amp;$A249)&gt;0,SUMIFS(Recepciones!$C$5:$C$2000,Recepciones!$B$5:$B$2000,Config!$A$25,Recepciones!$A$5:$A$2000,"&gt;"&amp;$A248,Recepciones!$A$5:$A$2000,"&lt;="&amp;$A249),MAX(0,I249-I248)))</f>
        <v/>
      </c>
      <c r="K249" s="24" t="str">
        <f aca="false">IF($A249="","",MAX(0,I248+J249-I249))</f>
        <v/>
      </c>
      <c r="L249" s="24" t="str">
        <f aca="false">IF($A249="","",E249+H249+K249)</f>
        <v/>
      </c>
      <c r="M249" s="4" t="str">
        <f aca="false">IF($A249="","",IF(AND(D249+G249+J249&gt;0,SUMIFS(Recepciones!$C$5:$C$2000,Recepciones!$A$5:$A$2000,"&gt;"&amp;$A248,Recepciones!$A$5:$A$2000,"&lt;="&amp;$A249)=0),"Aumento de stock sin recepción registrada",IF(B249&gt;1,"Intervalo de "&amp;B249&amp;" días","")))</f>
        <v/>
      </c>
    </row>
    <row r="250" customFormat="false" ht="15" hidden="false" customHeight="false" outlineLevel="0" collapsed="false">
      <c r="A250" s="5" t="str">
        <f aca="false">IF(Stock_Diario!A250="","",Stock_Diario!A250)</f>
        <v/>
      </c>
      <c r="B250" s="4" t="str">
        <f aca="false">IF($A250="","",$A250-$A249)</f>
        <v/>
      </c>
      <c r="C250" s="24" t="str">
        <f aca="false">IF($A250="","",Stock_Diario!E250)</f>
        <v/>
      </c>
      <c r="D250" s="24" t="str">
        <f aca="false">IF($A250="","",IF(SUMIFS(Recepciones!$C$5:$C$2000,Recepciones!$B$5:$B$2000,Config!$A$23,Recepciones!$A$5:$A$2000,"&gt;"&amp;$A249,Recepciones!$A$5:$A$2000,"&lt;="&amp;$A250)&gt;0,SUMIFS(Recepciones!$C$5:$C$2000,Recepciones!$B$5:$B$2000,Config!$A$23,Recepciones!$A$5:$A$2000,"&gt;"&amp;$A249,Recepciones!$A$5:$A$2000,"&lt;="&amp;$A250),MAX(0,C250-C249)))</f>
        <v/>
      </c>
      <c r="E250" s="24" t="str">
        <f aca="false">IF($A250="","",MAX(0,C249+D250-C250))</f>
        <v/>
      </c>
      <c r="F250" s="24" t="str">
        <f aca="false">IF($A250="","",Stock_Diario!F250)</f>
        <v/>
      </c>
      <c r="G250" s="24" t="str">
        <f aca="false">IF($A250="","",IF(SUMIFS(Recepciones!$C$5:$C$2000,Recepciones!$B$5:$B$2000,Config!$A$24,Recepciones!$A$5:$A$2000,"&gt;"&amp;$A249,Recepciones!$A$5:$A$2000,"&lt;="&amp;$A250)&gt;0,SUMIFS(Recepciones!$C$5:$C$2000,Recepciones!$B$5:$B$2000,Config!$A$24,Recepciones!$A$5:$A$2000,"&gt;"&amp;$A249,Recepciones!$A$5:$A$2000,"&lt;="&amp;$A250),MAX(0,F250-F249)))</f>
        <v/>
      </c>
      <c r="H250" s="24" t="str">
        <f aca="false">IF($A250="","",MAX(0,F249+G250-F250))</f>
        <v/>
      </c>
      <c r="I250" s="24" t="str">
        <f aca="false">IF($A250="","",Stock_Diario!G250)</f>
        <v/>
      </c>
      <c r="J250" s="24" t="str">
        <f aca="false">IF($A250="","",IF(SUMIFS(Recepciones!$C$5:$C$2000,Recepciones!$B$5:$B$2000,Config!$A$25,Recepciones!$A$5:$A$2000,"&gt;"&amp;$A249,Recepciones!$A$5:$A$2000,"&lt;="&amp;$A250)&gt;0,SUMIFS(Recepciones!$C$5:$C$2000,Recepciones!$B$5:$B$2000,Config!$A$25,Recepciones!$A$5:$A$2000,"&gt;"&amp;$A249,Recepciones!$A$5:$A$2000,"&lt;="&amp;$A250),MAX(0,I250-I249)))</f>
        <v/>
      </c>
      <c r="K250" s="24" t="str">
        <f aca="false">IF($A250="","",MAX(0,I249+J250-I250))</f>
        <v/>
      </c>
      <c r="L250" s="24" t="str">
        <f aca="false">IF($A250="","",E250+H250+K250)</f>
        <v/>
      </c>
      <c r="M250" s="4" t="str">
        <f aca="false">IF($A250="","",IF(AND(D250+G250+J250&gt;0,SUMIFS(Recepciones!$C$5:$C$2000,Recepciones!$A$5:$A$2000,"&gt;"&amp;$A249,Recepciones!$A$5:$A$2000,"&lt;="&amp;$A250)=0),"Aumento de stock sin recepción registrada",IF(B250&gt;1,"Intervalo de "&amp;B250&amp;" días","")))</f>
        <v/>
      </c>
    </row>
    <row r="251" customFormat="false" ht="15" hidden="false" customHeight="false" outlineLevel="0" collapsed="false">
      <c r="A251" s="5" t="str">
        <f aca="false">IF(Stock_Diario!A251="","",Stock_Diario!A251)</f>
        <v/>
      </c>
      <c r="B251" s="4" t="str">
        <f aca="false">IF($A251="","",$A251-$A250)</f>
        <v/>
      </c>
      <c r="C251" s="24" t="str">
        <f aca="false">IF($A251="","",Stock_Diario!E251)</f>
        <v/>
      </c>
      <c r="D251" s="24" t="str">
        <f aca="false">IF($A251="","",IF(SUMIFS(Recepciones!$C$5:$C$2000,Recepciones!$B$5:$B$2000,Config!$A$23,Recepciones!$A$5:$A$2000,"&gt;"&amp;$A250,Recepciones!$A$5:$A$2000,"&lt;="&amp;$A251)&gt;0,SUMIFS(Recepciones!$C$5:$C$2000,Recepciones!$B$5:$B$2000,Config!$A$23,Recepciones!$A$5:$A$2000,"&gt;"&amp;$A250,Recepciones!$A$5:$A$2000,"&lt;="&amp;$A251),MAX(0,C251-C250)))</f>
        <v/>
      </c>
      <c r="E251" s="24" t="str">
        <f aca="false">IF($A251="","",MAX(0,C250+D251-C251))</f>
        <v/>
      </c>
      <c r="F251" s="24" t="str">
        <f aca="false">IF($A251="","",Stock_Diario!F251)</f>
        <v/>
      </c>
      <c r="G251" s="24" t="str">
        <f aca="false">IF($A251="","",IF(SUMIFS(Recepciones!$C$5:$C$2000,Recepciones!$B$5:$B$2000,Config!$A$24,Recepciones!$A$5:$A$2000,"&gt;"&amp;$A250,Recepciones!$A$5:$A$2000,"&lt;="&amp;$A251)&gt;0,SUMIFS(Recepciones!$C$5:$C$2000,Recepciones!$B$5:$B$2000,Config!$A$24,Recepciones!$A$5:$A$2000,"&gt;"&amp;$A250,Recepciones!$A$5:$A$2000,"&lt;="&amp;$A251),MAX(0,F251-F250)))</f>
        <v/>
      </c>
      <c r="H251" s="24" t="str">
        <f aca="false">IF($A251="","",MAX(0,F250+G251-F251))</f>
        <v/>
      </c>
      <c r="I251" s="24" t="str">
        <f aca="false">IF($A251="","",Stock_Diario!G251)</f>
        <v/>
      </c>
      <c r="J251" s="24" t="str">
        <f aca="false">IF($A251="","",IF(SUMIFS(Recepciones!$C$5:$C$2000,Recepciones!$B$5:$B$2000,Config!$A$25,Recepciones!$A$5:$A$2000,"&gt;"&amp;$A250,Recepciones!$A$5:$A$2000,"&lt;="&amp;$A251)&gt;0,SUMIFS(Recepciones!$C$5:$C$2000,Recepciones!$B$5:$B$2000,Config!$A$25,Recepciones!$A$5:$A$2000,"&gt;"&amp;$A250,Recepciones!$A$5:$A$2000,"&lt;="&amp;$A251),MAX(0,I251-I250)))</f>
        <v/>
      </c>
      <c r="K251" s="24" t="str">
        <f aca="false">IF($A251="","",MAX(0,I250+J251-I251))</f>
        <v/>
      </c>
      <c r="L251" s="24" t="str">
        <f aca="false">IF($A251="","",E251+H251+K251)</f>
        <v/>
      </c>
      <c r="M251" s="4" t="str">
        <f aca="false">IF($A251="","",IF(AND(D251+G251+J251&gt;0,SUMIFS(Recepciones!$C$5:$C$2000,Recepciones!$A$5:$A$2000,"&gt;"&amp;$A250,Recepciones!$A$5:$A$2000,"&lt;="&amp;$A251)=0),"Aumento de stock sin recepción registrada",IF(B251&gt;1,"Intervalo de "&amp;B251&amp;" días","")))</f>
        <v/>
      </c>
    </row>
    <row r="252" customFormat="false" ht="15" hidden="false" customHeight="false" outlineLevel="0" collapsed="false">
      <c r="A252" s="5" t="str">
        <f aca="false">IF(Stock_Diario!A252="","",Stock_Diario!A252)</f>
        <v/>
      </c>
      <c r="B252" s="4" t="str">
        <f aca="false">IF($A252="","",$A252-$A251)</f>
        <v/>
      </c>
      <c r="C252" s="24" t="str">
        <f aca="false">IF($A252="","",Stock_Diario!E252)</f>
        <v/>
      </c>
      <c r="D252" s="24" t="str">
        <f aca="false">IF($A252="","",IF(SUMIFS(Recepciones!$C$5:$C$2000,Recepciones!$B$5:$B$2000,Config!$A$23,Recepciones!$A$5:$A$2000,"&gt;"&amp;$A251,Recepciones!$A$5:$A$2000,"&lt;="&amp;$A252)&gt;0,SUMIFS(Recepciones!$C$5:$C$2000,Recepciones!$B$5:$B$2000,Config!$A$23,Recepciones!$A$5:$A$2000,"&gt;"&amp;$A251,Recepciones!$A$5:$A$2000,"&lt;="&amp;$A252),MAX(0,C252-C251)))</f>
        <v/>
      </c>
      <c r="E252" s="24" t="str">
        <f aca="false">IF($A252="","",MAX(0,C251+D252-C252))</f>
        <v/>
      </c>
      <c r="F252" s="24" t="str">
        <f aca="false">IF($A252="","",Stock_Diario!F252)</f>
        <v/>
      </c>
      <c r="G252" s="24" t="str">
        <f aca="false">IF($A252="","",IF(SUMIFS(Recepciones!$C$5:$C$2000,Recepciones!$B$5:$B$2000,Config!$A$24,Recepciones!$A$5:$A$2000,"&gt;"&amp;$A251,Recepciones!$A$5:$A$2000,"&lt;="&amp;$A252)&gt;0,SUMIFS(Recepciones!$C$5:$C$2000,Recepciones!$B$5:$B$2000,Config!$A$24,Recepciones!$A$5:$A$2000,"&gt;"&amp;$A251,Recepciones!$A$5:$A$2000,"&lt;="&amp;$A252),MAX(0,F252-F251)))</f>
        <v/>
      </c>
      <c r="H252" s="24" t="str">
        <f aca="false">IF($A252="","",MAX(0,F251+G252-F252))</f>
        <v/>
      </c>
      <c r="I252" s="24" t="str">
        <f aca="false">IF($A252="","",Stock_Diario!G252)</f>
        <v/>
      </c>
      <c r="J252" s="24" t="str">
        <f aca="false">IF($A252="","",IF(SUMIFS(Recepciones!$C$5:$C$2000,Recepciones!$B$5:$B$2000,Config!$A$25,Recepciones!$A$5:$A$2000,"&gt;"&amp;$A251,Recepciones!$A$5:$A$2000,"&lt;="&amp;$A252)&gt;0,SUMIFS(Recepciones!$C$5:$C$2000,Recepciones!$B$5:$B$2000,Config!$A$25,Recepciones!$A$5:$A$2000,"&gt;"&amp;$A251,Recepciones!$A$5:$A$2000,"&lt;="&amp;$A252),MAX(0,I252-I251)))</f>
        <v/>
      </c>
      <c r="K252" s="24" t="str">
        <f aca="false">IF($A252="","",MAX(0,I251+J252-I252))</f>
        <v/>
      </c>
      <c r="L252" s="24" t="str">
        <f aca="false">IF($A252="","",E252+H252+K252)</f>
        <v/>
      </c>
      <c r="M252" s="4" t="str">
        <f aca="false">IF($A252="","",IF(AND(D252+G252+J252&gt;0,SUMIFS(Recepciones!$C$5:$C$2000,Recepciones!$A$5:$A$2000,"&gt;"&amp;$A251,Recepciones!$A$5:$A$2000,"&lt;="&amp;$A252)=0),"Aumento de stock sin recepción registrada",IF(B252&gt;1,"Intervalo de "&amp;B252&amp;" días","")))</f>
        <v/>
      </c>
    </row>
    <row r="253" customFormat="false" ht="15" hidden="false" customHeight="false" outlineLevel="0" collapsed="false">
      <c r="A253" s="5" t="str">
        <f aca="false">IF(Stock_Diario!A253="","",Stock_Diario!A253)</f>
        <v/>
      </c>
      <c r="B253" s="4" t="str">
        <f aca="false">IF($A253="","",$A253-$A252)</f>
        <v/>
      </c>
      <c r="C253" s="24" t="str">
        <f aca="false">IF($A253="","",Stock_Diario!E253)</f>
        <v/>
      </c>
      <c r="D253" s="24" t="str">
        <f aca="false">IF($A253="","",IF(SUMIFS(Recepciones!$C$5:$C$2000,Recepciones!$B$5:$B$2000,Config!$A$23,Recepciones!$A$5:$A$2000,"&gt;"&amp;$A252,Recepciones!$A$5:$A$2000,"&lt;="&amp;$A253)&gt;0,SUMIFS(Recepciones!$C$5:$C$2000,Recepciones!$B$5:$B$2000,Config!$A$23,Recepciones!$A$5:$A$2000,"&gt;"&amp;$A252,Recepciones!$A$5:$A$2000,"&lt;="&amp;$A253),MAX(0,C253-C252)))</f>
        <v/>
      </c>
      <c r="E253" s="24" t="str">
        <f aca="false">IF($A253="","",MAX(0,C252+D253-C253))</f>
        <v/>
      </c>
      <c r="F253" s="24" t="str">
        <f aca="false">IF($A253="","",Stock_Diario!F253)</f>
        <v/>
      </c>
      <c r="G253" s="24" t="str">
        <f aca="false">IF($A253="","",IF(SUMIFS(Recepciones!$C$5:$C$2000,Recepciones!$B$5:$B$2000,Config!$A$24,Recepciones!$A$5:$A$2000,"&gt;"&amp;$A252,Recepciones!$A$5:$A$2000,"&lt;="&amp;$A253)&gt;0,SUMIFS(Recepciones!$C$5:$C$2000,Recepciones!$B$5:$B$2000,Config!$A$24,Recepciones!$A$5:$A$2000,"&gt;"&amp;$A252,Recepciones!$A$5:$A$2000,"&lt;="&amp;$A253),MAX(0,F253-F252)))</f>
        <v/>
      </c>
      <c r="H253" s="24" t="str">
        <f aca="false">IF($A253="","",MAX(0,F252+G253-F253))</f>
        <v/>
      </c>
      <c r="I253" s="24" t="str">
        <f aca="false">IF($A253="","",Stock_Diario!G253)</f>
        <v/>
      </c>
      <c r="J253" s="24" t="str">
        <f aca="false">IF($A253="","",IF(SUMIFS(Recepciones!$C$5:$C$2000,Recepciones!$B$5:$B$2000,Config!$A$25,Recepciones!$A$5:$A$2000,"&gt;"&amp;$A252,Recepciones!$A$5:$A$2000,"&lt;="&amp;$A253)&gt;0,SUMIFS(Recepciones!$C$5:$C$2000,Recepciones!$B$5:$B$2000,Config!$A$25,Recepciones!$A$5:$A$2000,"&gt;"&amp;$A252,Recepciones!$A$5:$A$2000,"&lt;="&amp;$A253),MAX(0,I253-I252)))</f>
        <v/>
      </c>
      <c r="K253" s="24" t="str">
        <f aca="false">IF($A253="","",MAX(0,I252+J253-I253))</f>
        <v/>
      </c>
      <c r="L253" s="24" t="str">
        <f aca="false">IF($A253="","",E253+H253+K253)</f>
        <v/>
      </c>
      <c r="M253" s="4" t="str">
        <f aca="false">IF($A253="","",IF(AND(D253+G253+J253&gt;0,SUMIFS(Recepciones!$C$5:$C$2000,Recepciones!$A$5:$A$2000,"&gt;"&amp;$A252,Recepciones!$A$5:$A$2000,"&lt;="&amp;$A253)=0),"Aumento de stock sin recepción registrada",IF(B253&gt;1,"Intervalo de "&amp;B253&amp;" días","")))</f>
        <v/>
      </c>
    </row>
    <row r="254" customFormat="false" ht="15" hidden="false" customHeight="false" outlineLevel="0" collapsed="false">
      <c r="A254" s="5" t="str">
        <f aca="false">IF(Stock_Diario!A254="","",Stock_Diario!A254)</f>
        <v/>
      </c>
      <c r="B254" s="4" t="str">
        <f aca="false">IF($A254="","",$A254-$A253)</f>
        <v/>
      </c>
      <c r="C254" s="24" t="str">
        <f aca="false">IF($A254="","",Stock_Diario!E254)</f>
        <v/>
      </c>
      <c r="D254" s="24" t="str">
        <f aca="false">IF($A254="","",IF(SUMIFS(Recepciones!$C$5:$C$2000,Recepciones!$B$5:$B$2000,Config!$A$23,Recepciones!$A$5:$A$2000,"&gt;"&amp;$A253,Recepciones!$A$5:$A$2000,"&lt;="&amp;$A254)&gt;0,SUMIFS(Recepciones!$C$5:$C$2000,Recepciones!$B$5:$B$2000,Config!$A$23,Recepciones!$A$5:$A$2000,"&gt;"&amp;$A253,Recepciones!$A$5:$A$2000,"&lt;="&amp;$A254),MAX(0,C254-C253)))</f>
        <v/>
      </c>
      <c r="E254" s="24" t="str">
        <f aca="false">IF($A254="","",MAX(0,C253+D254-C254))</f>
        <v/>
      </c>
      <c r="F254" s="24" t="str">
        <f aca="false">IF($A254="","",Stock_Diario!F254)</f>
        <v/>
      </c>
      <c r="G254" s="24" t="str">
        <f aca="false">IF($A254="","",IF(SUMIFS(Recepciones!$C$5:$C$2000,Recepciones!$B$5:$B$2000,Config!$A$24,Recepciones!$A$5:$A$2000,"&gt;"&amp;$A253,Recepciones!$A$5:$A$2000,"&lt;="&amp;$A254)&gt;0,SUMIFS(Recepciones!$C$5:$C$2000,Recepciones!$B$5:$B$2000,Config!$A$24,Recepciones!$A$5:$A$2000,"&gt;"&amp;$A253,Recepciones!$A$5:$A$2000,"&lt;="&amp;$A254),MAX(0,F254-F253)))</f>
        <v/>
      </c>
      <c r="H254" s="24" t="str">
        <f aca="false">IF($A254="","",MAX(0,F253+G254-F254))</f>
        <v/>
      </c>
      <c r="I254" s="24" t="str">
        <f aca="false">IF($A254="","",Stock_Diario!G254)</f>
        <v/>
      </c>
      <c r="J254" s="24" t="str">
        <f aca="false">IF($A254="","",IF(SUMIFS(Recepciones!$C$5:$C$2000,Recepciones!$B$5:$B$2000,Config!$A$25,Recepciones!$A$5:$A$2000,"&gt;"&amp;$A253,Recepciones!$A$5:$A$2000,"&lt;="&amp;$A254)&gt;0,SUMIFS(Recepciones!$C$5:$C$2000,Recepciones!$B$5:$B$2000,Config!$A$25,Recepciones!$A$5:$A$2000,"&gt;"&amp;$A253,Recepciones!$A$5:$A$2000,"&lt;="&amp;$A254),MAX(0,I254-I253)))</f>
        <v/>
      </c>
      <c r="K254" s="24" t="str">
        <f aca="false">IF($A254="","",MAX(0,I253+J254-I254))</f>
        <v/>
      </c>
      <c r="L254" s="24" t="str">
        <f aca="false">IF($A254="","",E254+H254+K254)</f>
        <v/>
      </c>
      <c r="M254" s="4" t="str">
        <f aca="false">IF($A254="","",IF(AND(D254+G254+J254&gt;0,SUMIFS(Recepciones!$C$5:$C$2000,Recepciones!$A$5:$A$2000,"&gt;"&amp;$A253,Recepciones!$A$5:$A$2000,"&lt;="&amp;$A254)=0),"Aumento de stock sin recepción registrada",IF(B254&gt;1,"Intervalo de "&amp;B254&amp;" días","")))</f>
        <v/>
      </c>
    </row>
    <row r="255" customFormat="false" ht="15" hidden="false" customHeight="false" outlineLevel="0" collapsed="false">
      <c r="A255" s="5" t="str">
        <f aca="false">IF(Stock_Diario!A255="","",Stock_Diario!A255)</f>
        <v/>
      </c>
      <c r="B255" s="4" t="str">
        <f aca="false">IF($A255="","",$A255-$A254)</f>
        <v/>
      </c>
      <c r="C255" s="24" t="str">
        <f aca="false">IF($A255="","",Stock_Diario!E255)</f>
        <v/>
      </c>
      <c r="D255" s="24" t="str">
        <f aca="false">IF($A255="","",IF(SUMIFS(Recepciones!$C$5:$C$2000,Recepciones!$B$5:$B$2000,Config!$A$23,Recepciones!$A$5:$A$2000,"&gt;"&amp;$A254,Recepciones!$A$5:$A$2000,"&lt;="&amp;$A255)&gt;0,SUMIFS(Recepciones!$C$5:$C$2000,Recepciones!$B$5:$B$2000,Config!$A$23,Recepciones!$A$5:$A$2000,"&gt;"&amp;$A254,Recepciones!$A$5:$A$2000,"&lt;="&amp;$A255),MAX(0,C255-C254)))</f>
        <v/>
      </c>
      <c r="E255" s="24" t="str">
        <f aca="false">IF($A255="","",MAX(0,C254+D255-C255))</f>
        <v/>
      </c>
      <c r="F255" s="24" t="str">
        <f aca="false">IF($A255="","",Stock_Diario!F255)</f>
        <v/>
      </c>
      <c r="G255" s="24" t="str">
        <f aca="false">IF($A255="","",IF(SUMIFS(Recepciones!$C$5:$C$2000,Recepciones!$B$5:$B$2000,Config!$A$24,Recepciones!$A$5:$A$2000,"&gt;"&amp;$A254,Recepciones!$A$5:$A$2000,"&lt;="&amp;$A255)&gt;0,SUMIFS(Recepciones!$C$5:$C$2000,Recepciones!$B$5:$B$2000,Config!$A$24,Recepciones!$A$5:$A$2000,"&gt;"&amp;$A254,Recepciones!$A$5:$A$2000,"&lt;="&amp;$A255),MAX(0,F255-F254)))</f>
        <v/>
      </c>
      <c r="H255" s="24" t="str">
        <f aca="false">IF($A255="","",MAX(0,F254+G255-F255))</f>
        <v/>
      </c>
      <c r="I255" s="24" t="str">
        <f aca="false">IF($A255="","",Stock_Diario!G255)</f>
        <v/>
      </c>
      <c r="J255" s="24" t="str">
        <f aca="false">IF($A255="","",IF(SUMIFS(Recepciones!$C$5:$C$2000,Recepciones!$B$5:$B$2000,Config!$A$25,Recepciones!$A$5:$A$2000,"&gt;"&amp;$A254,Recepciones!$A$5:$A$2000,"&lt;="&amp;$A255)&gt;0,SUMIFS(Recepciones!$C$5:$C$2000,Recepciones!$B$5:$B$2000,Config!$A$25,Recepciones!$A$5:$A$2000,"&gt;"&amp;$A254,Recepciones!$A$5:$A$2000,"&lt;="&amp;$A255),MAX(0,I255-I254)))</f>
        <v/>
      </c>
      <c r="K255" s="24" t="str">
        <f aca="false">IF($A255="","",MAX(0,I254+J255-I255))</f>
        <v/>
      </c>
      <c r="L255" s="24" t="str">
        <f aca="false">IF($A255="","",E255+H255+K255)</f>
        <v/>
      </c>
      <c r="M255" s="4" t="str">
        <f aca="false">IF($A255="","",IF(AND(D255+G255+J255&gt;0,SUMIFS(Recepciones!$C$5:$C$2000,Recepciones!$A$5:$A$2000,"&gt;"&amp;$A254,Recepciones!$A$5:$A$2000,"&lt;="&amp;$A255)=0),"Aumento de stock sin recepción registrada",IF(B255&gt;1,"Intervalo de "&amp;B255&amp;" días","")))</f>
        <v/>
      </c>
    </row>
    <row r="256" customFormat="false" ht="15" hidden="false" customHeight="false" outlineLevel="0" collapsed="false">
      <c r="A256" s="5" t="str">
        <f aca="false">IF(Stock_Diario!A256="","",Stock_Diario!A256)</f>
        <v/>
      </c>
      <c r="B256" s="4" t="str">
        <f aca="false">IF($A256="","",$A256-$A255)</f>
        <v/>
      </c>
      <c r="C256" s="24" t="str">
        <f aca="false">IF($A256="","",Stock_Diario!E256)</f>
        <v/>
      </c>
      <c r="D256" s="24" t="str">
        <f aca="false">IF($A256="","",IF(SUMIFS(Recepciones!$C$5:$C$2000,Recepciones!$B$5:$B$2000,Config!$A$23,Recepciones!$A$5:$A$2000,"&gt;"&amp;$A255,Recepciones!$A$5:$A$2000,"&lt;="&amp;$A256)&gt;0,SUMIFS(Recepciones!$C$5:$C$2000,Recepciones!$B$5:$B$2000,Config!$A$23,Recepciones!$A$5:$A$2000,"&gt;"&amp;$A255,Recepciones!$A$5:$A$2000,"&lt;="&amp;$A256),MAX(0,C256-C255)))</f>
        <v/>
      </c>
      <c r="E256" s="24" t="str">
        <f aca="false">IF($A256="","",MAX(0,C255+D256-C256))</f>
        <v/>
      </c>
      <c r="F256" s="24" t="str">
        <f aca="false">IF($A256="","",Stock_Diario!F256)</f>
        <v/>
      </c>
      <c r="G256" s="24" t="str">
        <f aca="false">IF($A256="","",IF(SUMIFS(Recepciones!$C$5:$C$2000,Recepciones!$B$5:$B$2000,Config!$A$24,Recepciones!$A$5:$A$2000,"&gt;"&amp;$A255,Recepciones!$A$5:$A$2000,"&lt;="&amp;$A256)&gt;0,SUMIFS(Recepciones!$C$5:$C$2000,Recepciones!$B$5:$B$2000,Config!$A$24,Recepciones!$A$5:$A$2000,"&gt;"&amp;$A255,Recepciones!$A$5:$A$2000,"&lt;="&amp;$A256),MAX(0,F256-F255)))</f>
        <v/>
      </c>
      <c r="H256" s="24" t="str">
        <f aca="false">IF($A256="","",MAX(0,F255+G256-F256))</f>
        <v/>
      </c>
      <c r="I256" s="24" t="str">
        <f aca="false">IF($A256="","",Stock_Diario!G256)</f>
        <v/>
      </c>
      <c r="J256" s="24" t="str">
        <f aca="false">IF($A256="","",IF(SUMIFS(Recepciones!$C$5:$C$2000,Recepciones!$B$5:$B$2000,Config!$A$25,Recepciones!$A$5:$A$2000,"&gt;"&amp;$A255,Recepciones!$A$5:$A$2000,"&lt;="&amp;$A256)&gt;0,SUMIFS(Recepciones!$C$5:$C$2000,Recepciones!$B$5:$B$2000,Config!$A$25,Recepciones!$A$5:$A$2000,"&gt;"&amp;$A255,Recepciones!$A$5:$A$2000,"&lt;="&amp;$A256),MAX(0,I256-I255)))</f>
        <v/>
      </c>
      <c r="K256" s="24" t="str">
        <f aca="false">IF($A256="","",MAX(0,I255+J256-I256))</f>
        <v/>
      </c>
      <c r="L256" s="24" t="str">
        <f aca="false">IF($A256="","",E256+H256+K256)</f>
        <v/>
      </c>
      <c r="M256" s="4" t="str">
        <f aca="false">IF($A256="","",IF(AND(D256+G256+J256&gt;0,SUMIFS(Recepciones!$C$5:$C$2000,Recepciones!$A$5:$A$2000,"&gt;"&amp;$A255,Recepciones!$A$5:$A$2000,"&lt;="&amp;$A256)=0),"Aumento de stock sin recepción registrada",IF(B256&gt;1,"Intervalo de "&amp;B256&amp;" días","")))</f>
        <v/>
      </c>
    </row>
    <row r="257" customFormat="false" ht="15" hidden="false" customHeight="false" outlineLevel="0" collapsed="false">
      <c r="A257" s="5" t="str">
        <f aca="false">IF(Stock_Diario!A257="","",Stock_Diario!A257)</f>
        <v/>
      </c>
      <c r="B257" s="4" t="str">
        <f aca="false">IF($A257="","",$A257-$A256)</f>
        <v/>
      </c>
      <c r="C257" s="24" t="str">
        <f aca="false">IF($A257="","",Stock_Diario!E257)</f>
        <v/>
      </c>
      <c r="D257" s="24" t="str">
        <f aca="false">IF($A257="","",IF(SUMIFS(Recepciones!$C$5:$C$2000,Recepciones!$B$5:$B$2000,Config!$A$23,Recepciones!$A$5:$A$2000,"&gt;"&amp;$A256,Recepciones!$A$5:$A$2000,"&lt;="&amp;$A257)&gt;0,SUMIFS(Recepciones!$C$5:$C$2000,Recepciones!$B$5:$B$2000,Config!$A$23,Recepciones!$A$5:$A$2000,"&gt;"&amp;$A256,Recepciones!$A$5:$A$2000,"&lt;="&amp;$A257),MAX(0,C257-C256)))</f>
        <v/>
      </c>
      <c r="E257" s="24" t="str">
        <f aca="false">IF($A257="","",MAX(0,C256+D257-C257))</f>
        <v/>
      </c>
      <c r="F257" s="24" t="str">
        <f aca="false">IF($A257="","",Stock_Diario!F257)</f>
        <v/>
      </c>
      <c r="G257" s="24" t="str">
        <f aca="false">IF($A257="","",IF(SUMIFS(Recepciones!$C$5:$C$2000,Recepciones!$B$5:$B$2000,Config!$A$24,Recepciones!$A$5:$A$2000,"&gt;"&amp;$A256,Recepciones!$A$5:$A$2000,"&lt;="&amp;$A257)&gt;0,SUMIFS(Recepciones!$C$5:$C$2000,Recepciones!$B$5:$B$2000,Config!$A$24,Recepciones!$A$5:$A$2000,"&gt;"&amp;$A256,Recepciones!$A$5:$A$2000,"&lt;="&amp;$A257),MAX(0,F257-F256)))</f>
        <v/>
      </c>
      <c r="H257" s="24" t="str">
        <f aca="false">IF($A257="","",MAX(0,F256+G257-F257))</f>
        <v/>
      </c>
      <c r="I257" s="24" t="str">
        <f aca="false">IF($A257="","",Stock_Diario!G257)</f>
        <v/>
      </c>
      <c r="J257" s="24" t="str">
        <f aca="false">IF($A257="","",IF(SUMIFS(Recepciones!$C$5:$C$2000,Recepciones!$B$5:$B$2000,Config!$A$25,Recepciones!$A$5:$A$2000,"&gt;"&amp;$A256,Recepciones!$A$5:$A$2000,"&lt;="&amp;$A257)&gt;0,SUMIFS(Recepciones!$C$5:$C$2000,Recepciones!$B$5:$B$2000,Config!$A$25,Recepciones!$A$5:$A$2000,"&gt;"&amp;$A256,Recepciones!$A$5:$A$2000,"&lt;="&amp;$A257),MAX(0,I257-I256)))</f>
        <v/>
      </c>
      <c r="K257" s="24" t="str">
        <f aca="false">IF($A257="","",MAX(0,I256+J257-I257))</f>
        <v/>
      </c>
      <c r="L257" s="24" t="str">
        <f aca="false">IF($A257="","",E257+H257+K257)</f>
        <v/>
      </c>
      <c r="M257" s="4" t="str">
        <f aca="false">IF($A257="","",IF(AND(D257+G257+J257&gt;0,SUMIFS(Recepciones!$C$5:$C$2000,Recepciones!$A$5:$A$2000,"&gt;"&amp;$A256,Recepciones!$A$5:$A$2000,"&lt;="&amp;$A257)=0),"Aumento de stock sin recepción registrada",IF(B257&gt;1,"Intervalo de "&amp;B257&amp;" días","")))</f>
        <v/>
      </c>
    </row>
    <row r="258" customFormat="false" ht="15" hidden="false" customHeight="false" outlineLevel="0" collapsed="false">
      <c r="A258" s="5" t="str">
        <f aca="false">IF(Stock_Diario!A258="","",Stock_Diario!A258)</f>
        <v/>
      </c>
      <c r="B258" s="4" t="str">
        <f aca="false">IF($A258="","",$A258-$A257)</f>
        <v/>
      </c>
      <c r="C258" s="24" t="str">
        <f aca="false">IF($A258="","",Stock_Diario!E258)</f>
        <v/>
      </c>
      <c r="D258" s="24" t="str">
        <f aca="false">IF($A258="","",IF(SUMIFS(Recepciones!$C$5:$C$2000,Recepciones!$B$5:$B$2000,Config!$A$23,Recepciones!$A$5:$A$2000,"&gt;"&amp;$A257,Recepciones!$A$5:$A$2000,"&lt;="&amp;$A258)&gt;0,SUMIFS(Recepciones!$C$5:$C$2000,Recepciones!$B$5:$B$2000,Config!$A$23,Recepciones!$A$5:$A$2000,"&gt;"&amp;$A257,Recepciones!$A$5:$A$2000,"&lt;="&amp;$A258),MAX(0,C258-C257)))</f>
        <v/>
      </c>
      <c r="E258" s="24" t="str">
        <f aca="false">IF($A258="","",MAX(0,C257+D258-C258))</f>
        <v/>
      </c>
      <c r="F258" s="24" t="str">
        <f aca="false">IF($A258="","",Stock_Diario!F258)</f>
        <v/>
      </c>
      <c r="G258" s="24" t="str">
        <f aca="false">IF($A258="","",IF(SUMIFS(Recepciones!$C$5:$C$2000,Recepciones!$B$5:$B$2000,Config!$A$24,Recepciones!$A$5:$A$2000,"&gt;"&amp;$A257,Recepciones!$A$5:$A$2000,"&lt;="&amp;$A258)&gt;0,SUMIFS(Recepciones!$C$5:$C$2000,Recepciones!$B$5:$B$2000,Config!$A$24,Recepciones!$A$5:$A$2000,"&gt;"&amp;$A257,Recepciones!$A$5:$A$2000,"&lt;="&amp;$A258),MAX(0,F258-F257)))</f>
        <v/>
      </c>
      <c r="H258" s="24" t="str">
        <f aca="false">IF($A258="","",MAX(0,F257+G258-F258))</f>
        <v/>
      </c>
      <c r="I258" s="24" t="str">
        <f aca="false">IF($A258="","",Stock_Diario!G258)</f>
        <v/>
      </c>
      <c r="J258" s="24" t="str">
        <f aca="false">IF($A258="","",IF(SUMIFS(Recepciones!$C$5:$C$2000,Recepciones!$B$5:$B$2000,Config!$A$25,Recepciones!$A$5:$A$2000,"&gt;"&amp;$A257,Recepciones!$A$5:$A$2000,"&lt;="&amp;$A258)&gt;0,SUMIFS(Recepciones!$C$5:$C$2000,Recepciones!$B$5:$B$2000,Config!$A$25,Recepciones!$A$5:$A$2000,"&gt;"&amp;$A257,Recepciones!$A$5:$A$2000,"&lt;="&amp;$A258),MAX(0,I258-I257)))</f>
        <v/>
      </c>
      <c r="K258" s="24" t="str">
        <f aca="false">IF($A258="","",MAX(0,I257+J258-I258))</f>
        <v/>
      </c>
      <c r="L258" s="24" t="str">
        <f aca="false">IF($A258="","",E258+H258+K258)</f>
        <v/>
      </c>
      <c r="M258" s="4" t="str">
        <f aca="false">IF($A258="","",IF(AND(D258+G258+J258&gt;0,SUMIFS(Recepciones!$C$5:$C$2000,Recepciones!$A$5:$A$2000,"&gt;"&amp;$A257,Recepciones!$A$5:$A$2000,"&lt;="&amp;$A258)=0),"Aumento de stock sin recepción registrada",IF(B258&gt;1,"Intervalo de "&amp;B258&amp;" días","")))</f>
        <v/>
      </c>
    </row>
    <row r="259" customFormat="false" ht="15" hidden="false" customHeight="false" outlineLevel="0" collapsed="false">
      <c r="A259" s="5" t="str">
        <f aca="false">IF(Stock_Diario!A259="","",Stock_Diario!A259)</f>
        <v/>
      </c>
      <c r="B259" s="4" t="str">
        <f aca="false">IF($A259="","",$A259-$A258)</f>
        <v/>
      </c>
      <c r="C259" s="24" t="str">
        <f aca="false">IF($A259="","",Stock_Diario!E259)</f>
        <v/>
      </c>
      <c r="D259" s="24" t="str">
        <f aca="false">IF($A259="","",IF(SUMIFS(Recepciones!$C$5:$C$2000,Recepciones!$B$5:$B$2000,Config!$A$23,Recepciones!$A$5:$A$2000,"&gt;"&amp;$A258,Recepciones!$A$5:$A$2000,"&lt;="&amp;$A259)&gt;0,SUMIFS(Recepciones!$C$5:$C$2000,Recepciones!$B$5:$B$2000,Config!$A$23,Recepciones!$A$5:$A$2000,"&gt;"&amp;$A258,Recepciones!$A$5:$A$2000,"&lt;="&amp;$A259),MAX(0,C259-C258)))</f>
        <v/>
      </c>
      <c r="E259" s="24" t="str">
        <f aca="false">IF($A259="","",MAX(0,C258+D259-C259))</f>
        <v/>
      </c>
      <c r="F259" s="24" t="str">
        <f aca="false">IF($A259="","",Stock_Diario!F259)</f>
        <v/>
      </c>
      <c r="G259" s="24" t="str">
        <f aca="false">IF($A259="","",IF(SUMIFS(Recepciones!$C$5:$C$2000,Recepciones!$B$5:$B$2000,Config!$A$24,Recepciones!$A$5:$A$2000,"&gt;"&amp;$A258,Recepciones!$A$5:$A$2000,"&lt;="&amp;$A259)&gt;0,SUMIFS(Recepciones!$C$5:$C$2000,Recepciones!$B$5:$B$2000,Config!$A$24,Recepciones!$A$5:$A$2000,"&gt;"&amp;$A258,Recepciones!$A$5:$A$2000,"&lt;="&amp;$A259),MAX(0,F259-F258)))</f>
        <v/>
      </c>
      <c r="H259" s="24" t="str">
        <f aca="false">IF($A259="","",MAX(0,F258+G259-F259))</f>
        <v/>
      </c>
      <c r="I259" s="24" t="str">
        <f aca="false">IF($A259="","",Stock_Diario!G259)</f>
        <v/>
      </c>
      <c r="J259" s="24" t="str">
        <f aca="false">IF($A259="","",IF(SUMIFS(Recepciones!$C$5:$C$2000,Recepciones!$B$5:$B$2000,Config!$A$25,Recepciones!$A$5:$A$2000,"&gt;"&amp;$A258,Recepciones!$A$5:$A$2000,"&lt;="&amp;$A259)&gt;0,SUMIFS(Recepciones!$C$5:$C$2000,Recepciones!$B$5:$B$2000,Config!$A$25,Recepciones!$A$5:$A$2000,"&gt;"&amp;$A258,Recepciones!$A$5:$A$2000,"&lt;="&amp;$A259),MAX(0,I259-I258)))</f>
        <v/>
      </c>
      <c r="K259" s="24" t="str">
        <f aca="false">IF($A259="","",MAX(0,I258+J259-I259))</f>
        <v/>
      </c>
      <c r="L259" s="24" t="str">
        <f aca="false">IF($A259="","",E259+H259+K259)</f>
        <v/>
      </c>
      <c r="M259" s="4" t="str">
        <f aca="false">IF($A259="","",IF(AND(D259+G259+J259&gt;0,SUMIFS(Recepciones!$C$5:$C$2000,Recepciones!$A$5:$A$2000,"&gt;"&amp;$A258,Recepciones!$A$5:$A$2000,"&lt;="&amp;$A259)=0),"Aumento de stock sin recepción registrada",IF(B259&gt;1,"Intervalo de "&amp;B259&amp;" días","")))</f>
        <v/>
      </c>
    </row>
    <row r="260" customFormat="false" ht="15" hidden="false" customHeight="false" outlineLevel="0" collapsed="false">
      <c r="A260" s="5" t="str">
        <f aca="false">IF(Stock_Diario!A260="","",Stock_Diario!A260)</f>
        <v/>
      </c>
      <c r="B260" s="4" t="str">
        <f aca="false">IF($A260="","",$A260-$A259)</f>
        <v/>
      </c>
      <c r="C260" s="24" t="str">
        <f aca="false">IF($A260="","",Stock_Diario!E260)</f>
        <v/>
      </c>
      <c r="D260" s="24" t="str">
        <f aca="false">IF($A260="","",IF(SUMIFS(Recepciones!$C$5:$C$2000,Recepciones!$B$5:$B$2000,Config!$A$23,Recepciones!$A$5:$A$2000,"&gt;"&amp;$A259,Recepciones!$A$5:$A$2000,"&lt;="&amp;$A260)&gt;0,SUMIFS(Recepciones!$C$5:$C$2000,Recepciones!$B$5:$B$2000,Config!$A$23,Recepciones!$A$5:$A$2000,"&gt;"&amp;$A259,Recepciones!$A$5:$A$2000,"&lt;="&amp;$A260),MAX(0,C260-C259)))</f>
        <v/>
      </c>
      <c r="E260" s="24" t="str">
        <f aca="false">IF($A260="","",MAX(0,C259+D260-C260))</f>
        <v/>
      </c>
      <c r="F260" s="24" t="str">
        <f aca="false">IF($A260="","",Stock_Diario!F260)</f>
        <v/>
      </c>
      <c r="G260" s="24" t="str">
        <f aca="false">IF($A260="","",IF(SUMIFS(Recepciones!$C$5:$C$2000,Recepciones!$B$5:$B$2000,Config!$A$24,Recepciones!$A$5:$A$2000,"&gt;"&amp;$A259,Recepciones!$A$5:$A$2000,"&lt;="&amp;$A260)&gt;0,SUMIFS(Recepciones!$C$5:$C$2000,Recepciones!$B$5:$B$2000,Config!$A$24,Recepciones!$A$5:$A$2000,"&gt;"&amp;$A259,Recepciones!$A$5:$A$2000,"&lt;="&amp;$A260),MAX(0,F260-F259)))</f>
        <v/>
      </c>
      <c r="H260" s="24" t="str">
        <f aca="false">IF($A260="","",MAX(0,F259+G260-F260))</f>
        <v/>
      </c>
      <c r="I260" s="24" t="str">
        <f aca="false">IF($A260="","",Stock_Diario!G260)</f>
        <v/>
      </c>
      <c r="J260" s="24" t="str">
        <f aca="false">IF($A260="","",IF(SUMIFS(Recepciones!$C$5:$C$2000,Recepciones!$B$5:$B$2000,Config!$A$25,Recepciones!$A$5:$A$2000,"&gt;"&amp;$A259,Recepciones!$A$5:$A$2000,"&lt;="&amp;$A260)&gt;0,SUMIFS(Recepciones!$C$5:$C$2000,Recepciones!$B$5:$B$2000,Config!$A$25,Recepciones!$A$5:$A$2000,"&gt;"&amp;$A259,Recepciones!$A$5:$A$2000,"&lt;="&amp;$A260),MAX(0,I260-I259)))</f>
        <v/>
      </c>
      <c r="K260" s="24" t="str">
        <f aca="false">IF($A260="","",MAX(0,I259+J260-I260))</f>
        <v/>
      </c>
      <c r="L260" s="24" t="str">
        <f aca="false">IF($A260="","",E260+H260+K260)</f>
        <v/>
      </c>
      <c r="M260" s="4" t="str">
        <f aca="false">IF($A260="","",IF(AND(D260+G260+J260&gt;0,SUMIFS(Recepciones!$C$5:$C$2000,Recepciones!$A$5:$A$2000,"&gt;"&amp;$A259,Recepciones!$A$5:$A$2000,"&lt;="&amp;$A260)=0),"Aumento de stock sin recepción registrada",IF(B260&gt;1,"Intervalo de "&amp;B260&amp;" días","")))</f>
        <v/>
      </c>
    </row>
    <row r="261" customFormat="false" ht="15" hidden="false" customHeight="false" outlineLevel="0" collapsed="false">
      <c r="A261" s="5" t="str">
        <f aca="false">IF(Stock_Diario!A261="","",Stock_Diario!A261)</f>
        <v/>
      </c>
      <c r="B261" s="4" t="str">
        <f aca="false">IF($A261="","",$A261-$A260)</f>
        <v/>
      </c>
      <c r="C261" s="24" t="str">
        <f aca="false">IF($A261="","",Stock_Diario!E261)</f>
        <v/>
      </c>
      <c r="D261" s="24" t="str">
        <f aca="false">IF($A261="","",IF(SUMIFS(Recepciones!$C$5:$C$2000,Recepciones!$B$5:$B$2000,Config!$A$23,Recepciones!$A$5:$A$2000,"&gt;"&amp;$A260,Recepciones!$A$5:$A$2000,"&lt;="&amp;$A261)&gt;0,SUMIFS(Recepciones!$C$5:$C$2000,Recepciones!$B$5:$B$2000,Config!$A$23,Recepciones!$A$5:$A$2000,"&gt;"&amp;$A260,Recepciones!$A$5:$A$2000,"&lt;="&amp;$A261),MAX(0,C261-C260)))</f>
        <v/>
      </c>
      <c r="E261" s="24" t="str">
        <f aca="false">IF($A261="","",MAX(0,C260+D261-C261))</f>
        <v/>
      </c>
      <c r="F261" s="24" t="str">
        <f aca="false">IF($A261="","",Stock_Diario!F261)</f>
        <v/>
      </c>
      <c r="G261" s="24" t="str">
        <f aca="false">IF($A261="","",IF(SUMIFS(Recepciones!$C$5:$C$2000,Recepciones!$B$5:$B$2000,Config!$A$24,Recepciones!$A$5:$A$2000,"&gt;"&amp;$A260,Recepciones!$A$5:$A$2000,"&lt;="&amp;$A261)&gt;0,SUMIFS(Recepciones!$C$5:$C$2000,Recepciones!$B$5:$B$2000,Config!$A$24,Recepciones!$A$5:$A$2000,"&gt;"&amp;$A260,Recepciones!$A$5:$A$2000,"&lt;="&amp;$A261),MAX(0,F261-F260)))</f>
        <v/>
      </c>
      <c r="H261" s="24" t="str">
        <f aca="false">IF($A261="","",MAX(0,F260+G261-F261))</f>
        <v/>
      </c>
      <c r="I261" s="24" t="str">
        <f aca="false">IF($A261="","",Stock_Diario!G261)</f>
        <v/>
      </c>
      <c r="J261" s="24" t="str">
        <f aca="false">IF($A261="","",IF(SUMIFS(Recepciones!$C$5:$C$2000,Recepciones!$B$5:$B$2000,Config!$A$25,Recepciones!$A$5:$A$2000,"&gt;"&amp;$A260,Recepciones!$A$5:$A$2000,"&lt;="&amp;$A261)&gt;0,SUMIFS(Recepciones!$C$5:$C$2000,Recepciones!$B$5:$B$2000,Config!$A$25,Recepciones!$A$5:$A$2000,"&gt;"&amp;$A260,Recepciones!$A$5:$A$2000,"&lt;="&amp;$A261),MAX(0,I261-I260)))</f>
        <v/>
      </c>
      <c r="K261" s="24" t="str">
        <f aca="false">IF($A261="","",MAX(0,I260+J261-I261))</f>
        <v/>
      </c>
      <c r="L261" s="24" t="str">
        <f aca="false">IF($A261="","",E261+H261+K261)</f>
        <v/>
      </c>
      <c r="M261" s="4" t="str">
        <f aca="false">IF($A261="","",IF(AND(D261+G261+J261&gt;0,SUMIFS(Recepciones!$C$5:$C$2000,Recepciones!$A$5:$A$2000,"&gt;"&amp;$A260,Recepciones!$A$5:$A$2000,"&lt;="&amp;$A261)=0),"Aumento de stock sin recepción registrada",IF(B261&gt;1,"Intervalo de "&amp;B261&amp;" días","")))</f>
        <v/>
      </c>
    </row>
    <row r="262" customFormat="false" ht="15" hidden="false" customHeight="false" outlineLevel="0" collapsed="false">
      <c r="A262" s="5" t="str">
        <f aca="false">IF(Stock_Diario!A262="","",Stock_Diario!A262)</f>
        <v/>
      </c>
      <c r="B262" s="4" t="str">
        <f aca="false">IF($A262="","",$A262-$A261)</f>
        <v/>
      </c>
      <c r="C262" s="24" t="str">
        <f aca="false">IF($A262="","",Stock_Diario!E262)</f>
        <v/>
      </c>
      <c r="D262" s="24" t="str">
        <f aca="false">IF($A262="","",IF(SUMIFS(Recepciones!$C$5:$C$2000,Recepciones!$B$5:$B$2000,Config!$A$23,Recepciones!$A$5:$A$2000,"&gt;"&amp;$A261,Recepciones!$A$5:$A$2000,"&lt;="&amp;$A262)&gt;0,SUMIFS(Recepciones!$C$5:$C$2000,Recepciones!$B$5:$B$2000,Config!$A$23,Recepciones!$A$5:$A$2000,"&gt;"&amp;$A261,Recepciones!$A$5:$A$2000,"&lt;="&amp;$A262),MAX(0,C262-C261)))</f>
        <v/>
      </c>
      <c r="E262" s="24" t="str">
        <f aca="false">IF($A262="","",MAX(0,C261+D262-C262))</f>
        <v/>
      </c>
      <c r="F262" s="24" t="str">
        <f aca="false">IF($A262="","",Stock_Diario!F262)</f>
        <v/>
      </c>
      <c r="G262" s="24" t="str">
        <f aca="false">IF($A262="","",IF(SUMIFS(Recepciones!$C$5:$C$2000,Recepciones!$B$5:$B$2000,Config!$A$24,Recepciones!$A$5:$A$2000,"&gt;"&amp;$A261,Recepciones!$A$5:$A$2000,"&lt;="&amp;$A262)&gt;0,SUMIFS(Recepciones!$C$5:$C$2000,Recepciones!$B$5:$B$2000,Config!$A$24,Recepciones!$A$5:$A$2000,"&gt;"&amp;$A261,Recepciones!$A$5:$A$2000,"&lt;="&amp;$A262),MAX(0,F262-F261)))</f>
        <v/>
      </c>
      <c r="H262" s="24" t="str">
        <f aca="false">IF($A262="","",MAX(0,F261+G262-F262))</f>
        <v/>
      </c>
      <c r="I262" s="24" t="str">
        <f aca="false">IF($A262="","",Stock_Diario!G262)</f>
        <v/>
      </c>
      <c r="J262" s="24" t="str">
        <f aca="false">IF($A262="","",IF(SUMIFS(Recepciones!$C$5:$C$2000,Recepciones!$B$5:$B$2000,Config!$A$25,Recepciones!$A$5:$A$2000,"&gt;"&amp;$A261,Recepciones!$A$5:$A$2000,"&lt;="&amp;$A262)&gt;0,SUMIFS(Recepciones!$C$5:$C$2000,Recepciones!$B$5:$B$2000,Config!$A$25,Recepciones!$A$5:$A$2000,"&gt;"&amp;$A261,Recepciones!$A$5:$A$2000,"&lt;="&amp;$A262),MAX(0,I262-I261)))</f>
        <v/>
      </c>
      <c r="K262" s="24" t="str">
        <f aca="false">IF($A262="","",MAX(0,I261+J262-I262))</f>
        <v/>
      </c>
      <c r="L262" s="24" t="str">
        <f aca="false">IF($A262="","",E262+H262+K262)</f>
        <v/>
      </c>
      <c r="M262" s="4" t="str">
        <f aca="false">IF($A262="","",IF(AND(D262+G262+J262&gt;0,SUMIFS(Recepciones!$C$5:$C$2000,Recepciones!$A$5:$A$2000,"&gt;"&amp;$A261,Recepciones!$A$5:$A$2000,"&lt;="&amp;$A262)=0),"Aumento de stock sin recepción registrada",IF(B262&gt;1,"Intervalo de "&amp;B262&amp;" días","")))</f>
        <v/>
      </c>
    </row>
    <row r="263" customFormat="false" ht="15" hidden="false" customHeight="false" outlineLevel="0" collapsed="false">
      <c r="A263" s="5" t="str">
        <f aca="false">IF(Stock_Diario!A263="","",Stock_Diario!A263)</f>
        <v/>
      </c>
      <c r="B263" s="4" t="str">
        <f aca="false">IF($A263="","",$A263-$A262)</f>
        <v/>
      </c>
      <c r="C263" s="24" t="str">
        <f aca="false">IF($A263="","",Stock_Diario!E263)</f>
        <v/>
      </c>
      <c r="D263" s="24" t="str">
        <f aca="false">IF($A263="","",IF(SUMIFS(Recepciones!$C$5:$C$2000,Recepciones!$B$5:$B$2000,Config!$A$23,Recepciones!$A$5:$A$2000,"&gt;"&amp;$A262,Recepciones!$A$5:$A$2000,"&lt;="&amp;$A263)&gt;0,SUMIFS(Recepciones!$C$5:$C$2000,Recepciones!$B$5:$B$2000,Config!$A$23,Recepciones!$A$5:$A$2000,"&gt;"&amp;$A262,Recepciones!$A$5:$A$2000,"&lt;="&amp;$A263),MAX(0,C263-C262)))</f>
        <v/>
      </c>
      <c r="E263" s="24" t="str">
        <f aca="false">IF($A263="","",MAX(0,C262+D263-C263))</f>
        <v/>
      </c>
      <c r="F263" s="24" t="str">
        <f aca="false">IF($A263="","",Stock_Diario!F263)</f>
        <v/>
      </c>
      <c r="G263" s="24" t="str">
        <f aca="false">IF($A263="","",IF(SUMIFS(Recepciones!$C$5:$C$2000,Recepciones!$B$5:$B$2000,Config!$A$24,Recepciones!$A$5:$A$2000,"&gt;"&amp;$A262,Recepciones!$A$5:$A$2000,"&lt;="&amp;$A263)&gt;0,SUMIFS(Recepciones!$C$5:$C$2000,Recepciones!$B$5:$B$2000,Config!$A$24,Recepciones!$A$5:$A$2000,"&gt;"&amp;$A262,Recepciones!$A$5:$A$2000,"&lt;="&amp;$A263),MAX(0,F263-F262)))</f>
        <v/>
      </c>
      <c r="H263" s="24" t="str">
        <f aca="false">IF($A263="","",MAX(0,F262+G263-F263))</f>
        <v/>
      </c>
      <c r="I263" s="24" t="str">
        <f aca="false">IF($A263="","",Stock_Diario!G263)</f>
        <v/>
      </c>
      <c r="J263" s="24" t="str">
        <f aca="false">IF($A263="","",IF(SUMIFS(Recepciones!$C$5:$C$2000,Recepciones!$B$5:$B$2000,Config!$A$25,Recepciones!$A$5:$A$2000,"&gt;"&amp;$A262,Recepciones!$A$5:$A$2000,"&lt;="&amp;$A263)&gt;0,SUMIFS(Recepciones!$C$5:$C$2000,Recepciones!$B$5:$B$2000,Config!$A$25,Recepciones!$A$5:$A$2000,"&gt;"&amp;$A262,Recepciones!$A$5:$A$2000,"&lt;="&amp;$A263),MAX(0,I263-I262)))</f>
        <v/>
      </c>
      <c r="K263" s="24" t="str">
        <f aca="false">IF($A263="","",MAX(0,I262+J263-I263))</f>
        <v/>
      </c>
      <c r="L263" s="24" t="str">
        <f aca="false">IF($A263="","",E263+H263+K263)</f>
        <v/>
      </c>
      <c r="M263" s="4" t="str">
        <f aca="false">IF($A263="","",IF(AND(D263+G263+J263&gt;0,SUMIFS(Recepciones!$C$5:$C$2000,Recepciones!$A$5:$A$2000,"&gt;"&amp;$A262,Recepciones!$A$5:$A$2000,"&lt;="&amp;$A263)=0),"Aumento de stock sin recepción registrada",IF(B263&gt;1,"Intervalo de "&amp;B263&amp;" días","")))</f>
        <v/>
      </c>
    </row>
    <row r="264" customFormat="false" ht="15" hidden="false" customHeight="false" outlineLevel="0" collapsed="false">
      <c r="A264" s="5" t="str">
        <f aca="false">IF(Stock_Diario!A264="","",Stock_Diario!A264)</f>
        <v/>
      </c>
      <c r="B264" s="4" t="str">
        <f aca="false">IF($A264="","",$A264-$A263)</f>
        <v/>
      </c>
      <c r="C264" s="24" t="str">
        <f aca="false">IF($A264="","",Stock_Diario!E264)</f>
        <v/>
      </c>
      <c r="D264" s="24" t="str">
        <f aca="false">IF($A264="","",IF(SUMIFS(Recepciones!$C$5:$C$2000,Recepciones!$B$5:$B$2000,Config!$A$23,Recepciones!$A$5:$A$2000,"&gt;"&amp;$A263,Recepciones!$A$5:$A$2000,"&lt;="&amp;$A264)&gt;0,SUMIFS(Recepciones!$C$5:$C$2000,Recepciones!$B$5:$B$2000,Config!$A$23,Recepciones!$A$5:$A$2000,"&gt;"&amp;$A263,Recepciones!$A$5:$A$2000,"&lt;="&amp;$A264),MAX(0,C264-C263)))</f>
        <v/>
      </c>
      <c r="E264" s="24" t="str">
        <f aca="false">IF($A264="","",MAX(0,C263+D264-C264))</f>
        <v/>
      </c>
      <c r="F264" s="24" t="str">
        <f aca="false">IF($A264="","",Stock_Diario!F264)</f>
        <v/>
      </c>
      <c r="G264" s="24" t="str">
        <f aca="false">IF($A264="","",IF(SUMIFS(Recepciones!$C$5:$C$2000,Recepciones!$B$5:$B$2000,Config!$A$24,Recepciones!$A$5:$A$2000,"&gt;"&amp;$A263,Recepciones!$A$5:$A$2000,"&lt;="&amp;$A264)&gt;0,SUMIFS(Recepciones!$C$5:$C$2000,Recepciones!$B$5:$B$2000,Config!$A$24,Recepciones!$A$5:$A$2000,"&gt;"&amp;$A263,Recepciones!$A$5:$A$2000,"&lt;="&amp;$A264),MAX(0,F264-F263)))</f>
        <v/>
      </c>
      <c r="H264" s="24" t="str">
        <f aca="false">IF($A264="","",MAX(0,F263+G264-F264))</f>
        <v/>
      </c>
      <c r="I264" s="24" t="str">
        <f aca="false">IF($A264="","",Stock_Diario!G264)</f>
        <v/>
      </c>
      <c r="J264" s="24" t="str">
        <f aca="false">IF($A264="","",IF(SUMIFS(Recepciones!$C$5:$C$2000,Recepciones!$B$5:$B$2000,Config!$A$25,Recepciones!$A$5:$A$2000,"&gt;"&amp;$A263,Recepciones!$A$5:$A$2000,"&lt;="&amp;$A264)&gt;0,SUMIFS(Recepciones!$C$5:$C$2000,Recepciones!$B$5:$B$2000,Config!$A$25,Recepciones!$A$5:$A$2000,"&gt;"&amp;$A263,Recepciones!$A$5:$A$2000,"&lt;="&amp;$A264),MAX(0,I264-I263)))</f>
        <v/>
      </c>
      <c r="K264" s="24" t="str">
        <f aca="false">IF($A264="","",MAX(0,I263+J264-I264))</f>
        <v/>
      </c>
      <c r="L264" s="24" t="str">
        <f aca="false">IF($A264="","",E264+H264+K264)</f>
        <v/>
      </c>
      <c r="M264" s="4" t="str">
        <f aca="false">IF($A264="","",IF(AND(D264+G264+J264&gt;0,SUMIFS(Recepciones!$C$5:$C$2000,Recepciones!$A$5:$A$2000,"&gt;"&amp;$A263,Recepciones!$A$5:$A$2000,"&lt;="&amp;$A264)=0),"Aumento de stock sin recepción registrada",IF(B264&gt;1,"Intervalo de "&amp;B264&amp;" días","")))</f>
        <v/>
      </c>
    </row>
    <row r="265" customFormat="false" ht="15" hidden="false" customHeight="false" outlineLevel="0" collapsed="false">
      <c r="A265" s="5" t="str">
        <f aca="false">IF(Stock_Diario!A265="","",Stock_Diario!A265)</f>
        <v/>
      </c>
      <c r="B265" s="4" t="str">
        <f aca="false">IF($A265="","",$A265-$A264)</f>
        <v/>
      </c>
      <c r="C265" s="24" t="str">
        <f aca="false">IF($A265="","",Stock_Diario!E265)</f>
        <v/>
      </c>
      <c r="D265" s="24" t="str">
        <f aca="false">IF($A265="","",IF(SUMIFS(Recepciones!$C$5:$C$2000,Recepciones!$B$5:$B$2000,Config!$A$23,Recepciones!$A$5:$A$2000,"&gt;"&amp;$A264,Recepciones!$A$5:$A$2000,"&lt;="&amp;$A265)&gt;0,SUMIFS(Recepciones!$C$5:$C$2000,Recepciones!$B$5:$B$2000,Config!$A$23,Recepciones!$A$5:$A$2000,"&gt;"&amp;$A264,Recepciones!$A$5:$A$2000,"&lt;="&amp;$A265),MAX(0,C265-C264)))</f>
        <v/>
      </c>
      <c r="E265" s="24" t="str">
        <f aca="false">IF($A265="","",MAX(0,C264+D265-C265))</f>
        <v/>
      </c>
      <c r="F265" s="24" t="str">
        <f aca="false">IF($A265="","",Stock_Diario!F265)</f>
        <v/>
      </c>
      <c r="G265" s="24" t="str">
        <f aca="false">IF($A265="","",IF(SUMIFS(Recepciones!$C$5:$C$2000,Recepciones!$B$5:$B$2000,Config!$A$24,Recepciones!$A$5:$A$2000,"&gt;"&amp;$A264,Recepciones!$A$5:$A$2000,"&lt;="&amp;$A265)&gt;0,SUMIFS(Recepciones!$C$5:$C$2000,Recepciones!$B$5:$B$2000,Config!$A$24,Recepciones!$A$5:$A$2000,"&gt;"&amp;$A264,Recepciones!$A$5:$A$2000,"&lt;="&amp;$A265),MAX(0,F265-F264)))</f>
        <v/>
      </c>
      <c r="H265" s="24" t="str">
        <f aca="false">IF($A265="","",MAX(0,F264+G265-F265))</f>
        <v/>
      </c>
      <c r="I265" s="24" t="str">
        <f aca="false">IF($A265="","",Stock_Diario!G265)</f>
        <v/>
      </c>
      <c r="J265" s="24" t="str">
        <f aca="false">IF($A265="","",IF(SUMIFS(Recepciones!$C$5:$C$2000,Recepciones!$B$5:$B$2000,Config!$A$25,Recepciones!$A$5:$A$2000,"&gt;"&amp;$A264,Recepciones!$A$5:$A$2000,"&lt;="&amp;$A265)&gt;0,SUMIFS(Recepciones!$C$5:$C$2000,Recepciones!$B$5:$B$2000,Config!$A$25,Recepciones!$A$5:$A$2000,"&gt;"&amp;$A264,Recepciones!$A$5:$A$2000,"&lt;="&amp;$A265),MAX(0,I265-I264)))</f>
        <v/>
      </c>
      <c r="K265" s="24" t="str">
        <f aca="false">IF($A265="","",MAX(0,I264+J265-I265))</f>
        <v/>
      </c>
      <c r="L265" s="24" t="str">
        <f aca="false">IF($A265="","",E265+H265+K265)</f>
        <v/>
      </c>
      <c r="M265" s="4" t="str">
        <f aca="false">IF($A265="","",IF(AND(D265+G265+J265&gt;0,SUMIFS(Recepciones!$C$5:$C$2000,Recepciones!$A$5:$A$2000,"&gt;"&amp;$A264,Recepciones!$A$5:$A$2000,"&lt;="&amp;$A265)=0),"Aumento de stock sin recepción registrada",IF(B265&gt;1,"Intervalo de "&amp;B265&amp;" días","")))</f>
        <v/>
      </c>
    </row>
    <row r="266" customFormat="false" ht="15" hidden="false" customHeight="false" outlineLevel="0" collapsed="false">
      <c r="A266" s="5" t="str">
        <f aca="false">IF(Stock_Diario!A266="","",Stock_Diario!A266)</f>
        <v/>
      </c>
      <c r="B266" s="4" t="str">
        <f aca="false">IF($A266="","",$A266-$A265)</f>
        <v/>
      </c>
      <c r="C266" s="24" t="str">
        <f aca="false">IF($A266="","",Stock_Diario!E266)</f>
        <v/>
      </c>
      <c r="D266" s="24" t="str">
        <f aca="false">IF($A266="","",IF(SUMIFS(Recepciones!$C$5:$C$2000,Recepciones!$B$5:$B$2000,Config!$A$23,Recepciones!$A$5:$A$2000,"&gt;"&amp;$A265,Recepciones!$A$5:$A$2000,"&lt;="&amp;$A266)&gt;0,SUMIFS(Recepciones!$C$5:$C$2000,Recepciones!$B$5:$B$2000,Config!$A$23,Recepciones!$A$5:$A$2000,"&gt;"&amp;$A265,Recepciones!$A$5:$A$2000,"&lt;="&amp;$A266),MAX(0,C266-C265)))</f>
        <v/>
      </c>
      <c r="E266" s="24" t="str">
        <f aca="false">IF($A266="","",MAX(0,C265+D266-C266))</f>
        <v/>
      </c>
      <c r="F266" s="24" t="str">
        <f aca="false">IF($A266="","",Stock_Diario!F266)</f>
        <v/>
      </c>
      <c r="G266" s="24" t="str">
        <f aca="false">IF($A266="","",IF(SUMIFS(Recepciones!$C$5:$C$2000,Recepciones!$B$5:$B$2000,Config!$A$24,Recepciones!$A$5:$A$2000,"&gt;"&amp;$A265,Recepciones!$A$5:$A$2000,"&lt;="&amp;$A266)&gt;0,SUMIFS(Recepciones!$C$5:$C$2000,Recepciones!$B$5:$B$2000,Config!$A$24,Recepciones!$A$5:$A$2000,"&gt;"&amp;$A265,Recepciones!$A$5:$A$2000,"&lt;="&amp;$A266),MAX(0,F266-F265)))</f>
        <v/>
      </c>
      <c r="H266" s="24" t="str">
        <f aca="false">IF($A266="","",MAX(0,F265+G266-F266))</f>
        <v/>
      </c>
      <c r="I266" s="24" t="str">
        <f aca="false">IF($A266="","",Stock_Diario!G266)</f>
        <v/>
      </c>
      <c r="J266" s="24" t="str">
        <f aca="false">IF($A266="","",IF(SUMIFS(Recepciones!$C$5:$C$2000,Recepciones!$B$5:$B$2000,Config!$A$25,Recepciones!$A$5:$A$2000,"&gt;"&amp;$A265,Recepciones!$A$5:$A$2000,"&lt;="&amp;$A266)&gt;0,SUMIFS(Recepciones!$C$5:$C$2000,Recepciones!$B$5:$B$2000,Config!$A$25,Recepciones!$A$5:$A$2000,"&gt;"&amp;$A265,Recepciones!$A$5:$A$2000,"&lt;="&amp;$A266),MAX(0,I266-I265)))</f>
        <v/>
      </c>
      <c r="K266" s="24" t="str">
        <f aca="false">IF($A266="","",MAX(0,I265+J266-I266))</f>
        <v/>
      </c>
      <c r="L266" s="24" t="str">
        <f aca="false">IF($A266="","",E266+H266+K266)</f>
        <v/>
      </c>
      <c r="M266" s="4" t="str">
        <f aca="false">IF($A266="","",IF(AND(D266+G266+J266&gt;0,SUMIFS(Recepciones!$C$5:$C$2000,Recepciones!$A$5:$A$2000,"&gt;"&amp;$A265,Recepciones!$A$5:$A$2000,"&lt;="&amp;$A266)=0),"Aumento de stock sin recepción registrada",IF(B266&gt;1,"Intervalo de "&amp;B266&amp;" días","")))</f>
        <v/>
      </c>
    </row>
    <row r="267" customFormat="false" ht="15" hidden="false" customHeight="false" outlineLevel="0" collapsed="false">
      <c r="A267" s="5" t="str">
        <f aca="false">IF(Stock_Diario!A267="","",Stock_Diario!A267)</f>
        <v/>
      </c>
      <c r="B267" s="4" t="str">
        <f aca="false">IF($A267="","",$A267-$A266)</f>
        <v/>
      </c>
      <c r="C267" s="24" t="str">
        <f aca="false">IF($A267="","",Stock_Diario!E267)</f>
        <v/>
      </c>
      <c r="D267" s="24" t="str">
        <f aca="false">IF($A267="","",IF(SUMIFS(Recepciones!$C$5:$C$2000,Recepciones!$B$5:$B$2000,Config!$A$23,Recepciones!$A$5:$A$2000,"&gt;"&amp;$A266,Recepciones!$A$5:$A$2000,"&lt;="&amp;$A267)&gt;0,SUMIFS(Recepciones!$C$5:$C$2000,Recepciones!$B$5:$B$2000,Config!$A$23,Recepciones!$A$5:$A$2000,"&gt;"&amp;$A266,Recepciones!$A$5:$A$2000,"&lt;="&amp;$A267),MAX(0,C267-C266)))</f>
        <v/>
      </c>
      <c r="E267" s="24" t="str">
        <f aca="false">IF($A267="","",MAX(0,C266+D267-C267))</f>
        <v/>
      </c>
      <c r="F267" s="24" t="str">
        <f aca="false">IF($A267="","",Stock_Diario!F267)</f>
        <v/>
      </c>
      <c r="G267" s="24" t="str">
        <f aca="false">IF($A267="","",IF(SUMIFS(Recepciones!$C$5:$C$2000,Recepciones!$B$5:$B$2000,Config!$A$24,Recepciones!$A$5:$A$2000,"&gt;"&amp;$A266,Recepciones!$A$5:$A$2000,"&lt;="&amp;$A267)&gt;0,SUMIFS(Recepciones!$C$5:$C$2000,Recepciones!$B$5:$B$2000,Config!$A$24,Recepciones!$A$5:$A$2000,"&gt;"&amp;$A266,Recepciones!$A$5:$A$2000,"&lt;="&amp;$A267),MAX(0,F267-F266)))</f>
        <v/>
      </c>
      <c r="H267" s="24" t="str">
        <f aca="false">IF($A267="","",MAX(0,F266+G267-F267))</f>
        <v/>
      </c>
      <c r="I267" s="24" t="str">
        <f aca="false">IF($A267="","",Stock_Diario!G267)</f>
        <v/>
      </c>
      <c r="J267" s="24" t="str">
        <f aca="false">IF($A267="","",IF(SUMIFS(Recepciones!$C$5:$C$2000,Recepciones!$B$5:$B$2000,Config!$A$25,Recepciones!$A$5:$A$2000,"&gt;"&amp;$A266,Recepciones!$A$5:$A$2000,"&lt;="&amp;$A267)&gt;0,SUMIFS(Recepciones!$C$5:$C$2000,Recepciones!$B$5:$B$2000,Config!$A$25,Recepciones!$A$5:$A$2000,"&gt;"&amp;$A266,Recepciones!$A$5:$A$2000,"&lt;="&amp;$A267),MAX(0,I267-I266)))</f>
        <v/>
      </c>
      <c r="K267" s="24" t="str">
        <f aca="false">IF($A267="","",MAX(0,I266+J267-I267))</f>
        <v/>
      </c>
      <c r="L267" s="24" t="str">
        <f aca="false">IF($A267="","",E267+H267+K267)</f>
        <v/>
      </c>
      <c r="M267" s="4" t="str">
        <f aca="false">IF($A267="","",IF(AND(D267+G267+J267&gt;0,SUMIFS(Recepciones!$C$5:$C$2000,Recepciones!$A$5:$A$2000,"&gt;"&amp;$A266,Recepciones!$A$5:$A$2000,"&lt;="&amp;$A267)=0),"Aumento de stock sin recepción registrada",IF(B267&gt;1,"Intervalo de "&amp;B267&amp;" días","")))</f>
        <v/>
      </c>
    </row>
    <row r="268" customFormat="false" ht="15" hidden="false" customHeight="false" outlineLevel="0" collapsed="false">
      <c r="A268" s="5" t="str">
        <f aca="false">IF(Stock_Diario!A268="","",Stock_Diario!A268)</f>
        <v/>
      </c>
      <c r="B268" s="4" t="str">
        <f aca="false">IF($A268="","",$A268-$A267)</f>
        <v/>
      </c>
      <c r="C268" s="24" t="str">
        <f aca="false">IF($A268="","",Stock_Diario!E268)</f>
        <v/>
      </c>
      <c r="D268" s="24" t="str">
        <f aca="false">IF($A268="","",IF(SUMIFS(Recepciones!$C$5:$C$2000,Recepciones!$B$5:$B$2000,Config!$A$23,Recepciones!$A$5:$A$2000,"&gt;"&amp;$A267,Recepciones!$A$5:$A$2000,"&lt;="&amp;$A268)&gt;0,SUMIFS(Recepciones!$C$5:$C$2000,Recepciones!$B$5:$B$2000,Config!$A$23,Recepciones!$A$5:$A$2000,"&gt;"&amp;$A267,Recepciones!$A$5:$A$2000,"&lt;="&amp;$A268),MAX(0,C268-C267)))</f>
        <v/>
      </c>
      <c r="E268" s="24" t="str">
        <f aca="false">IF($A268="","",MAX(0,C267+D268-C268))</f>
        <v/>
      </c>
      <c r="F268" s="24" t="str">
        <f aca="false">IF($A268="","",Stock_Diario!F268)</f>
        <v/>
      </c>
      <c r="G268" s="24" t="str">
        <f aca="false">IF($A268="","",IF(SUMIFS(Recepciones!$C$5:$C$2000,Recepciones!$B$5:$B$2000,Config!$A$24,Recepciones!$A$5:$A$2000,"&gt;"&amp;$A267,Recepciones!$A$5:$A$2000,"&lt;="&amp;$A268)&gt;0,SUMIFS(Recepciones!$C$5:$C$2000,Recepciones!$B$5:$B$2000,Config!$A$24,Recepciones!$A$5:$A$2000,"&gt;"&amp;$A267,Recepciones!$A$5:$A$2000,"&lt;="&amp;$A268),MAX(0,F268-F267)))</f>
        <v/>
      </c>
      <c r="H268" s="24" t="str">
        <f aca="false">IF($A268="","",MAX(0,F267+G268-F268))</f>
        <v/>
      </c>
      <c r="I268" s="24" t="str">
        <f aca="false">IF($A268="","",Stock_Diario!G268)</f>
        <v/>
      </c>
      <c r="J268" s="24" t="str">
        <f aca="false">IF($A268="","",IF(SUMIFS(Recepciones!$C$5:$C$2000,Recepciones!$B$5:$B$2000,Config!$A$25,Recepciones!$A$5:$A$2000,"&gt;"&amp;$A267,Recepciones!$A$5:$A$2000,"&lt;="&amp;$A268)&gt;0,SUMIFS(Recepciones!$C$5:$C$2000,Recepciones!$B$5:$B$2000,Config!$A$25,Recepciones!$A$5:$A$2000,"&gt;"&amp;$A267,Recepciones!$A$5:$A$2000,"&lt;="&amp;$A268),MAX(0,I268-I267)))</f>
        <v/>
      </c>
      <c r="K268" s="24" t="str">
        <f aca="false">IF($A268="","",MAX(0,I267+J268-I268))</f>
        <v/>
      </c>
      <c r="L268" s="24" t="str">
        <f aca="false">IF($A268="","",E268+H268+K268)</f>
        <v/>
      </c>
      <c r="M268" s="4" t="str">
        <f aca="false">IF($A268="","",IF(AND(D268+G268+J268&gt;0,SUMIFS(Recepciones!$C$5:$C$2000,Recepciones!$A$5:$A$2000,"&gt;"&amp;$A267,Recepciones!$A$5:$A$2000,"&lt;="&amp;$A268)=0),"Aumento de stock sin recepción registrada",IF(B268&gt;1,"Intervalo de "&amp;B268&amp;" días","")))</f>
        <v/>
      </c>
    </row>
    <row r="269" customFormat="false" ht="15" hidden="false" customHeight="false" outlineLevel="0" collapsed="false">
      <c r="A269" s="5" t="str">
        <f aca="false">IF(Stock_Diario!A269="","",Stock_Diario!A269)</f>
        <v/>
      </c>
      <c r="B269" s="4" t="str">
        <f aca="false">IF($A269="","",$A269-$A268)</f>
        <v/>
      </c>
      <c r="C269" s="24" t="str">
        <f aca="false">IF($A269="","",Stock_Diario!E269)</f>
        <v/>
      </c>
      <c r="D269" s="24" t="str">
        <f aca="false">IF($A269="","",IF(SUMIFS(Recepciones!$C$5:$C$2000,Recepciones!$B$5:$B$2000,Config!$A$23,Recepciones!$A$5:$A$2000,"&gt;"&amp;$A268,Recepciones!$A$5:$A$2000,"&lt;="&amp;$A269)&gt;0,SUMIFS(Recepciones!$C$5:$C$2000,Recepciones!$B$5:$B$2000,Config!$A$23,Recepciones!$A$5:$A$2000,"&gt;"&amp;$A268,Recepciones!$A$5:$A$2000,"&lt;="&amp;$A269),MAX(0,C269-C268)))</f>
        <v/>
      </c>
      <c r="E269" s="24" t="str">
        <f aca="false">IF($A269="","",MAX(0,C268+D269-C269))</f>
        <v/>
      </c>
      <c r="F269" s="24" t="str">
        <f aca="false">IF($A269="","",Stock_Diario!F269)</f>
        <v/>
      </c>
      <c r="G269" s="24" t="str">
        <f aca="false">IF($A269="","",IF(SUMIFS(Recepciones!$C$5:$C$2000,Recepciones!$B$5:$B$2000,Config!$A$24,Recepciones!$A$5:$A$2000,"&gt;"&amp;$A268,Recepciones!$A$5:$A$2000,"&lt;="&amp;$A269)&gt;0,SUMIFS(Recepciones!$C$5:$C$2000,Recepciones!$B$5:$B$2000,Config!$A$24,Recepciones!$A$5:$A$2000,"&gt;"&amp;$A268,Recepciones!$A$5:$A$2000,"&lt;="&amp;$A269),MAX(0,F269-F268)))</f>
        <v/>
      </c>
      <c r="H269" s="24" t="str">
        <f aca="false">IF($A269="","",MAX(0,F268+G269-F269))</f>
        <v/>
      </c>
      <c r="I269" s="24" t="str">
        <f aca="false">IF($A269="","",Stock_Diario!G269)</f>
        <v/>
      </c>
      <c r="J269" s="24" t="str">
        <f aca="false">IF($A269="","",IF(SUMIFS(Recepciones!$C$5:$C$2000,Recepciones!$B$5:$B$2000,Config!$A$25,Recepciones!$A$5:$A$2000,"&gt;"&amp;$A268,Recepciones!$A$5:$A$2000,"&lt;="&amp;$A269)&gt;0,SUMIFS(Recepciones!$C$5:$C$2000,Recepciones!$B$5:$B$2000,Config!$A$25,Recepciones!$A$5:$A$2000,"&gt;"&amp;$A268,Recepciones!$A$5:$A$2000,"&lt;="&amp;$A269),MAX(0,I269-I268)))</f>
        <v/>
      </c>
      <c r="K269" s="24" t="str">
        <f aca="false">IF($A269="","",MAX(0,I268+J269-I269))</f>
        <v/>
      </c>
      <c r="L269" s="24" t="str">
        <f aca="false">IF($A269="","",E269+H269+K269)</f>
        <v/>
      </c>
      <c r="M269" s="4" t="str">
        <f aca="false">IF($A269="","",IF(AND(D269+G269+J269&gt;0,SUMIFS(Recepciones!$C$5:$C$2000,Recepciones!$A$5:$A$2000,"&gt;"&amp;$A268,Recepciones!$A$5:$A$2000,"&lt;="&amp;$A269)=0),"Aumento de stock sin recepción registrada",IF(B269&gt;1,"Intervalo de "&amp;B269&amp;" días","")))</f>
        <v/>
      </c>
    </row>
    <row r="270" customFormat="false" ht="15" hidden="false" customHeight="false" outlineLevel="0" collapsed="false">
      <c r="A270" s="5" t="str">
        <f aca="false">IF(Stock_Diario!A270="","",Stock_Diario!A270)</f>
        <v/>
      </c>
      <c r="B270" s="4" t="str">
        <f aca="false">IF($A270="","",$A270-$A269)</f>
        <v/>
      </c>
      <c r="C270" s="24" t="str">
        <f aca="false">IF($A270="","",Stock_Diario!E270)</f>
        <v/>
      </c>
      <c r="D270" s="24" t="str">
        <f aca="false">IF($A270="","",IF(SUMIFS(Recepciones!$C$5:$C$2000,Recepciones!$B$5:$B$2000,Config!$A$23,Recepciones!$A$5:$A$2000,"&gt;"&amp;$A269,Recepciones!$A$5:$A$2000,"&lt;="&amp;$A270)&gt;0,SUMIFS(Recepciones!$C$5:$C$2000,Recepciones!$B$5:$B$2000,Config!$A$23,Recepciones!$A$5:$A$2000,"&gt;"&amp;$A269,Recepciones!$A$5:$A$2000,"&lt;="&amp;$A270),MAX(0,C270-C269)))</f>
        <v/>
      </c>
      <c r="E270" s="24" t="str">
        <f aca="false">IF($A270="","",MAX(0,C269+D270-C270))</f>
        <v/>
      </c>
      <c r="F270" s="24" t="str">
        <f aca="false">IF($A270="","",Stock_Diario!F270)</f>
        <v/>
      </c>
      <c r="G270" s="24" t="str">
        <f aca="false">IF($A270="","",IF(SUMIFS(Recepciones!$C$5:$C$2000,Recepciones!$B$5:$B$2000,Config!$A$24,Recepciones!$A$5:$A$2000,"&gt;"&amp;$A269,Recepciones!$A$5:$A$2000,"&lt;="&amp;$A270)&gt;0,SUMIFS(Recepciones!$C$5:$C$2000,Recepciones!$B$5:$B$2000,Config!$A$24,Recepciones!$A$5:$A$2000,"&gt;"&amp;$A269,Recepciones!$A$5:$A$2000,"&lt;="&amp;$A270),MAX(0,F270-F269)))</f>
        <v/>
      </c>
      <c r="H270" s="24" t="str">
        <f aca="false">IF($A270="","",MAX(0,F269+G270-F270))</f>
        <v/>
      </c>
      <c r="I270" s="24" t="str">
        <f aca="false">IF($A270="","",Stock_Diario!G270)</f>
        <v/>
      </c>
      <c r="J270" s="24" t="str">
        <f aca="false">IF($A270="","",IF(SUMIFS(Recepciones!$C$5:$C$2000,Recepciones!$B$5:$B$2000,Config!$A$25,Recepciones!$A$5:$A$2000,"&gt;"&amp;$A269,Recepciones!$A$5:$A$2000,"&lt;="&amp;$A270)&gt;0,SUMIFS(Recepciones!$C$5:$C$2000,Recepciones!$B$5:$B$2000,Config!$A$25,Recepciones!$A$5:$A$2000,"&gt;"&amp;$A269,Recepciones!$A$5:$A$2000,"&lt;="&amp;$A270),MAX(0,I270-I269)))</f>
        <v/>
      </c>
      <c r="K270" s="24" t="str">
        <f aca="false">IF($A270="","",MAX(0,I269+J270-I270))</f>
        <v/>
      </c>
      <c r="L270" s="24" t="str">
        <f aca="false">IF($A270="","",E270+H270+K270)</f>
        <v/>
      </c>
      <c r="M270" s="4" t="str">
        <f aca="false">IF($A270="","",IF(AND(D270+G270+J270&gt;0,SUMIFS(Recepciones!$C$5:$C$2000,Recepciones!$A$5:$A$2000,"&gt;"&amp;$A269,Recepciones!$A$5:$A$2000,"&lt;="&amp;$A270)=0),"Aumento de stock sin recepción registrada",IF(B270&gt;1,"Intervalo de "&amp;B270&amp;" días","")))</f>
        <v/>
      </c>
    </row>
    <row r="271" customFormat="false" ht="15" hidden="false" customHeight="false" outlineLevel="0" collapsed="false">
      <c r="A271" s="5" t="str">
        <f aca="false">IF(Stock_Diario!A271="","",Stock_Diario!A271)</f>
        <v/>
      </c>
      <c r="B271" s="4" t="str">
        <f aca="false">IF($A271="","",$A271-$A270)</f>
        <v/>
      </c>
      <c r="C271" s="24" t="str">
        <f aca="false">IF($A271="","",Stock_Diario!E271)</f>
        <v/>
      </c>
      <c r="D271" s="24" t="str">
        <f aca="false">IF($A271="","",IF(SUMIFS(Recepciones!$C$5:$C$2000,Recepciones!$B$5:$B$2000,Config!$A$23,Recepciones!$A$5:$A$2000,"&gt;"&amp;$A270,Recepciones!$A$5:$A$2000,"&lt;="&amp;$A271)&gt;0,SUMIFS(Recepciones!$C$5:$C$2000,Recepciones!$B$5:$B$2000,Config!$A$23,Recepciones!$A$5:$A$2000,"&gt;"&amp;$A270,Recepciones!$A$5:$A$2000,"&lt;="&amp;$A271),MAX(0,C271-C270)))</f>
        <v/>
      </c>
      <c r="E271" s="24" t="str">
        <f aca="false">IF($A271="","",MAX(0,C270+D271-C271))</f>
        <v/>
      </c>
      <c r="F271" s="24" t="str">
        <f aca="false">IF($A271="","",Stock_Diario!F271)</f>
        <v/>
      </c>
      <c r="G271" s="24" t="str">
        <f aca="false">IF($A271="","",IF(SUMIFS(Recepciones!$C$5:$C$2000,Recepciones!$B$5:$B$2000,Config!$A$24,Recepciones!$A$5:$A$2000,"&gt;"&amp;$A270,Recepciones!$A$5:$A$2000,"&lt;="&amp;$A271)&gt;0,SUMIFS(Recepciones!$C$5:$C$2000,Recepciones!$B$5:$B$2000,Config!$A$24,Recepciones!$A$5:$A$2000,"&gt;"&amp;$A270,Recepciones!$A$5:$A$2000,"&lt;="&amp;$A271),MAX(0,F271-F270)))</f>
        <v/>
      </c>
      <c r="H271" s="24" t="str">
        <f aca="false">IF($A271="","",MAX(0,F270+G271-F271))</f>
        <v/>
      </c>
      <c r="I271" s="24" t="str">
        <f aca="false">IF($A271="","",Stock_Diario!G271)</f>
        <v/>
      </c>
      <c r="J271" s="24" t="str">
        <f aca="false">IF($A271="","",IF(SUMIFS(Recepciones!$C$5:$C$2000,Recepciones!$B$5:$B$2000,Config!$A$25,Recepciones!$A$5:$A$2000,"&gt;"&amp;$A270,Recepciones!$A$5:$A$2000,"&lt;="&amp;$A271)&gt;0,SUMIFS(Recepciones!$C$5:$C$2000,Recepciones!$B$5:$B$2000,Config!$A$25,Recepciones!$A$5:$A$2000,"&gt;"&amp;$A270,Recepciones!$A$5:$A$2000,"&lt;="&amp;$A271),MAX(0,I271-I270)))</f>
        <v/>
      </c>
      <c r="K271" s="24" t="str">
        <f aca="false">IF($A271="","",MAX(0,I270+J271-I271))</f>
        <v/>
      </c>
      <c r="L271" s="24" t="str">
        <f aca="false">IF($A271="","",E271+H271+K271)</f>
        <v/>
      </c>
      <c r="M271" s="4" t="str">
        <f aca="false">IF($A271="","",IF(AND(D271+G271+J271&gt;0,SUMIFS(Recepciones!$C$5:$C$2000,Recepciones!$A$5:$A$2000,"&gt;"&amp;$A270,Recepciones!$A$5:$A$2000,"&lt;="&amp;$A271)=0),"Aumento de stock sin recepción registrada",IF(B271&gt;1,"Intervalo de "&amp;B271&amp;" días","")))</f>
        <v/>
      </c>
    </row>
    <row r="272" customFormat="false" ht="15" hidden="false" customHeight="false" outlineLevel="0" collapsed="false">
      <c r="A272" s="5" t="str">
        <f aca="false">IF(Stock_Diario!A272="","",Stock_Diario!A272)</f>
        <v/>
      </c>
      <c r="B272" s="4" t="str">
        <f aca="false">IF($A272="","",$A272-$A271)</f>
        <v/>
      </c>
      <c r="C272" s="24" t="str">
        <f aca="false">IF($A272="","",Stock_Diario!E272)</f>
        <v/>
      </c>
      <c r="D272" s="24" t="str">
        <f aca="false">IF($A272="","",IF(SUMIFS(Recepciones!$C$5:$C$2000,Recepciones!$B$5:$B$2000,Config!$A$23,Recepciones!$A$5:$A$2000,"&gt;"&amp;$A271,Recepciones!$A$5:$A$2000,"&lt;="&amp;$A272)&gt;0,SUMIFS(Recepciones!$C$5:$C$2000,Recepciones!$B$5:$B$2000,Config!$A$23,Recepciones!$A$5:$A$2000,"&gt;"&amp;$A271,Recepciones!$A$5:$A$2000,"&lt;="&amp;$A272),MAX(0,C272-C271)))</f>
        <v/>
      </c>
      <c r="E272" s="24" t="str">
        <f aca="false">IF($A272="","",MAX(0,C271+D272-C272))</f>
        <v/>
      </c>
      <c r="F272" s="24" t="str">
        <f aca="false">IF($A272="","",Stock_Diario!F272)</f>
        <v/>
      </c>
      <c r="G272" s="24" t="str">
        <f aca="false">IF($A272="","",IF(SUMIFS(Recepciones!$C$5:$C$2000,Recepciones!$B$5:$B$2000,Config!$A$24,Recepciones!$A$5:$A$2000,"&gt;"&amp;$A271,Recepciones!$A$5:$A$2000,"&lt;="&amp;$A272)&gt;0,SUMIFS(Recepciones!$C$5:$C$2000,Recepciones!$B$5:$B$2000,Config!$A$24,Recepciones!$A$5:$A$2000,"&gt;"&amp;$A271,Recepciones!$A$5:$A$2000,"&lt;="&amp;$A272),MAX(0,F272-F271)))</f>
        <v/>
      </c>
      <c r="H272" s="24" t="str">
        <f aca="false">IF($A272="","",MAX(0,F271+G272-F272))</f>
        <v/>
      </c>
      <c r="I272" s="24" t="str">
        <f aca="false">IF($A272="","",Stock_Diario!G272)</f>
        <v/>
      </c>
      <c r="J272" s="24" t="str">
        <f aca="false">IF($A272="","",IF(SUMIFS(Recepciones!$C$5:$C$2000,Recepciones!$B$5:$B$2000,Config!$A$25,Recepciones!$A$5:$A$2000,"&gt;"&amp;$A271,Recepciones!$A$5:$A$2000,"&lt;="&amp;$A272)&gt;0,SUMIFS(Recepciones!$C$5:$C$2000,Recepciones!$B$5:$B$2000,Config!$A$25,Recepciones!$A$5:$A$2000,"&gt;"&amp;$A271,Recepciones!$A$5:$A$2000,"&lt;="&amp;$A272),MAX(0,I272-I271)))</f>
        <v/>
      </c>
      <c r="K272" s="24" t="str">
        <f aca="false">IF($A272="","",MAX(0,I271+J272-I272))</f>
        <v/>
      </c>
      <c r="L272" s="24" t="str">
        <f aca="false">IF($A272="","",E272+H272+K272)</f>
        <v/>
      </c>
      <c r="M272" s="4" t="str">
        <f aca="false">IF($A272="","",IF(AND(D272+G272+J272&gt;0,SUMIFS(Recepciones!$C$5:$C$2000,Recepciones!$A$5:$A$2000,"&gt;"&amp;$A271,Recepciones!$A$5:$A$2000,"&lt;="&amp;$A272)=0),"Aumento de stock sin recepción registrada",IF(B272&gt;1,"Intervalo de "&amp;B272&amp;" días","")))</f>
        <v/>
      </c>
    </row>
    <row r="273" customFormat="false" ht="15" hidden="false" customHeight="false" outlineLevel="0" collapsed="false">
      <c r="A273" s="5" t="str">
        <f aca="false">IF(Stock_Diario!A273="","",Stock_Diario!A273)</f>
        <v/>
      </c>
      <c r="B273" s="4" t="str">
        <f aca="false">IF($A273="","",$A273-$A272)</f>
        <v/>
      </c>
      <c r="C273" s="24" t="str">
        <f aca="false">IF($A273="","",Stock_Diario!E273)</f>
        <v/>
      </c>
      <c r="D273" s="24" t="str">
        <f aca="false">IF($A273="","",IF(SUMIFS(Recepciones!$C$5:$C$2000,Recepciones!$B$5:$B$2000,Config!$A$23,Recepciones!$A$5:$A$2000,"&gt;"&amp;$A272,Recepciones!$A$5:$A$2000,"&lt;="&amp;$A273)&gt;0,SUMIFS(Recepciones!$C$5:$C$2000,Recepciones!$B$5:$B$2000,Config!$A$23,Recepciones!$A$5:$A$2000,"&gt;"&amp;$A272,Recepciones!$A$5:$A$2000,"&lt;="&amp;$A273),MAX(0,C273-C272)))</f>
        <v/>
      </c>
      <c r="E273" s="24" t="str">
        <f aca="false">IF($A273="","",MAX(0,C272+D273-C273))</f>
        <v/>
      </c>
      <c r="F273" s="24" t="str">
        <f aca="false">IF($A273="","",Stock_Diario!F273)</f>
        <v/>
      </c>
      <c r="G273" s="24" t="str">
        <f aca="false">IF($A273="","",IF(SUMIFS(Recepciones!$C$5:$C$2000,Recepciones!$B$5:$B$2000,Config!$A$24,Recepciones!$A$5:$A$2000,"&gt;"&amp;$A272,Recepciones!$A$5:$A$2000,"&lt;="&amp;$A273)&gt;0,SUMIFS(Recepciones!$C$5:$C$2000,Recepciones!$B$5:$B$2000,Config!$A$24,Recepciones!$A$5:$A$2000,"&gt;"&amp;$A272,Recepciones!$A$5:$A$2000,"&lt;="&amp;$A273),MAX(0,F273-F272)))</f>
        <v/>
      </c>
      <c r="H273" s="24" t="str">
        <f aca="false">IF($A273="","",MAX(0,F272+G273-F273))</f>
        <v/>
      </c>
      <c r="I273" s="24" t="str">
        <f aca="false">IF($A273="","",Stock_Diario!G273)</f>
        <v/>
      </c>
      <c r="J273" s="24" t="str">
        <f aca="false">IF($A273="","",IF(SUMIFS(Recepciones!$C$5:$C$2000,Recepciones!$B$5:$B$2000,Config!$A$25,Recepciones!$A$5:$A$2000,"&gt;"&amp;$A272,Recepciones!$A$5:$A$2000,"&lt;="&amp;$A273)&gt;0,SUMIFS(Recepciones!$C$5:$C$2000,Recepciones!$B$5:$B$2000,Config!$A$25,Recepciones!$A$5:$A$2000,"&gt;"&amp;$A272,Recepciones!$A$5:$A$2000,"&lt;="&amp;$A273),MAX(0,I273-I272)))</f>
        <v/>
      </c>
      <c r="K273" s="24" t="str">
        <f aca="false">IF($A273="","",MAX(0,I272+J273-I273))</f>
        <v/>
      </c>
      <c r="L273" s="24" t="str">
        <f aca="false">IF($A273="","",E273+H273+K273)</f>
        <v/>
      </c>
      <c r="M273" s="4" t="str">
        <f aca="false">IF($A273="","",IF(AND(D273+G273+J273&gt;0,SUMIFS(Recepciones!$C$5:$C$2000,Recepciones!$A$5:$A$2000,"&gt;"&amp;$A272,Recepciones!$A$5:$A$2000,"&lt;="&amp;$A273)=0),"Aumento de stock sin recepción registrada",IF(B273&gt;1,"Intervalo de "&amp;B273&amp;" días","")))</f>
        <v/>
      </c>
    </row>
    <row r="274" customFormat="false" ht="15" hidden="false" customHeight="false" outlineLevel="0" collapsed="false">
      <c r="A274" s="5" t="str">
        <f aca="false">IF(Stock_Diario!A274="","",Stock_Diario!A274)</f>
        <v/>
      </c>
      <c r="B274" s="4" t="str">
        <f aca="false">IF($A274="","",$A274-$A273)</f>
        <v/>
      </c>
      <c r="C274" s="24" t="str">
        <f aca="false">IF($A274="","",Stock_Diario!E274)</f>
        <v/>
      </c>
      <c r="D274" s="24" t="str">
        <f aca="false">IF($A274="","",IF(SUMIFS(Recepciones!$C$5:$C$2000,Recepciones!$B$5:$B$2000,Config!$A$23,Recepciones!$A$5:$A$2000,"&gt;"&amp;$A273,Recepciones!$A$5:$A$2000,"&lt;="&amp;$A274)&gt;0,SUMIFS(Recepciones!$C$5:$C$2000,Recepciones!$B$5:$B$2000,Config!$A$23,Recepciones!$A$5:$A$2000,"&gt;"&amp;$A273,Recepciones!$A$5:$A$2000,"&lt;="&amp;$A274),MAX(0,C274-C273)))</f>
        <v/>
      </c>
      <c r="E274" s="24" t="str">
        <f aca="false">IF($A274="","",MAX(0,C273+D274-C274))</f>
        <v/>
      </c>
      <c r="F274" s="24" t="str">
        <f aca="false">IF($A274="","",Stock_Diario!F274)</f>
        <v/>
      </c>
      <c r="G274" s="24" t="str">
        <f aca="false">IF($A274="","",IF(SUMIFS(Recepciones!$C$5:$C$2000,Recepciones!$B$5:$B$2000,Config!$A$24,Recepciones!$A$5:$A$2000,"&gt;"&amp;$A273,Recepciones!$A$5:$A$2000,"&lt;="&amp;$A274)&gt;0,SUMIFS(Recepciones!$C$5:$C$2000,Recepciones!$B$5:$B$2000,Config!$A$24,Recepciones!$A$5:$A$2000,"&gt;"&amp;$A273,Recepciones!$A$5:$A$2000,"&lt;="&amp;$A274),MAX(0,F274-F273)))</f>
        <v/>
      </c>
      <c r="H274" s="24" t="str">
        <f aca="false">IF($A274="","",MAX(0,F273+G274-F274))</f>
        <v/>
      </c>
      <c r="I274" s="24" t="str">
        <f aca="false">IF($A274="","",Stock_Diario!G274)</f>
        <v/>
      </c>
      <c r="J274" s="24" t="str">
        <f aca="false">IF($A274="","",IF(SUMIFS(Recepciones!$C$5:$C$2000,Recepciones!$B$5:$B$2000,Config!$A$25,Recepciones!$A$5:$A$2000,"&gt;"&amp;$A273,Recepciones!$A$5:$A$2000,"&lt;="&amp;$A274)&gt;0,SUMIFS(Recepciones!$C$5:$C$2000,Recepciones!$B$5:$B$2000,Config!$A$25,Recepciones!$A$5:$A$2000,"&gt;"&amp;$A273,Recepciones!$A$5:$A$2000,"&lt;="&amp;$A274),MAX(0,I274-I273)))</f>
        <v/>
      </c>
      <c r="K274" s="24" t="str">
        <f aca="false">IF($A274="","",MAX(0,I273+J274-I274))</f>
        <v/>
      </c>
      <c r="L274" s="24" t="str">
        <f aca="false">IF($A274="","",E274+H274+K274)</f>
        <v/>
      </c>
      <c r="M274" s="4" t="str">
        <f aca="false">IF($A274="","",IF(AND(D274+G274+J274&gt;0,SUMIFS(Recepciones!$C$5:$C$2000,Recepciones!$A$5:$A$2000,"&gt;"&amp;$A273,Recepciones!$A$5:$A$2000,"&lt;="&amp;$A274)=0),"Aumento de stock sin recepción registrada",IF(B274&gt;1,"Intervalo de "&amp;B274&amp;" días","")))</f>
        <v/>
      </c>
    </row>
    <row r="275" customFormat="false" ht="15" hidden="false" customHeight="false" outlineLevel="0" collapsed="false">
      <c r="A275" s="5" t="str">
        <f aca="false">IF(Stock_Diario!A275="","",Stock_Diario!A275)</f>
        <v/>
      </c>
      <c r="B275" s="4" t="str">
        <f aca="false">IF($A275="","",$A275-$A274)</f>
        <v/>
      </c>
      <c r="C275" s="24" t="str">
        <f aca="false">IF($A275="","",Stock_Diario!E275)</f>
        <v/>
      </c>
      <c r="D275" s="24" t="str">
        <f aca="false">IF($A275="","",IF(SUMIFS(Recepciones!$C$5:$C$2000,Recepciones!$B$5:$B$2000,Config!$A$23,Recepciones!$A$5:$A$2000,"&gt;"&amp;$A274,Recepciones!$A$5:$A$2000,"&lt;="&amp;$A275)&gt;0,SUMIFS(Recepciones!$C$5:$C$2000,Recepciones!$B$5:$B$2000,Config!$A$23,Recepciones!$A$5:$A$2000,"&gt;"&amp;$A274,Recepciones!$A$5:$A$2000,"&lt;="&amp;$A275),MAX(0,C275-C274)))</f>
        <v/>
      </c>
      <c r="E275" s="24" t="str">
        <f aca="false">IF($A275="","",MAX(0,C274+D275-C275))</f>
        <v/>
      </c>
      <c r="F275" s="24" t="str">
        <f aca="false">IF($A275="","",Stock_Diario!F275)</f>
        <v/>
      </c>
      <c r="G275" s="24" t="str">
        <f aca="false">IF($A275="","",IF(SUMIFS(Recepciones!$C$5:$C$2000,Recepciones!$B$5:$B$2000,Config!$A$24,Recepciones!$A$5:$A$2000,"&gt;"&amp;$A274,Recepciones!$A$5:$A$2000,"&lt;="&amp;$A275)&gt;0,SUMIFS(Recepciones!$C$5:$C$2000,Recepciones!$B$5:$B$2000,Config!$A$24,Recepciones!$A$5:$A$2000,"&gt;"&amp;$A274,Recepciones!$A$5:$A$2000,"&lt;="&amp;$A275),MAX(0,F275-F274)))</f>
        <v/>
      </c>
      <c r="H275" s="24" t="str">
        <f aca="false">IF($A275="","",MAX(0,F274+G275-F275))</f>
        <v/>
      </c>
      <c r="I275" s="24" t="str">
        <f aca="false">IF($A275="","",Stock_Diario!G275)</f>
        <v/>
      </c>
      <c r="J275" s="24" t="str">
        <f aca="false">IF($A275="","",IF(SUMIFS(Recepciones!$C$5:$C$2000,Recepciones!$B$5:$B$2000,Config!$A$25,Recepciones!$A$5:$A$2000,"&gt;"&amp;$A274,Recepciones!$A$5:$A$2000,"&lt;="&amp;$A275)&gt;0,SUMIFS(Recepciones!$C$5:$C$2000,Recepciones!$B$5:$B$2000,Config!$A$25,Recepciones!$A$5:$A$2000,"&gt;"&amp;$A274,Recepciones!$A$5:$A$2000,"&lt;="&amp;$A275),MAX(0,I275-I274)))</f>
        <v/>
      </c>
      <c r="K275" s="24" t="str">
        <f aca="false">IF($A275="","",MAX(0,I274+J275-I275))</f>
        <v/>
      </c>
      <c r="L275" s="24" t="str">
        <f aca="false">IF($A275="","",E275+H275+K275)</f>
        <v/>
      </c>
      <c r="M275" s="4" t="str">
        <f aca="false">IF($A275="","",IF(AND(D275+G275+J275&gt;0,SUMIFS(Recepciones!$C$5:$C$2000,Recepciones!$A$5:$A$2000,"&gt;"&amp;$A274,Recepciones!$A$5:$A$2000,"&lt;="&amp;$A275)=0),"Aumento de stock sin recepción registrada",IF(B275&gt;1,"Intervalo de "&amp;B275&amp;" días","")))</f>
        <v/>
      </c>
    </row>
    <row r="276" customFormat="false" ht="15" hidden="false" customHeight="false" outlineLevel="0" collapsed="false">
      <c r="A276" s="5" t="str">
        <f aca="false">IF(Stock_Diario!A276="","",Stock_Diario!A276)</f>
        <v/>
      </c>
      <c r="B276" s="4" t="str">
        <f aca="false">IF($A276="","",$A276-$A275)</f>
        <v/>
      </c>
      <c r="C276" s="24" t="str">
        <f aca="false">IF($A276="","",Stock_Diario!E276)</f>
        <v/>
      </c>
      <c r="D276" s="24" t="str">
        <f aca="false">IF($A276="","",IF(SUMIFS(Recepciones!$C$5:$C$2000,Recepciones!$B$5:$B$2000,Config!$A$23,Recepciones!$A$5:$A$2000,"&gt;"&amp;$A275,Recepciones!$A$5:$A$2000,"&lt;="&amp;$A276)&gt;0,SUMIFS(Recepciones!$C$5:$C$2000,Recepciones!$B$5:$B$2000,Config!$A$23,Recepciones!$A$5:$A$2000,"&gt;"&amp;$A275,Recepciones!$A$5:$A$2000,"&lt;="&amp;$A276),MAX(0,C276-C275)))</f>
        <v/>
      </c>
      <c r="E276" s="24" t="str">
        <f aca="false">IF($A276="","",MAX(0,C275+D276-C276))</f>
        <v/>
      </c>
      <c r="F276" s="24" t="str">
        <f aca="false">IF($A276="","",Stock_Diario!F276)</f>
        <v/>
      </c>
      <c r="G276" s="24" t="str">
        <f aca="false">IF($A276="","",IF(SUMIFS(Recepciones!$C$5:$C$2000,Recepciones!$B$5:$B$2000,Config!$A$24,Recepciones!$A$5:$A$2000,"&gt;"&amp;$A275,Recepciones!$A$5:$A$2000,"&lt;="&amp;$A276)&gt;0,SUMIFS(Recepciones!$C$5:$C$2000,Recepciones!$B$5:$B$2000,Config!$A$24,Recepciones!$A$5:$A$2000,"&gt;"&amp;$A275,Recepciones!$A$5:$A$2000,"&lt;="&amp;$A276),MAX(0,F276-F275)))</f>
        <v/>
      </c>
      <c r="H276" s="24" t="str">
        <f aca="false">IF($A276="","",MAX(0,F275+G276-F276))</f>
        <v/>
      </c>
      <c r="I276" s="24" t="str">
        <f aca="false">IF($A276="","",Stock_Diario!G276)</f>
        <v/>
      </c>
      <c r="J276" s="24" t="str">
        <f aca="false">IF($A276="","",IF(SUMIFS(Recepciones!$C$5:$C$2000,Recepciones!$B$5:$B$2000,Config!$A$25,Recepciones!$A$5:$A$2000,"&gt;"&amp;$A275,Recepciones!$A$5:$A$2000,"&lt;="&amp;$A276)&gt;0,SUMIFS(Recepciones!$C$5:$C$2000,Recepciones!$B$5:$B$2000,Config!$A$25,Recepciones!$A$5:$A$2000,"&gt;"&amp;$A275,Recepciones!$A$5:$A$2000,"&lt;="&amp;$A276),MAX(0,I276-I275)))</f>
        <v/>
      </c>
      <c r="K276" s="24" t="str">
        <f aca="false">IF($A276="","",MAX(0,I275+J276-I276))</f>
        <v/>
      </c>
      <c r="L276" s="24" t="str">
        <f aca="false">IF($A276="","",E276+H276+K276)</f>
        <v/>
      </c>
      <c r="M276" s="4" t="str">
        <f aca="false">IF($A276="","",IF(AND(D276+G276+J276&gt;0,SUMIFS(Recepciones!$C$5:$C$2000,Recepciones!$A$5:$A$2000,"&gt;"&amp;$A275,Recepciones!$A$5:$A$2000,"&lt;="&amp;$A276)=0),"Aumento de stock sin recepción registrada",IF(B276&gt;1,"Intervalo de "&amp;B276&amp;" días","")))</f>
        <v/>
      </c>
    </row>
    <row r="277" customFormat="false" ht="15" hidden="false" customHeight="false" outlineLevel="0" collapsed="false">
      <c r="A277" s="5" t="str">
        <f aca="false">IF(Stock_Diario!A277="","",Stock_Diario!A277)</f>
        <v/>
      </c>
      <c r="B277" s="4" t="str">
        <f aca="false">IF($A277="","",$A277-$A276)</f>
        <v/>
      </c>
      <c r="C277" s="24" t="str">
        <f aca="false">IF($A277="","",Stock_Diario!E277)</f>
        <v/>
      </c>
      <c r="D277" s="24" t="str">
        <f aca="false">IF($A277="","",IF(SUMIFS(Recepciones!$C$5:$C$2000,Recepciones!$B$5:$B$2000,Config!$A$23,Recepciones!$A$5:$A$2000,"&gt;"&amp;$A276,Recepciones!$A$5:$A$2000,"&lt;="&amp;$A277)&gt;0,SUMIFS(Recepciones!$C$5:$C$2000,Recepciones!$B$5:$B$2000,Config!$A$23,Recepciones!$A$5:$A$2000,"&gt;"&amp;$A276,Recepciones!$A$5:$A$2000,"&lt;="&amp;$A277),MAX(0,C277-C276)))</f>
        <v/>
      </c>
      <c r="E277" s="24" t="str">
        <f aca="false">IF($A277="","",MAX(0,C276+D277-C277))</f>
        <v/>
      </c>
      <c r="F277" s="24" t="str">
        <f aca="false">IF($A277="","",Stock_Diario!F277)</f>
        <v/>
      </c>
      <c r="G277" s="24" t="str">
        <f aca="false">IF($A277="","",IF(SUMIFS(Recepciones!$C$5:$C$2000,Recepciones!$B$5:$B$2000,Config!$A$24,Recepciones!$A$5:$A$2000,"&gt;"&amp;$A276,Recepciones!$A$5:$A$2000,"&lt;="&amp;$A277)&gt;0,SUMIFS(Recepciones!$C$5:$C$2000,Recepciones!$B$5:$B$2000,Config!$A$24,Recepciones!$A$5:$A$2000,"&gt;"&amp;$A276,Recepciones!$A$5:$A$2000,"&lt;="&amp;$A277),MAX(0,F277-F276)))</f>
        <v/>
      </c>
      <c r="H277" s="24" t="str">
        <f aca="false">IF($A277="","",MAX(0,F276+G277-F277))</f>
        <v/>
      </c>
      <c r="I277" s="24" t="str">
        <f aca="false">IF($A277="","",Stock_Diario!G277)</f>
        <v/>
      </c>
      <c r="J277" s="24" t="str">
        <f aca="false">IF($A277="","",IF(SUMIFS(Recepciones!$C$5:$C$2000,Recepciones!$B$5:$B$2000,Config!$A$25,Recepciones!$A$5:$A$2000,"&gt;"&amp;$A276,Recepciones!$A$5:$A$2000,"&lt;="&amp;$A277)&gt;0,SUMIFS(Recepciones!$C$5:$C$2000,Recepciones!$B$5:$B$2000,Config!$A$25,Recepciones!$A$5:$A$2000,"&gt;"&amp;$A276,Recepciones!$A$5:$A$2000,"&lt;="&amp;$A277),MAX(0,I277-I276)))</f>
        <v/>
      </c>
      <c r="K277" s="24" t="str">
        <f aca="false">IF($A277="","",MAX(0,I276+J277-I277))</f>
        <v/>
      </c>
      <c r="L277" s="24" t="str">
        <f aca="false">IF($A277="","",E277+H277+K277)</f>
        <v/>
      </c>
      <c r="M277" s="4" t="str">
        <f aca="false">IF($A277="","",IF(AND(D277+G277+J277&gt;0,SUMIFS(Recepciones!$C$5:$C$2000,Recepciones!$A$5:$A$2000,"&gt;"&amp;$A276,Recepciones!$A$5:$A$2000,"&lt;="&amp;$A277)=0),"Aumento de stock sin recepción registrada",IF(B277&gt;1,"Intervalo de "&amp;B277&amp;" días","")))</f>
        <v/>
      </c>
    </row>
    <row r="278" customFormat="false" ht="15" hidden="false" customHeight="false" outlineLevel="0" collapsed="false">
      <c r="A278" s="5" t="str">
        <f aca="false">IF(Stock_Diario!A278="","",Stock_Diario!A278)</f>
        <v/>
      </c>
      <c r="B278" s="4" t="str">
        <f aca="false">IF($A278="","",$A278-$A277)</f>
        <v/>
      </c>
      <c r="C278" s="24" t="str">
        <f aca="false">IF($A278="","",Stock_Diario!E278)</f>
        <v/>
      </c>
      <c r="D278" s="24" t="str">
        <f aca="false">IF($A278="","",IF(SUMIFS(Recepciones!$C$5:$C$2000,Recepciones!$B$5:$B$2000,Config!$A$23,Recepciones!$A$5:$A$2000,"&gt;"&amp;$A277,Recepciones!$A$5:$A$2000,"&lt;="&amp;$A278)&gt;0,SUMIFS(Recepciones!$C$5:$C$2000,Recepciones!$B$5:$B$2000,Config!$A$23,Recepciones!$A$5:$A$2000,"&gt;"&amp;$A277,Recepciones!$A$5:$A$2000,"&lt;="&amp;$A278),MAX(0,C278-C277)))</f>
        <v/>
      </c>
      <c r="E278" s="24" t="str">
        <f aca="false">IF($A278="","",MAX(0,C277+D278-C278))</f>
        <v/>
      </c>
      <c r="F278" s="24" t="str">
        <f aca="false">IF($A278="","",Stock_Diario!F278)</f>
        <v/>
      </c>
      <c r="G278" s="24" t="str">
        <f aca="false">IF($A278="","",IF(SUMIFS(Recepciones!$C$5:$C$2000,Recepciones!$B$5:$B$2000,Config!$A$24,Recepciones!$A$5:$A$2000,"&gt;"&amp;$A277,Recepciones!$A$5:$A$2000,"&lt;="&amp;$A278)&gt;0,SUMIFS(Recepciones!$C$5:$C$2000,Recepciones!$B$5:$B$2000,Config!$A$24,Recepciones!$A$5:$A$2000,"&gt;"&amp;$A277,Recepciones!$A$5:$A$2000,"&lt;="&amp;$A278),MAX(0,F278-F277)))</f>
        <v/>
      </c>
      <c r="H278" s="24" t="str">
        <f aca="false">IF($A278="","",MAX(0,F277+G278-F278))</f>
        <v/>
      </c>
      <c r="I278" s="24" t="str">
        <f aca="false">IF($A278="","",Stock_Diario!G278)</f>
        <v/>
      </c>
      <c r="J278" s="24" t="str">
        <f aca="false">IF($A278="","",IF(SUMIFS(Recepciones!$C$5:$C$2000,Recepciones!$B$5:$B$2000,Config!$A$25,Recepciones!$A$5:$A$2000,"&gt;"&amp;$A277,Recepciones!$A$5:$A$2000,"&lt;="&amp;$A278)&gt;0,SUMIFS(Recepciones!$C$5:$C$2000,Recepciones!$B$5:$B$2000,Config!$A$25,Recepciones!$A$5:$A$2000,"&gt;"&amp;$A277,Recepciones!$A$5:$A$2000,"&lt;="&amp;$A278),MAX(0,I278-I277)))</f>
        <v/>
      </c>
      <c r="K278" s="24" t="str">
        <f aca="false">IF($A278="","",MAX(0,I277+J278-I278))</f>
        <v/>
      </c>
      <c r="L278" s="24" t="str">
        <f aca="false">IF($A278="","",E278+H278+K278)</f>
        <v/>
      </c>
      <c r="M278" s="4" t="str">
        <f aca="false">IF($A278="","",IF(AND(D278+G278+J278&gt;0,SUMIFS(Recepciones!$C$5:$C$2000,Recepciones!$A$5:$A$2000,"&gt;"&amp;$A277,Recepciones!$A$5:$A$2000,"&lt;="&amp;$A278)=0),"Aumento de stock sin recepción registrada",IF(B278&gt;1,"Intervalo de "&amp;B278&amp;" días","")))</f>
        <v/>
      </c>
    </row>
    <row r="279" customFormat="false" ht="15" hidden="false" customHeight="false" outlineLevel="0" collapsed="false">
      <c r="A279" s="5" t="str">
        <f aca="false">IF(Stock_Diario!A279="","",Stock_Diario!A279)</f>
        <v/>
      </c>
      <c r="B279" s="4" t="str">
        <f aca="false">IF($A279="","",$A279-$A278)</f>
        <v/>
      </c>
      <c r="C279" s="24" t="str">
        <f aca="false">IF($A279="","",Stock_Diario!E279)</f>
        <v/>
      </c>
      <c r="D279" s="24" t="str">
        <f aca="false">IF($A279="","",IF(SUMIFS(Recepciones!$C$5:$C$2000,Recepciones!$B$5:$B$2000,Config!$A$23,Recepciones!$A$5:$A$2000,"&gt;"&amp;$A278,Recepciones!$A$5:$A$2000,"&lt;="&amp;$A279)&gt;0,SUMIFS(Recepciones!$C$5:$C$2000,Recepciones!$B$5:$B$2000,Config!$A$23,Recepciones!$A$5:$A$2000,"&gt;"&amp;$A278,Recepciones!$A$5:$A$2000,"&lt;="&amp;$A279),MAX(0,C279-C278)))</f>
        <v/>
      </c>
      <c r="E279" s="24" t="str">
        <f aca="false">IF($A279="","",MAX(0,C278+D279-C279))</f>
        <v/>
      </c>
      <c r="F279" s="24" t="str">
        <f aca="false">IF($A279="","",Stock_Diario!F279)</f>
        <v/>
      </c>
      <c r="G279" s="24" t="str">
        <f aca="false">IF($A279="","",IF(SUMIFS(Recepciones!$C$5:$C$2000,Recepciones!$B$5:$B$2000,Config!$A$24,Recepciones!$A$5:$A$2000,"&gt;"&amp;$A278,Recepciones!$A$5:$A$2000,"&lt;="&amp;$A279)&gt;0,SUMIFS(Recepciones!$C$5:$C$2000,Recepciones!$B$5:$B$2000,Config!$A$24,Recepciones!$A$5:$A$2000,"&gt;"&amp;$A278,Recepciones!$A$5:$A$2000,"&lt;="&amp;$A279),MAX(0,F279-F278)))</f>
        <v/>
      </c>
      <c r="H279" s="24" t="str">
        <f aca="false">IF($A279="","",MAX(0,F278+G279-F279))</f>
        <v/>
      </c>
      <c r="I279" s="24" t="str">
        <f aca="false">IF($A279="","",Stock_Diario!G279)</f>
        <v/>
      </c>
      <c r="J279" s="24" t="str">
        <f aca="false">IF($A279="","",IF(SUMIFS(Recepciones!$C$5:$C$2000,Recepciones!$B$5:$B$2000,Config!$A$25,Recepciones!$A$5:$A$2000,"&gt;"&amp;$A278,Recepciones!$A$5:$A$2000,"&lt;="&amp;$A279)&gt;0,SUMIFS(Recepciones!$C$5:$C$2000,Recepciones!$B$5:$B$2000,Config!$A$25,Recepciones!$A$5:$A$2000,"&gt;"&amp;$A278,Recepciones!$A$5:$A$2000,"&lt;="&amp;$A279),MAX(0,I279-I278)))</f>
        <v/>
      </c>
      <c r="K279" s="24" t="str">
        <f aca="false">IF($A279="","",MAX(0,I278+J279-I279))</f>
        <v/>
      </c>
      <c r="L279" s="24" t="str">
        <f aca="false">IF($A279="","",E279+H279+K279)</f>
        <v/>
      </c>
      <c r="M279" s="4" t="str">
        <f aca="false">IF($A279="","",IF(AND(D279+G279+J279&gt;0,SUMIFS(Recepciones!$C$5:$C$2000,Recepciones!$A$5:$A$2000,"&gt;"&amp;$A278,Recepciones!$A$5:$A$2000,"&lt;="&amp;$A279)=0),"Aumento de stock sin recepción registrada",IF(B279&gt;1,"Intervalo de "&amp;B279&amp;" días","")))</f>
        <v/>
      </c>
    </row>
    <row r="280" customFormat="false" ht="15" hidden="false" customHeight="false" outlineLevel="0" collapsed="false">
      <c r="A280" s="5" t="str">
        <f aca="false">IF(Stock_Diario!A280="","",Stock_Diario!A280)</f>
        <v/>
      </c>
      <c r="B280" s="4" t="str">
        <f aca="false">IF($A280="","",$A280-$A279)</f>
        <v/>
      </c>
      <c r="C280" s="24" t="str">
        <f aca="false">IF($A280="","",Stock_Diario!E280)</f>
        <v/>
      </c>
      <c r="D280" s="24" t="str">
        <f aca="false">IF($A280="","",IF(SUMIFS(Recepciones!$C$5:$C$2000,Recepciones!$B$5:$B$2000,Config!$A$23,Recepciones!$A$5:$A$2000,"&gt;"&amp;$A279,Recepciones!$A$5:$A$2000,"&lt;="&amp;$A280)&gt;0,SUMIFS(Recepciones!$C$5:$C$2000,Recepciones!$B$5:$B$2000,Config!$A$23,Recepciones!$A$5:$A$2000,"&gt;"&amp;$A279,Recepciones!$A$5:$A$2000,"&lt;="&amp;$A280),MAX(0,C280-C279)))</f>
        <v/>
      </c>
      <c r="E280" s="24" t="str">
        <f aca="false">IF($A280="","",MAX(0,C279+D280-C280))</f>
        <v/>
      </c>
      <c r="F280" s="24" t="str">
        <f aca="false">IF($A280="","",Stock_Diario!F280)</f>
        <v/>
      </c>
      <c r="G280" s="24" t="str">
        <f aca="false">IF($A280="","",IF(SUMIFS(Recepciones!$C$5:$C$2000,Recepciones!$B$5:$B$2000,Config!$A$24,Recepciones!$A$5:$A$2000,"&gt;"&amp;$A279,Recepciones!$A$5:$A$2000,"&lt;="&amp;$A280)&gt;0,SUMIFS(Recepciones!$C$5:$C$2000,Recepciones!$B$5:$B$2000,Config!$A$24,Recepciones!$A$5:$A$2000,"&gt;"&amp;$A279,Recepciones!$A$5:$A$2000,"&lt;="&amp;$A280),MAX(0,F280-F279)))</f>
        <v/>
      </c>
      <c r="H280" s="24" t="str">
        <f aca="false">IF($A280="","",MAX(0,F279+G280-F280))</f>
        <v/>
      </c>
      <c r="I280" s="24" t="str">
        <f aca="false">IF($A280="","",Stock_Diario!G280)</f>
        <v/>
      </c>
      <c r="J280" s="24" t="str">
        <f aca="false">IF($A280="","",IF(SUMIFS(Recepciones!$C$5:$C$2000,Recepciones!$B$5:$B$2000,Config!$A$25,Recepciones!$A$5:$A$2000,"&gt;"&amp;$A279,Recepciones!$A$5:$A$2000,"&lt;="&amp;$A280)&gt;0,SUMIFS(Recepciones!$C$5:$C$2000,Recepciones!$B$5:$B$2000,Config!$A$25,Recepciones!$A$5:$A$2000,"&gt;"&amp;$A279,Recepciones!$A$5:$A$2000,"&lt;="&amp;$A280),MAX(0,I280-I279)))</f>
        <v/>
      </c>
      <c r="K280" s="24" t="str">
        <f aca="false">IF($A280="","",MAX(0,I279+J280-I280))</f>
        <v/>
      </c>
      <c r="L280" s="24" t="str">
        <f aca="false">IF($A280="","",E280+H280+K280)</f>
        <v/>
      </c>
      <c r="M280" s="4" t="str">
        <f aca="false">IF($A280="","",IF(AND(D280+G280+J280&gt;0,SUMIFS(Recepciones!$C$5:$C$2000,Recepciones!$A$5:$A$2000,"&gt;"&amp;$A279,Recepciones!$A$5:$A$2000,"&lt;="&amp;$A280)=0),"Aumento de stock sin recepción registrada",IF(B280&gt;1,"Intervalo de "&amp;B280&amp;" días","")))</f>
        <v/>
      </c>
    </row>
    <row r="281" customFormat="false" ht="15" hidden="false" customHeight="false" outlineLevel="0" collapsed="false">
      <c r="A281" s="5" t="str">
        <f aca="false">IF(Stock_Diario!A281="","",Stock_Diario!A281)</f>
        <v/>
      </c>
      <c r="B281" s="4" t="str">
        <f aca="false">IF($A281="","",$A281-$A280)</f>
        <v/>
      </c>
      <c r="C281" s="24" t="str">
        <f aca="false">IF($A281="","",Stock_Diario!E281)</f>
        <v/>
      </c>
      <c r="D281" s="24" t="str">
        <f aca="false">IF($A281="","",IF(SUMIFS(Recepciones!$C$5:$C$2000,Recepciones!$B$5:$B$2000,Config!$A$23,Recepciones!$A$5:$A$2000,"&gt;"&amp;$A280,Recepciones!$A$5:$A$2000,"&lt;="&amp;$A281)&gt;0,SUMIFS(Recepciones!$C$5:$C$2000,Recepciones!$B$5:$B$2000,Config!$A$23,Recepciones!$A$5:$A$2000,"&gt;"&amp;$A280,Recepciones!$A$5:$A$2000,"&lt;="&amp;$A281),MAX(0,C281-C280)))</f>
        <v/>
      </c>
      <c r="E281" s="24" t="str">
        <f aca="false">IF($A281="","",MAX(0,C280+D281-C281))</f>
        <v/>
      </c>
      <c r="F281" s="24" t="str">
        <f aca="false">IF($A281="","",Stock_Diario!F281)</f>
        <v/>
      </c>
      <c r="G281" s="24" t="str">
        <f aca="false">IF($A281="","",IF(SUMIFS(Recepciones!$C$5:$C$2000,Recepciones!$B$5:$B$2000,Config!$A$24,Recepciones!$A$5:$A$2000,"&gt;"&amp;$A280,Recepciones!$A$5:$A$2000,"&lt;="&amp;$A281)&gt;0,SUMIFS(Recepciones!$C$5:$C$2000,Recepciones!$B$5:$B$2000,Config!$A$24,Recepciones!$A$5:$A$2000,"&gt;"&amp;$A280,Recepciones!$A$5:$A$2000,"&lt;="&amp;$A281),MAX(0,F281-F280)))</f>
        <v/>
      </c>
      <c r="H281" s="24" t="str">
        <f aca="false">IF($A281="","",MAX(0,F280+G281-F281))</f>
        <v/>
      </c>
      <c r="I281" s="24" t="str">
        <f aca="false">IF($A281="","",Stock_Diario!G281)</f>
        <v/>
      </c>
      <c r="J281" s="24" t="str">
        <f aca="false">IF($A281="","",IF(SUMIFS(Recepciones!$C$5:$C$2000,Recepciones!$B$5:$B$2000,Config!$A$25,Recepciones!$A$5:$A$2000,"&gt;"&amp;$A280,Recepciones!$A$5:$A$2000,"&lt;="&amp;$A281)&gt;0,SUMIFS(Recepciones!$C$5:$C$2000,Recepciones!$B$5:$B$2000,Config!$A$25,Recepciones!$A$5:$A$2000,"&gt;"&amp;$A280,Recepciones!$A$5:$A$2000,"&lt;="&amp;$A281),MAX(0,I281-I280)))</f>
        <v/>
      </c>
      <c r="K281" s="24" t="str">
        <f aca="false">IF($A281="","",MAX(0,I280+J281-I281))</f>
        <v/>
      </c>
      <c r="L281" s="24" t="str">
        <f aca="false">IF($A281="","",E281+H281+K281)</f>
        <v/>
      </c>
      <c r="M281" s="4" t="str">
        <f aca="false">IF($A281="","",IF(AND(D281+G281+J281&gt;0,SUMIFS(Recepciones!$C$5:$C$2000,Recepciones!$A$5:$A$2000,"&gt;"&amp;$A280,Recepciones!$A$5:$A$2000,"&lt;="&amp;$A281)=0),"Aumento de stock sin recepción registrada",IF(B281&gt;1,"Intervalo de "&amp;B281&amp;" días","")))</f>
        <v/>
      </c>
    </row>
    <row r="282" customFormat="false" ht="15" hidden="false" customHeight="false" outlineLevel="0" collapsed="false">
      <c r="A282" s="5" t="str">
        <f aca="false">IF(Stock_Diario!A282="","",Stock_Diario!A282)</f>
        <v/>
      </c>
      <c r="B282" s="4" t="str">
        <f aca="false">IF($A282="","",$A282-$A281)</f>
        <v/>
      </c>
      <c r="C282" s="24" t="str">
        <f aca="false">IF($A282="","",Stock_Diario!E282)</f>
        <v/>
      </c>
      <c r="D282" s="24" t="str">
        <f aca="false">IF($A282="","",IF(SUMIFS(Recepciones!$C$5:$C$2000,Recepciones!$B$5:$B$2000,Config!$A$23,Recepciones!$A$5:$A$2000,"&gt;"&amp;$A281,Recepciones!$A$5:$A$2000,"&lt;="&amp;$A282)&gt;0,SUMIFS(Recepciones!$C$5:$C$2000,Recepciones!$B$5:$B$2000,Config!$A$23,Recepciones!$A$5:$A$2000,"&gt;"&amp;$A281,Recepciones!$A$5:$A$2000,"&lt;="&amp;$A282),MAX(0,C282-C281)))</f>
        <v/>
      </c>
      <c r="E282" s="24" t="str">
        <f aca="false">IF($A282="","",MAX(0,C281+D282-C282))</f>
        <v/>
      </c>
      <c r="F282" s="24" t="str">
        <f aca="false">IF($A282="","",Stock_Diario!F282)</f>
        <v/>
      </c>
      <c r="G282" s="24" t="str">
        <f aca="false">IF($A282="","",IF(SUMIFS(Recepciones!$C$5:$C$2000,Recepciones!$B$5:$B$2000,Config!$A$24,Recepciones!$A$5:$A$2000,"&gt;"&amp;$A281,Recepciones!$A$5:$A$2000,"&lt;="&amp;$A282)&gt;0,SUMIFS(Recepciones!$C$5:$C$2000,Recepciones!$B$5:$B$2000,Config!$A$24,Recepciones!$A$5:$A$2000,"&gt;"&amp;$A281,Recepciones!$A$5:$A$2000,"&lt;="&amp;$A282),MAX(0,F282-F281)))</f>
        <v/>
      </c>
      <c r="H282" s="24" t="str">
        <f aca="false">IF($A282="","",MAX(0,F281+G282-F282))</f>
        <v/>
      </c>
      <c r="I282" s="24" t="str">
        <f aca="false">IF($A282="","",Stock_Diario!G282)</f>
        <v/>
      </c>
      <c r="J282" s="24" t="str">
        <f aca="false">IF($A282="","",IF(SUMIFS(Recepciones!$C$5:$C$2000,Recepciones!$B$5:$B$2000,Config!$A$25,Recepciones!$A$5:$A$2000,"&gt;"&amp;$A281,Recepciones!$A$5:$A$2000,"&lt;="&amp;$A282)&gt;0,SUMIFS(Recepciones!$C$5:$C$2000,Recepciones!$B$5:$B$2000,Config!$A$25,Recepciones!$A$5:$A$2000,"&gt;"&amp;$A281,Recepciones!$A$5:$A$2000,"&lt;="&amp;$A282),MAX(0,I282-I281)))</f>
        <v/>
      </c>
      <c r="K282" s="24" t="str">
        <f aca="false">IF($A282="","",MAX(0,I281+J282-I282))</f>
        <v/>
      </c>
      <c r="L282" s="24" t="str">
        <f aca="false">IF($A282="","",E282+H282+K282)</f>
        <v/>
      </c>
      <c r="M282" s="4" t="str">
        <f aca="false">IF($A282="","",IF(AND(D282+G282+J282&gt;0,SUMIFS(Recepciones!$C$5:$C$2000,Recepciones!$A$5:$A$2000,"&gt;"&amp;$A281,Recepciones!$A$5:$A$2000,"&lt;="&amp;$A282)=0),"Aumento de stock sin recepción registrada",IF(B282&gt;1,"Intervalo de "&amp;B282&amp;" días","")))</f>
        <v/>
      </c>
    </row>
    <row r="283" customFormat="false" ht="15" hidden="false" customHeight="false" outlineLevel="0" collapsed="false">
      <c r="A283" s="5" t="str">
        <f aca="false">IF(Stock_Diario!A283="","",Stock_Diario!A283)</f>
        <v/>
      </c>
      <c r="B283" s="4" t="str">
        <f aca="false">IF($A283="","",$A283-$A282)</f>
        <v/>
      </c>
      <c r="C283" s="24" t="str">
        <f aca="false">IF($A283="","",Stock_Diario!E283)</f>
        <v/>
      </c>
      <c r="D283" s="24" t="str">
        <f aca="false">IF($A283="","",IF(SUMIFS(Recepciones!$C$5:$C$2000,Recepciones!$B$5:$B$2000,Config!$A$23,Recepciones!$A$5:$A$2000,"&gt;"&amp;$A282,Recepciones!$A$5:$A$2000,"&lt;="&amp;$A283)&gt;0,SUMIFS(Recepciones!$C$5:$C$2000,Recepciones!$B$5:$B$2000,Config!$A$23,Recepciones!$A$5:$A$2000,"&gt;"&amp;$A282,Recepciones!$A$5:$A$2000,"&lt;="&amp;$A283),MAX(0,C283-C282)))</f>
        <v/>
      </c>
      <c r="E283" s="24" t="str">
        <f aca="false">IF($A283="","",MAX(0,C282+D283-C283))</f>
        <v/>
      </c>
      <c r="F283" s="24" t="str">
        <f aca="false">IF($A283="","",Stock_Diario!F283)</f>
        <v/>
      </c>
      <c r="G283" s="24" t="str">
        <f aca="false">IF($A283="","",IF(SUMIFS(Recepciones!$C$5:$C$2000,Recepciones!$B$5:$B$2000,Config!$A$24,Recepciones!$A$5:$A$2000,"&gt;"&amp;$A282,Recepciones!$A$5:$A$2000,"&lt;="&amp;$A283)&gt;0,SUMIFS(Recepciones!$C$5:$C$2000,Recepciones!$B$5:$B$2000,Config!$A$24,Recepciones!$A$5:$A$2000,"&gt;"&amp;$A282,Recepciones!$A$5:$A$2000,"&lt;="&amp;$A283),MAX(0,F283-F282)))</f>
        <v/>
      </c>
      <c r="H283" s="24" t="str">
        <f aca="false">IF($A283="","",MAX(0,F282+G283-F283))</f>
        <v/>
      </c>
      <c r="I283" s="24" t="str">
        <f aca="false">IF($A283="","",Stock_Diario!G283)</f>
        <v/>
      </c>
      <c r="J283" s="24" t="str">
        <f aca="false">IF($A283="","",IF(SUMIFS(Recepciones!$C$5:$C$2000,Recepciones!$B$5:$B$2000,Config!$A$25,Recepciones!$A$5:$A$2000,"&gt;"&amp;$A282,Recepciones!$A$5:$A$2000,"&lt;="&amp;$A283)&gt;0,SUMIFS(Recepciones!$C$5:$C$2000,Recepciones!$B$5:$B$2000,Config!$A$25,Recepciones!$A$5:$A$2000,"&gt;"&amp;$A282,Recepciones!$A$5:$A$2000,"&lt;="&amp;$A283),MAX(0,I283-I282)))</f>
        <v/>
      </c>
      <c r="K283" s="24" t="str">
        <f aca="false">IF($A283="","",MAX(0,I282+J283-I283))</f>
        <v/>
      </c>
      <c r="L283" s="24" t="str">
        <f aca="false">IF($A283="","",E283+H283+K283)</f>
        <v/>
      </c>
      <c r="M283" s="4" t="str">
        <f aca="false">IF($A283="","",IF(AND(D283+G283+J283&gt;0,SUMIFS(Recepciones!$C$5:$C$2000,Recepciones!$A$5:$A$2000,"&gt;"&amp;$A282,Recepciones!$A$5:$A$2000,"&lt;="&amp;$A283)=0),"Aumento de stock sin recepción registrada",IF(B283&gt;1,"Intervalo de "&amp;B283&amp;" días","")))</f>
        <v/>
      </c>
    </row>
    <row r="284" customFormat="false" ht="15" hidden="false" customHeight="false" outlineLevel="0" collapsed="false">
      <c r="A284" s="5" t="str">
        <f aca="false">IF(Stock_Diario!A284="","",Stock_Diario!A284)</f>
        <v/>
      </c>
      <c r="B284" s="4" t="str">
        <f aca="false">IF($A284="","",$A284-$A283)</f>
        <v/>
      </c>
      <c r="C284" s="24" t="str">
        <f aca="false">IF($A284="","",Stock_Diario!E284)</f>
        <v/>
      </c>
      <c r="D284" s="24" t="str">
        <f aca="false">IF($A284="","",IF(SUMIFS(Recepciones!$C$5:$C$2000,Recepciones!$B$5:$B$2000,Config!$A$23,Recepciones!$A$5:$A$2000,"&gt;"&amp;$A283,Recepciones!$A$5:$A$2000,"&lt;="&amp;$A284)&gt;0,SUMIFS(Recepciones!$C$5:$C$2000,Recepciones!$B$5:$B$2000,Config!$A$23,Recepciones!$A$5:$A$2000,"&gt;"&amp;$A283,Recepciones!$A$5:$A$2000,"&lt;="&amp;$A284),MAX(0,C284-C283)))</f>
        <v/>
      </c>
      <c r="E284" s="24" t="str">
        <f aca="false">IF($A284="","",MAX(0,C283+D284-C284))</f>
        <v/>
      </c>
      <c r="F284" s="24" t="str">
        <f aca="false">IF($A284="","",Stock_Diario!F284)</f>
        <v/>
      </c>
      <c r="G284" s="24" t="str">
        <f aca="false">IF($A284="","",IF(SUMIFS(Recepciones!$C$5:$C$2000,Recepciones!$B$5:$B$2000,Config!$A$24,Recepciones!$A$5:$A$2000,"&gt;"&amp;$A283,Recepciones!$A$5:$A$2000,"&lt;="&amp;$A284)&gt;0,SUMIFS(Recepciones!$C$5:$C$2000,Recepciones!$B$5:$B$2000,Config!$A$24,Recepciones!$A$5:$A$2000,"&gt;"&amp;$A283,Recepciones!$A$5:$A$2000,"&lt;="&amp;$A284),MAX(0,F284-F283)))</f>
        <v/>
      </c>
      <c r="H284" s="24" t="str">
        <f aca="false">IF($A284="","",MAX(0,F283+G284-F284))</f>
        <v/>
      </c>
      <c r="I284" s="24" t="str">
        <f aca="false">IF($A284="","",Stock_Diario!G284)</f>
        <v/>
      </c>
      <c r="J284" s="24" t="str">
        <f aca="false">IF($A284="","",IF(SUMIFS(Recepciones!$C$5:$C$2000,Recepciones!$B$5:$B$2000,Config!$A$25,Recepciones!$A$5:$A$2000,"&gt;"&amp;$A283,Recepciones!$A$5:$A$2000,"&lt;="&amp;$A284)&gt;0,SUMIFS(Recepciones!$C$5:$C$2000,Recepciones!$B$5:$B$2000,Config!$A$25,Recepciones!$A$5:$A$2000,"&gt;"&amp;$A283,Recepciones!$A$5:$A$2000,"&lt;="&amp;$A284),MAX(0,I284-I283)))</f>
        <v/>
      </c>
      <c r="K284" s="24" t="str">
        <f aca="false">IF($A284="","",MAX(0,I283+J284-I284))</f>
        <v/>
      </c>
      <c r="L284" s="24" t="str">
        <f aca="false">IF($A284="","",E284+H284+K284)</f>
        <v/>
      </c>
      <c r="M284" s="4" t="str">
        <f aca="false">IF($A284="","",IF(AND(D284+G284+J284&gt;0,SUMIFS(Recepciones!$C$5:$C$2000,Recepciones!$A$5:$A$2000,"&gt;"&amp;$A283,Recepciones!$A$5:$A$2000,"&lt;="&amp;$A284)=0),"Aumento de stock sin recepción registrada",IF(B284&gt;1,"Intervalo de "&amp;B284&amp;" días","")))</f>
        <v/>
      </c>
    </row>
    <row r="285" customFormat="false" ht="15" hidden="false" customHeight="false" outlineLevel="0" collapsed="false">
      <c r="A285" s="5" t="str">
        <f aca="false">IF(Stock_Diario!A285="","",Stock_Diario!A285)</f>
        <v/>
      </c>
      <c r="B285" s="4" t="str">
        <f aca="false">IF($A285="","",$A285-$A284)</f>
        <v/>
      </c>
      <c r="C285" s="24" t="str">
        <f aca="false">IF($A285="","",Stock_Diario!E285)</f>
        <v/>
      </c>
      <c r="D285" s="24" t="str">
        <f aca="false">IF($A285="","",IF(SUMIFS(Recepciones!$C$5:$C$2000,Recepciones!$B$5:$B$2000,Config!$A$23,Recepciones!$A$5:$A$2000,"&gt;"&amp;$A284,Recepciones!$A$5:$A$2000,"&lt;="&amp;$A285)&gt;0,SUMIFS(Recepciones!$C$5:$C$2000,Recepciones!$B$5:$B$2000,Config!$A$23,Recepciones!$A$5:$A$2000,"&gt;"&amp;$A284,Recepciones!$A$5:$A$2000,"&lt;="&amp;$A285),MAX(0,C285-C284)))</f>
        <v/>
      </c>
      <c r="E285" s="24" t="str">
        <f aca="false">IF($A285="","",MAX(0,C284+D285-C285))</f>
        <v/>
      </c>
      <c r="F285" s="24" t="str">
        <f aca="false">IF($A285="","",Stock_Diario!F285)</f>
        <v/>
      </c>
      <c r="G285" s="24" t="str">
        <f aca="false">IF($A285="","",IF(SUMIFS(Recepciones!$C$5:$C$2000,Recepciones!$B$5:$B$2000,Config!$A$24,Recepciones!$A$5:$A$2000,"&gt;"&amp;$A284,Recepciones!$A$5:$A$2000,"&lt;="&amp;$A285)&gt;0,SUMIFS(Recepciones!$C$5:$C$2000,Recepciones!$B$5:$B$2000,Config!$A$24,Recepciones!$A$5:$A$2000,"&gt;"&amp;$A284,Recepciones!$A$5:$A$2000,"&lt;="&amp;$A285),MAX(0,F285-F284)))</f>
        <v/>
      </c>
      <c r="H285" s="24" t="str">
        <f aca="false">IF($A285="","",MAX(0,F284+G285-F285))</f>
        <v/>
      </c>
      <c r="I285" s="24" t="str">
        <f aca="false">IF($A285="","",Stock_Diario!G285)</f>
        <v/>
      </c>
      <c r="J285" s="24" t="str">
        <f aca="false">IF($A285="","",IF(SUMIFS(Recepciones!$C$5:$C$2000,Recepciones!$B$5:$B$2000,Config!$A$25,Recepciones!$A$5:$A$2000,"&gt;"&amp;$A284,Recepciones!$A$5:$A$2000,"&lt;="&amp;$A285)&gt;0,SUMIFS(Recepciones!$C$5:$C$2000,Recepciones!$B$5:$B$2000,Config!$A$25,Recepciones!$A$5:$A$2000,"&gt;"&amp;$A284,Recepciones!$A$5:$A$2000,"&lt;="&amp;$A285),MAX(0,I285-I284)))</f>
        <v/>
      </c>
      <c r="K285" s="24" t="str">
        <f aca="false">IF($A285="","",MAX(0,I284+J285-I285))</f>
        <v/>
      </c>
      <c r="L285" s="24" t="str">
        <f aca="false">IF($A285="","",E285+H285+K285)</f>
        <v/>
      </c>
      <c r="M285" s="4" t="str">
        <f aca="false">IF($A285="","",IF(AND(D285+G285+J285&gt;0,SUMIFS(Recepciones!$C$5:$C$2000,Recepciones!$A$5:$A$2000,"&gt;"&amp;$A284,Recepciones!$A$5:$A$2000,"&lt;="&amp;$A285)=0),"Aumento de stock sin recepción registrada",IF(B285&gt;1,"Intervalo de "&amp;B285&amp;" días","")))</f>
        <v/>
      </c>
    </row>
    <row r="286" customFormat="false" ht="15" hidden="false" customHeight="false" outlineLevel="0" collapsed="false">
      <c r="A286" s="5" t="str">
        <f aca="false">IF(Stock_Diario!A286="","",Stock_Diario!A286)</f>
        <v/>
      </c>
      <c r="B286" s="4" t="str">
        <f aca="false">IF($A286="","",$A286-$A285)</f>
        <v/>
      </c>
      <c r="C286" s="24" t="str">
        <f aca="false">IF($A286="","",Stock_Diario!E286)</f>
        <v/>
      </c>
      <c r="D286" s="24" t="str">
        <f aca="false">IF($A286="","",IF(SUMIFS(Recepciones!$C$5:$C$2000,Recepciones!$B$5:$B$2000,Config!$A$23,Recepciones!$A$5:$A$2000,"&gt;"&amp;$A285,Recepciones!$A$5:$A$2000,"&lt;="&amp;$A286)&gt;0,SUMIFS(Recepciones!$C$5:$C$2000,Recepciones!$B$5:$B$2000,Config!$A$23,Recepciones!$A$5:$A$2000,"&gt;"&amp;$A285,Recepciones!$A$5:$A$2000,"&lt;="&amp;$A286),MAX(0,C286-C285)))</f>
        <v/>
      </c>
      <c r="E286" s="24" t="str">
        <f aca="false">IF($A286="","",MAX(0,C285+D286-C286))</f>
        <v/>
      </c>
      <c r="F286" s="24" t="str">
        <f aca="false">IF($A286="","",Stock_Diario!F286)</f>
        <v/>
      </c>
      <c r="G286" s="24" t="str">
        <f aca="false">IF($A286="","",IF(SUMIFS(Recepciones!$C$5:$C$2000,Recepciones!$B$5:$B$2000,Config!$A$24,Recepciones!$A$5:$A$2000,"&gt;"&amp;$A285,Recepciones!$A$5:$A$2000,"&lt;="&amp;$A286)&gt;0,SUMIFS(Recepciones!$C$5:$C$2000,Recepciones!$B$5:$B$2000,Config!$A$24,Recepciones!$A$5:$A$2000,"&gt;"&amp;$A285,Recepciones!$A$5:$A$2000,"&lt;="&amp;$A286),MAX(0,F286-F285)))</f>
        <v/>
      </c>
      <c r="H286" s="24" t="str">
        <f aca="false">IF($A286="","",MAX(0,F285+G286-F286))</f>
        <v/>
      </c>
      <c r="I286" s="24" t="str">
        <f aca="false">IF($A286="","",Stock_Diario!G286)</f>
        <v/>
      </c>
      <c r="J286" s="24" t="str">
        <f aca="false">IF($A286="","",IF(SUMIFS(Recepciones!$C$5:$C$2000,Recepciones!$B$5:$B$2000,Config!$A$25,Recepciones!$A$5:$A$2000,"&gt;"&amp;$A285,Recepciones!$A$5:$A$2000,"&lt;="&amp;$A286)&gt;0,SUMIFS(Recepciones!$C$5:$C$2000,Recepciones!$B$5:$B$2000,Config!$A$25,Recepciones!$A$5:$A$2000,"&gt;"&amp;$A285,Recepciones!$A$5:$A$2000,"&lt;="&amp;$A286),MAX(0,I286-I285)))</f>
        <v/>
      </c>
      <c r="K286" s="24" t="str">
        <f aca="false">IF($A286="","",MAX(0,I285+J286-I286))</f>
        <v/>
      </c>
      <c r="L286" s="24" t="str">
        <f aca="false">IF($A286="","",E286+H286+K286)</f>
        <v/>
      </c>
      <c r="M286" s="4" t="str">
        <f aca="false">IF($A286="","",IF(AND(D286+G286+J286&gt;0,SUMIFS(Recepciones!$C$5:$C$2000,Recepciones!$A$5:$A$2000,"&gt;"&amp;$A285,Recepciones!$A$5:$A$2000,"&lt;="&amp;$A286)=0),"Aumento de stock sin recepción registrada",IF(B286&gt;1,"Intervalo de "&amp;B286&amp;" días","")))</f>
        <v/>
      </c>
    </row>
    <row r="287" customFormat="false" ht="15" hidden="false" customHeight="false" outlineLevel="0" collapsed="false">
      <c r="A287" s="5" t="str">
        <f aca="false">IF(Stock_Diario!A287="","",Stock_Diario!A287)</f>
        <v/>
      </c>
      <c r="B287" s="4" t="str">
        <f aca="false">IF($A287="","",$A287-$A286)</f>
        <v/>
      </c>
      <c r="C287" s="24" t="str">
        <f aca="false">IF($A287="","",Stock_Diario!E287)</f>
        <v/>
      </c>
      <c r="D287" s="24" t="str">
        <f aca="false">IF($A287="","",IF(SUMIFS(Recepciones!$C$5:$C$2000,Recepciones!$B$5:$B$2000,Config!$A$23,Recepciones!$A$5:$A$2000,"&gt;"&amp;$A286,Recepciones!$A$5:$A$2000,"&lt;="&amp;$A287)&gt;0,SUMIFS(Recepciones!$C$5:$C$2000,Recepciones!$B$5:$B$2000,Config!$A$23,Recepciones!$A$5:$A$2000,"&gt;"&amp;$A286,Recepciones!$A$5:$A$2000,"&lt;="&amp;$A287),MAX(0,C287-C286)))</f>
        <v/>
      </c>
      <c r="E287" s="24" t="str">
        <f aca="false">IF($A287="","",MAX(0,C286+D287-C287))</f>
        <v/>
      </c>
      <c r="F287" s="24" t="str">
        <f aca="false">IF($A287="","",Stock_Diario!F287)</f>
        <v/>
      </c>
      <c r="G287" s="24" t="str">
        <f aca="false">IF($A287="","",IF(SUMIFS(Recepciones!$C$5:$C$2000,Recepciones!$B$5:$B$2000,Config!$A$24,Recepciones!$A$5:$A$2000,"&gt;"&amp;$A286,Recepciones!$A$5:$A$2000,"&lt;="&amp;$A287)&gt;0,SUMIFS(Recepciones!$C$5:$C$2000,Recepciones!$B$5:$B$2000,Config!$A$24,Recepciones!$A$5:$A$2000,"&gt;"&amp;$A286,Recepciones!$A$5:$A$2000,"&lt;="&amp;$A287),MAX(0,F287-F286)))</f>
        <v/>
      </c>
      <c r="H287" s="24" t="str">
        <f aca="false">IF($A287="","",MAX(0,F286+G287-F287))</f>
        <v/>
      </c>
      <c r="I287" s="24" t="str">
        <f aca="false">IF($A287="","",Stock_Diario!G287)</f>
        <v/>
      </c>
      <c r="J287" s="24" t="str">
        <f aca="false">IF($A287="","",IF(SUMIFS(Recepciones!$C$5:$C$2000,Recepciones!$B$5:$B$2000,Config!$A$25,Recepciones!$A$5:$A$2000,"&gt;"&amp;$A286,Recepciones!$A$5:$A$2000,"&lt;="&amp;$A287)&gt;0,SUMIFS(Recepciones!$C$5:$C$2000,Recepciones!$B$5:$B$2000,Config!$A$25,Recepciones!$A$5:$A$2000,"&gt;"&amp;$A286,Recepciones!$A$5:$A$2000,"&lt;="&amp;$A287),MAX(0,I287-I286)))</f>
        <v/>
      </c>
      <c r="K287" s="24" t="str">
        <f aca="false">IF($A287="","",MAX(0,I286+J287-I287))</f>
        <v/>
      </c>
      <c r="L287" s="24" t="str">
        <f aca="false">IF($A287="","",E287+H287+K287)</f>
        <v/>
      </c>
      <c r="M287" s="4" t="str">
        <f aca="false">IF($A287="","",IF(AND(D287+G287+J287&gt;0,SUMIFS(Recepciones!$C$5:$C$2000,Recepciones!$A$5:$A$2000,"&gt;"&amp;$A286,Recepciones!$A$5:$A$2000,"&lt;="&amp;$A287)=0),"Aumento de stock sin recepción registrada",IF(B287&gt;1,"Intervalo de "&amp;B287&amp;" días","")))</f>
        <v/>
      </c>
    </row>
    <row r="288" customFormat="false" ht="15" hidden="false" customHeight="false" outlineLevel="0" collapsed="false">
      <c r="A288" s="5" t="str">
        <f aca="false">IF(Stock_Diario!A288="","",Stock_Diario!A288)</f>
        <v/>
      </c>
      <c r="B288" s="4" t="str">
        <f aca="false">IF($A288="","",$A288-$A287)</f>
        <v/>
      </c>
      <c r="C288" s="24" t="str">
        <f aca="false">IF($A288="","",Stock_Diario!E288)</f>
        <v/>
      </c>
      <c r="D288" s="24" t="str">
        <f aca="false">IF($A288="","",IF(SUMIFS(Recepciones!$C$5:$C$2000,Recepciones!$B$5:$B$2000,Config!$A$23,Recepciones!$A$5:$A$2000,"&gt;"&amp;$A287,Recepciones!$A$5:$A$2000,"&lt;="&amp;$A288)&gt;0,SUMIFS(Recepciones!$C$5:$C$2000,Recepciones!$B$5:$B$2000,Config!$A$23,Recepciones!$A$5:$A$2000,"&gt;"&amp;$A287,Recepciones!$A$5:$A$2000,"&lt;="&amp;$A288),MAX(0,C288-C287)))</f>
        <v/>
      </c>
      <c r="E288" s="24" t="str">
        <f aca="false">IF($A288="","",MAX(0,C287+D288-C288))</f>
        <v/>
      </c>
      <c r="F288" s="24" t="str">
        <f aca="false">IF($A288="","",Stock_Diario!F288)</f>
        <v/>
      </c>
      <c r="G288" s="24" t="str">
        <f aca="false">IF($A288="","",IF(SUMIFS(Recepciones!$C$5:$C$2000,Recepciones!$B$5:$B$2000,Config!$A$24,Recepciones!$A$5:$A$2000,"&gt;"&amp;$A287,Recepciones!$A$5:$A$2000,"&lt;="&amp;$A288)&gt;0,SUMIFS(Recepciones!$C$5:$C$2000,Recepciones!$B$5:$B$2000,Config!$A$24,Recepciones!$A$5:$A$2000,"&gt;"&amp;$A287,Recepciones!$A$5:$A$2000,"&lt;="&amp;$A288),MAX(0,F288-F287)))</f>
        <v/>
      </c>
      <c r="H288" s="24" t="str">
        <f aca="false">IF($A288="","",MAX(0,F287+G288-F288))</f>
        <v/>
      </c>
      <c r="I288" s="24" t="str">
        <f aca="false">IF($A288="","",Stock_Diario!G288)</f>
        <v/>
      </c>
      <c r="J288" s="24" t="str">
        <f aca="false">IF($A288="","",IF(SUMIFS(Recepciones!$C$5:$C$2000,Recepciones!$B$5:$B$2000,Config!$A$25,Recepciones!$A$5:$A$2000,"&gt;"&amp;$A287,Recepciones!$A$5:$A$2000,"&lt;="&amp;$A288)&gt;0,SUMIFS(Recepciones!$C$5:$C$2000,Recepciones!$B$5:$B$2000,Config!$A$25,Recepciones!$A$5:$A$2000,"&gt;"&amp;$A287,Recepciones!$A$5:$A$2000,"&lt;="&amp;$A288),MAX(0,I288-I287)))</f>
        <v/>
      </c>
      <c r="K288" s="24" t="str">
        <f aca="false">IF($A288="","",MAX(0,I287+J288-I288))</f>
        <v/>
      </c>
      <c r="L288" s="24" t="str">
        <f aca="false">IF($A288="","",E288+H288+K288)</f>
        <v/>
      </c>
      <c r="M288" s="4" t="str">
        <f aca="false">IF($A288="","",IF(AND(D288+G288+J288&gt;0,SUMIFS(Recepciones!$C$5:$C$2000,Recepciones!$A$5:$A$2000,"&gt;"&amp;$A287,Recepciones!$A$5:$A$2000,"&lt;="&amp;$A288)=0),"Aumento de stock sin recepción registrada",IF(B288&gt;1,"Intervalo de "&amp;B288&amp;" días","")))</f>
        <v/>
      </c>
    </row>
    <row r="289" customFormat="false" ht="15" hidden="false" customHeight="false" outlineLevel="0" collapsed="false">
      <c r="A289" s="5" t="str">
        <f aca="false">IF(Stock_Diario!A289="","",Stock_Diario!A289)</f>
        <v/>
      </c>
      <c r="B289" s="4" t="str">
        <f aca="false">IF($A289="","",$A289-$A288)</f>
        <v/>
      </c>
      <c r="C289" s="24" t="str">
        <f aca="false">IF($A289="","",Stock_Diario!E289)</f>
        <v/>
      </c>
      <c r="D289" s="24" t="str">
        <f aca="false">IF($A289="","",IF(SUMIFS(Recepciones!$C$5:$C$2000,Recepciones!$B$5:$B$2000,Config!$A$23,Recepciones!$A$5:$A$2000,"&gt;"&amp;$A288,Recepciones!$A$5:$A$2000,"&lt;="&amp;$A289)&gt;0,SUMIFS(Recepciones!$C$5:$C$2000,Recepciones!$B$5:$B$2000,Config!$A$23,Recepciones!$A$5:$A$2000,"&gt;"&amp;$A288,Recepciones!$A$5:$A$2000,"&lt;="&amp;$A289),MAX(0,C289-C288)))</f>
        <v/>
      </c>
      <c r="E289" s="24" t="str">
        <f aca="false">IF($A289="","",MAX(0,C288+D289-C289))</f>
        <v/>
      </c>
      <c r="F289" s="24" t="str">
        <f aca="false">IF($A289="","",Stock_Diario!F289)</f>
        <v/>
      </c>
      <c r="G289" s="24" t="str">
        <f aca="false">IF($A289="","",IF(SUMIFS(Recepciones!$C$5:$C$2000,Recepciones!$B$5:$B$2000,Config!$A$24,Recepciones!$A$5:$A$2000,"&gt;"&amp;$A288,Recepciones!$A$5:$A$2000,"&lt;="&amp;$A289)&gt;0,SUMIFS(Recepciones!$C$5:$C$2000,Recepciones!$B$5:$B$2000,Config!$A$24,Recepciones!$A$5:$A$2000,"&gt;"&amp;$A288,Recepciones!$A$5:$A$2000,"&lt;="&amp;$A289),MAX(0,F289-F288)))</f>
        <v/>
      </c>
      <c r="H289" s="24" t="str">
        <f aca="false">IF($A289="","",MAX(0,F288+G289-F289))</f>
        <v/>
      </c>
      <c r="I289" s="24" t="str">
        <f aca="false">IF($A289="","",Stock_Diario!G289)</f>
        <v/>
      </c>
      <c r="J289" s="24" t="str">
        <f aca="false">IF($A289="","",IF(SUMIFS(Recepciones!$C$5:$C$2000,Recepciones!$B$5:$B$2000,Config!$A$25,Recepciones!$A$5:$A$2000,"&gt;"&amp;$A288,Recepciones!$A$5:$A$2000,"&lt;="&amp;$A289)&gt;0,SUMIFS(Recepciones!$C$5:$C$2000,Recepciones!$B$5:$B$2000,Config!$A$25,Recepciones!$A$5:$A$2000,"&gt;"&amp;$A288,Recepciones!$A$5:$A$2000,"&lt;="&amp;$A289),MAX(0,I289-I288)))</f>
        <v/>
      </c>
      <c r="K289" s="24" t="str">
        <f aca="false">IF($A289="","",MAX(0,I288+J289-I289))</f>
        <v/>
      </c>
      <c r="L289" s="24" t="str">
        <f aca="false">IF($A289="","",E289+H289+K289)</f>
        <v/>
      </c>
      <c r="M289" s="4" t="str">
        <f aca="false">IF($A289="","",IF(AND(D289+G289+J289&gt;0,SUMIFS(Recepciones!$C$5:$C$2000,Recepciones!$A$5:$A$2000,"&gt;"&amp;$A288,Recepciones!$A$5:$A$2000,"&lt;="&amp;$A289)=0),"Aumento de stock sin recepción registrada",IF(B289&gt;1,"Intervalo de "&amp;B289&amp;" días","")))</f>
        <v/>
      </c>
    </row>
    <row r="290" customFormat="false" ht="15" hidden="false" customHeight="false" outlineLevel="0" collapsed="false">
      <c r="A290" s="5" t="str">
        <f aca="false">IF(Stock_Diario!A290="","",Stock_Diario!A290)</f>
        <v/>
      </c>
      <c r="B290" s="4" t="str">
        <f aca="false">IF($A290="","",$A290-$A289)</f>
        <v/>
      </c>
      <c r="C290" s="24" t="str">
        <f aca="false">IF($A290="","",Stock_Diario!E290)</f>
        <v/>
      </c>
      <c r="D290" s="24" t="str">
        <f aca="false">IF($A290="","",IF(SUMIFS(Recepciones!$C$5:$C$2000,Recepciones!$B$5:$B$2000,Config!$A$23,Recepciones!$A$5:$A$2000,"&gt;"&amp;$A289,Recepciones!$A$5:$A$2000,"&lt;="&amp;$A290)&gt;0,SUMIFS(Recepciones!$C$5:$C$2000,Recepciones!$B$5:$B$2000,Config!$A$23,Recepciones!$A$5:$A$2000,"&gt;"&amp;$A289,Recepciones!$A$5:$A$2000,"&lt;="&amp;$A290),MAX(0,C290-C289)))</f>
        <v/>
      </c>
      <c r="E290" s="24" t="str">
        <f aca="false">IF($A290="","",MAX(0,C289+D290-C290))</f>
        <v/>
      </c>
      <c r="F290" s="24" t="str">
        <f aca="false">IF($A290="","",Stock_Diario!F290)</f>
        <v/>
      </c>
      <c r="G290" s="24" t="str">
        <f aca="false">IF($A290="","",IF(SUMIFS(Recepciones!$C$5:$C$2000,Recepciones!$B$5:$B$2000,Config!$A$24,Recepciones!$A$5:$A$2000,"&gt;"&amp;$A289,Recepciones!$A$5:$A$2000,"&lt;="&amp;$A290)&gt;0,SUMIFS(Recepciones!$C$5:$C$2000,Recepciones!$B$5:$B$2000,Config!$A$24,Recepciones!$A$5:$A$2000,"&gt;"&amp;$A289,Recepciones!$A$5:$A$2000,"&lt;="&amp;$A290),MAX(0,F290-F289)))</f>
        <v/>
      </c>
      <c r="H290" s="24" t="str">
        <f aca="false">IF($A290="","",MAX(0,F289+G290-F290))</f>
        <v/>
      </c>
      <c r="I290" s="24" t="str">
        <f aca="false">IF($A290="","",Stock_Diario!G290)</f>
        <v/>
      </c>
      <c r="J290" s="24" t="str">
        <f aca="false">IF($A290="","",IF(SUMIFS(Recepciones!$C$5:$C$2000,Recepciones!$B$5:$B$2000,Config!$A$25,Recepciones!$A$5:$A$2000,"&gt;"&amp;$A289,Recepciones!$A$5:$A$2000,"&lt;="&amp;$A290)&gt;0,SUMIFS(Recepciones!$C$5:$C$2000,Recepciones!$B$5:$B$2000,Config!$A$25,Recepciones!$A$5:$A$2000,"&gt;"&amp;$A289,Recepciones!$A$5:$A$2000,"&lt;="&amp;$A290),MAX(0,I290-I289)))</f>
        <v/>
      </c>
      <c r="K290" s="24" t="str">
        <f aca="false">IF($A290="","",MAX(0,I289+J290-I290))</f>
        <v/>
      </c>
      <c r="L290" s="24" t="str">
        <f aca="false">IF($A290="","",E290+H290+K290)</f>
        <v/>
      </c>
      <c r="M290" s="4" t="str">
        <f aca="false">IF($A290="","",IF(AND(D290+G290+J290&gt;0,SUMIFS(Recepciones!$C$5:$C$2000,Recepciones!$A$5:$A$2000,"&gt;"&amp;$A289,Recepciones!$A$5:$A$2000,"&lt;="&amp;$A290)=0),"Aumento de stock sin recepción registrada",IF(B290&gt;1,"Intervalo de "&amp;B290&amp;" días","")))</f>
        <v/>
      </c>
    </row>
    <row r="291" customFormat="false" ht="15" hidden="false" customHeight="false" outlineLevel="0" collapsed="false">
      <c r="A291" s="5" t="str">
        <f aca="false">IF(Stock_Diario!A291="","",Stock_Diario!A291)</f>
        <v/>
      </c>
      <c r="B291" s="4" t="str">
        <f aca="false">IF($A291="","",$A291-$A290)</f>
        <v/>
      </c>
      <c r="C291" s="24" t="str">
        <f aca="false">IF($A291="","",Stock_Diario!E291)</f>
        <v/>
      </c>
      <c r="D291" s="24" t="str">
        <f aca="false">IF($A291="","",IF(SUMIFS(Recepciones!$C$5:$C$2000,Recepciones!$B$5:$B$2000,Config!$A$23,Recepciones!$A$5:$A$2000,"&gt;"&amp;$A290,Recepciones!$A$5:$A$2000,"&lt;="&amp;$A291)&gt;0,SUMIFS(Recepciones!$C$5:$C$2000,Recepciones!$B$5:$B$2000,Config!$A$23,Recepciones!$A$5:$A$2000,"&gt;"&amp;$A290,Recepciones!$A$5:$A$2000,"&lt;="&amp;$A291),MAX(0,C291-C290)))</f>
        <v/>
      </c>
      <c r="E291" s="24" t="str">
        <f aca="false">IF($A291="","",MAX(0,C290+D291-C291))</f>
        <v/>
      </c>
      <c r="F291" s="24" t="str">
        <f aca="false">IF($A291="","",Stock_Diario!F291)</f>
        <v/>
      </c>
      <c r="G291" s="24" t="str">
        <f aca="false">IF($A291="","",IF(SUMIFS(Recepciones!$C$5:$C$2000,Recepciones!$B$5:$B$2000,Config!$A$24,Recepciones!$A$5:$A$2000,"&gt;"&amp;$A290,Recepciones!$A$5:$A$2000,"&lt;="&amp;$A291)&gt;0,SUMIFS(Recepciones!$C$5:$C$2000,Recepciones!$B$5:$B$2000,Config!$A$24,Recepciones!$A$5:$A$2000,"&gt;"&amp;$A290,Recepciones!$A$5:$A$2000,"&lt;="&amp;$A291),MAX(0,F291-F290)))</f>
        <v/>
      </c>
      <c r="H291" s="24" t="str">
        <f aca="false">IF($A291="","",MAX(0,F290+G291-F291))</f>
        <v/>
      </c>
      <c r="I291" s="24" t="str">
        <f aca="false">IF($A291="","",Stock_Diario!G291)</f>
        <v/>
      </c>
      <c r="J291" s="24" t="str">
        <f aca="false">IF($A291="","",IF(SUMIFS(Recepciones!$C$5:$C$2000,Recepciones!$B$5:$B$2000,Config!$A$25,Recepciones!$A$5:$A$2000,"&gt;"&amp;$A290,Recepciones!$A$5:$A$2000,"&lt;="&amp;$A291)&gt;0,SUMIFS(Recepciones!$C$5:$C$2000,Recepciones!$B$5:$B$2000,Config!$A$25,Recepciones!$A$5:$A$2000,"&gt;"&amp;$A290,Recepciones!$A$5:$A$2000,"&lt;="&amp;$A291),MAX(0,I291-I290)))</f>
        <v/>
      </c>
      <c r="K291" s="24" t="str">
        <f aca="false">IF($A291="","",MAX(0,I290+J291-I291))</f>
        <v/>
      </c>
      <c r="L291" s="24" t="str">
        <f aca="false">IF($A291="","",E291+H291+K291)</f>
        <v/>
      </c>
      <c r="M291" s="4" t="str">
        <f aca="false">IF($A291="","",IF(AND(D291+G291+J291&gt;0,SUMIFS(Recepciones!$C$5:$C$2000,Recepciones!$A$5:$A$2000,"&gt;"&amp;$A290,Recepciones!$A$5:$A$2000,"&lt;="&amp;$A291)=0),"Aumento de stock sin recepción registrada",IF(B291&gt;1,"Intervalo de "&amp;B291&amp;" días","")))</f>
        <v/>
      </c>
    </row>
    <row r="292" customFormat="false" ht="15" hidden="false" customHeight="false" outlineLevel="0" collapsed="false">
      <c r="A292" s="5" t="str">
        <f aca="false">IF(Stock_Diario!A292="","",Stock_Diario!A292)</f>
        <v/>
      </c>
      <c r="B292" s="4" t="str">
        <f aca="false">IF($A292="","",$A292-$A291)</f>
        <v/>
      </c>
      <c r="C292" s="24" t="str">
        <f aca="false">IF($A292="","",Stock_Diario!E292)</f>
        <v/>
      </c>
      <c r="D292" s="24" t="str">
        <f aca="false">IF($A292="","",IF(SUMIFS(Recepciones!$C$5:$C$2000,Recepciones!$B$5:$B$2000,Config!$A$23,Recepciones!$A$5:$A$2000,"&gt;"&amp;$A291,Recepciones!$A$5:$A$2000,"&lt;="&amp;$A292)&gt;0,SUMIFS(Recepciones!$C$5:$C$2000,Recepciones!$B$5:$B$2000,Config!$A$23,Recepciones!$A$5:$A$2000,"&gt;"&amp;$A291,Recepciones!$A$5:$A$2000,"&lt;="&amp;$A292),MAX(0,C292-C291)))</f>
        <v/>
      </c>
      <c r="E292" s="24" t="str">
        <f aca="false">IF($A292="","",MAX(0,C291+D292-C292))</f>
        <v/>
      </c>
      <c r="F292" s="24" t="str">
        <f aca="false">IF($A292="","",Stock_Diario!F292)</f>
        <v/>
      </c>
      <c r="G292" s="24" t="str">
        <f aca="false">IF($A292="","",IF(SUMIFS(Recepciones!$C$5:$C$2000,Recepciones!$B$5:$B$2000,Config!$A$24,Recepciones!$A$5:$A$2000,"&gt;"&amp;$A291,Recepciones!$A$5:$A$2000,"&lt;="&amp;$A292)&gt;0,SUMIFS(Recepciones!$C$5:$C$2000,Recepciones!$B$5:$B$2000,Config!$A$24,Recepciones!$A$5:$A$2000,"&gt;"&amp;$A291,Recepciones!$A$5:$A$2000,"&lt;="&amp;$A292),MAX(0,F292-F291)))</f>
        <v/>
      </c>
      <c r="H292" s="24" t="str">
        <f aca="false">IF($A292="","",MAX(0,F291+G292-F292))</f>
        <v/>
      </c>
      <c r="I292" s="24" t="str">
        <f aca="false">IF($A292="","",Stock_Diario!G292)</f>
        <v/>
      </c>
      <c r="J292" s="24" t="str">
        <f aca="false">IF($A292="","",IF(SUMIFS(Recepciones!$C$5:$C$2000,Recepciones!$B$5:$B$2000,Config!$A$25,Recepciones!$A$5:$A$2000,"&gt;"&amp;$A291,Recepciones!$A$5:$A$2000,"&lt;="&amp;$A292)&gt;0,SUMIFS(Recepciones!$C$5:$C$2000,Recepciones!$B$5:$B$2000,Config!$A$25,Recepciones!$A$5:$A$2000,"&gt;"&amp;$A291,Recepciones!$A$5:$A$2000,"&lt;="&amp;$A292),MAX(0,I292-I291)))</f>
        <v/>
      </c>
      <c r="K292" s="24" t="str">
        <f aca="false">IF($A292="","",MAX(0,I291+J292-I292))</f>
        <v/>
      </c>
      <c r="L292" s="24" t="str">
        <f aca="false">IF($A292="","",E292+H292+K292)</f>
        <v/>
      </c>
      <c r="M292" s="4" t="str">
        <f aca="false">IF($A292="","",IF(AND(D292+G292+J292&gt;0,SUMIFS(Recepciones!$C$5:$C$2000,Recepciones!$A$5:$A$2000,"&gt;"&amp;$A291,Recepciones!$A$5:$A$2000,"&lt;="&amp;$A292)=0),"Aumento de stock sin recepción registrada",IF(B292&gt;1,"Intervalo de "&amp;B292&amp;" días","")))</f>
        <v/>
      </c>
    </row>
    <row r="293" customFormat="false" ht="15" hidden="false" customHeight="false" outlineLevel="0" collapsed="false">
      <c r="A293" s="5" t="str">
        <f aca="false">IF(Stock_Diario!A293="","",Stock_Diario!A293)</f>
        <v/>
      </c>
      <c r="B293" s="4" t="str">
        <f aca="false">IF($A293="","",$A293-$A292)</f>
        <v/>
      </c>
      <c r="C293" s="24" t="str">
        <f aca="false">IF($A293="","",Stock_Diario!E293)</f>
        <v/>
      </c>
      <c r="D293" s="24" t="str">
        <f aca="false">IF($A293="","",IF(SUMIFS(Recepciones!$C$5:$C$2000,Recepciones!$B$5:$B$2000,Config!$A$23,Recepciones!$A$5:$A$2000,"&gt;"&amp;$A292,Recepciones!$A$5:$A$2000,"&lt;="&amp;$A293)&gt;0,SUMIFS(Recepciones!$C$5:$C$2000,Recepciones!$B$5:$B$2000,Config!$A$23,Recepciones!$A$5:$A$2000,"&gt;"&amp;$A292,Recepciones!$A$5:$A$2000,"&lt;="&amp;$A293),MAX(0,C293-C292)))</f>
        <v/>
      </c>
      <c r="E293" s="24" t="str">
        <f aca="false">IF($A293="","",MAX(0,C292+D293-C293))</f>
        <v/>
      </c>
      <c r="F293" s="24" t="str">
        <f aca="false">IF($A293="","",Stock_Diario!F293)</f>
        <v/>
      </c>
      <c r="G293" s="24" t="str">
        <f aca="false">IF($A293="","",IF(SUMIFS(Recepciones!$C$5:$C$2000,Recepciones!$B$5:$B$2000,Config!$A$24,Recepciones!$A$5:$A$2000,"&gt;"&amp;$A292,Recepciones!$A$5:$A$2000,"&lt;="&amp;$A293)&gt;0,SUMIFS(Recepciones!$C$5:$C$2000,Recepciones!$B$5:$B$2000,Config!$A$24,Recepciones!$A$5:$A$2000,"&gt;"&amp;$A292,Recepciones!$A$5:$A$2000,"&lt;="&amp;$A293),MAX(0,F293-F292)))</f>
        <v/>
      </c>
      <c r="H293" s="24" t="str">
        <f aca="false">IF($A293="","",MAX(0,F292+G293-F293))</f>
        <v/>
      </c>
      <c r="I293" s="24" t="str">
        <f aca="false">IF($A293="","",Stock_Diario!G293)</f>
        <v/>
      </c>
      <c r="J293" s="24" t="str">
        <f aca="false">IF($A293="","",IF(SUMIFS(Recepciones!$C$5:$C$2000,Recepciones!$B$5:$B$2000,Config!$A$25,Recepciones!$A$5:$A$2000,"&gt;"&amp;$A292,Recepciones!$A$5:$A$2000,"&lt;="&amp;$A293)&gt;0,SUMIFS(Recepciones!$C$5:$C$2000,Recepciones!$B$5:$B$2000,Config!$A$25,Recepciones!$A$5:$A$2000,"&gt;"&amp;$A292,Recepciones!$A$5:$A$2000,"&lt;="&amp;$A293),MAX(0,I293-I292)))</f>
        <v/>
      </c>
      <c r="K293" s="24" t="str">
        <f aca="false">IF($A293="","",MAX(0,I292+J293-I293))</f>
        <v/>
      </c>
      <c r="L293" s="24" t="str">
        <f aca="false">IF($A293="","",E293+H293+K293)</f>
        <v/>
      </c>
      <c r="M293" s="4" t="str">
        <f aca="false">IF($A293="","",IF(AND(D293+G293+J293&gt;0,SUMIFS(Recepciones!$C$5:$C$2000,Recepciones!$A$5:$A$2000,"&gt;"&amp;$A292,Recepciones!$A$5:$A$2000,"&lt;="&amp;$A293)=0),"Aumento de stock sin recepción registrada",IF(B293&gt;1,"Intervalo de "&amp;B293&amp;" días","")))</f>
        <v/>
      </c>
    </row>
    <row r="294" customFormat="false" ht="15" hidden="false" customHeight="false" outlineLevel="0" collapsed="false">
      <c r="A294" s="5" t="str">
        <f aca="false">IF(Stock_Diario!A294="","",Stock_Diario!A294)</f>
        <v/>
      </c>
      <c r="B294" s="4" t="str">
        <f aca="false">IF($A294="","",$A294-$A293)</f>
        <v/>
      </c>
      <c r="C294" s="24" t="str">
        <f aca="false">IF($A294="","",Stock_Diario!E294)</f>
        <v/>
      </c>
      <c r="D294" s="24" t="str">
        <f aca="false">IF($A294="","",IF(SUMIFS(Recepciones!$C$5:$C$2000,Recepciones!$B$5:$B$2000,Config!$A$23,Recepciones!$A$5:$A$2000,"&gt;"&amp;$A293,Recepciones!$A$5:$A$2000,"&lt;="&amp;$A294)&gt;0,SUMIFS(Recepciones!$C$5:$C$2000,Recepciones!$B$5:$B$2000,Config!$A$23,Recepciones!$A$5:$A$2000,"&gt;"&amp;$A293,Recepciones!$A$5:$A$2000,"&lt;="&amp;$A294),MAX(0,C294-C293)))</f>
        <v/>
      </c>
      <c r="E294" s="24" t="str">
        <f aca="false">IF($A294="","",MAX(0,C293+D294-C294))</f>
        <v/>
      </c>
      <c r="F294" s="24" t="str">
        <f aca="false">IF($A294="","",Stock_Diario!F294)</f>
        <v/>
      </c>
      <c r="G294" s="24" t="str">
        <f aca="false">IF($A294="","",IF(SUMIFS(Recepciones!$C$5:$C$2000,Recepciones!$B$5:$B$2000,Config!$A$24,Recepciones!$A$5:$A$2000,"&gt;"&amp;$A293,Recepciones!$A$5:$A$2000,"&lt;="&amp;$A294)&gt;0,SUMIFS(Recepciones!$C$5:$C$2000,Recepciones!$B$5:$B$2000,Config!$A$24,Recepciones!$A$5:$A$2000,"&gt;"&amp;$A293,Recepciones!$A$5:$A$2000,"&lt;="&amp;$A294),MAX(0,F294-F293)))</f>
        <v/>
      </c>
      <c r="H294" s="24" t="str">
        <f aca="false">IF($A294="","",MAX(0,F293+G294-F294))</f>
        <v/>
      </c>
      <c r="I294" s="24" t="str">
        <f aca="false">IF($A294="","",Stock_Diario!G294)</f>
        <v/>
      </c>
      <c r="J294" s="24" t="str">
        <f aca="false">IF($A294="","",IF(SUMIFS(Recepciones!$C$5:$C$2000,Recepciones!$B$5:$B$2000,Config!$A$25,Recepciones!$A$5:$A$2000,"&gt;"&amp;$A293,Recepciones!$A$5:$A$2000,"&lt;="&amp;$A294)&gt;0,SUMIFS(Recepciones!$C$5:$C$2000,Recepciones!$B$5:$B$2000,Config!$A$25,Recepciones!$A$5:$A$2000,"&gt;"&amp;$A293,Recepciones!$A$5:$A$2000,"&lt;="&amp;$A294),MAX(0,I294-I293)))</f>
        <v/>
      </c>
      <c r="K294" s="24" t="str">
        <f aca="false">IF($A294="","",MAX(0,I293+J294-I294))</f>
        <v/>
      </c>
      <c r="L294" s="24" t="str">
        <f aca="false">IF($A294="","",E294+H294+K294)</f>
        <v/>
      </c>
      <c r="M294" s="4" t="str">
        <f aca="false">IF($A294="","",IF(AND(D294+G294+J294&gt;0,SUMIFS(Recepciones!$C$5:$C$2000,Recepciones!$A$5:$A$2000,"&gt;"&amp;$A293,Recepciones!$A$5:$A$2000,"&lt;="&amp;$A294)=0),"Aumento de stock sin recepción registrada",IF(B294&gt;1,"Intervalo de "&amp;B294&amp;" días","")))</f>
        <v/>
      </c>
    </row>
    <row r="295" customFormat="false" ht="15" hidden="false" customHeight="false" outlineLevel="0" collapsed="false">
      <c r="A295" s="5" t="str">
        <f aca="false">IF(Stock_Diario!A295="","",Stock_Diario!A295)</f>
        <v/>
      </c>
      <c r="B295" s="4" t="str">
        <f aca="false">IF($A295="","",$A295-$A294)</f>
        <v/>
      </c>
      <c r="C295" s="24" t="str">
        <f aca="false">IF($A295="","",Stock_Diario!E295)</f>
        <v/>
      </c>
      <c r="D295" s="24" t="str">
        <f aca="false">IF($A295="","",IF(SUMIFS(Recepciones!$C$5:$C$2000,Recepciones!$B$5:$B$2000,Config!$A$23,Recepciones!$A$5:$A$2000,"&gt;"&amp;$A294,Recepciones!$A$5:$A$2000,"&lt;="&amp;$A295)&gt;0,SUMIFS(Recepciones!$C$5:$C$2000,Recepciones!$B$5:$B$2000,Config!$A$23,Recepciones!$A$5:$A$2000,"&gt;"&amp;$A294,Recepciones!$A$5:$A$2000,"&lt;="&amp;$A295),MAX(0,C295-C294)))</f>
        <v/>
      </c>
      <c r="E295" s="24" t="str">
        <f aca="false">IF($A295="","",MAX(0,C294+D295-C295))</f>
        <v/>
      </c>
      <c r="F295" s="24" t="str">
        <f aca="false">IF($A295="","",Stock_Diario!F295)</f>
        <v/>
      </c>
      <c r="G295" s="24" t="str">
        <f aca="false">IF($A295="","",IF(SUMIFS(Recepciones!$C$5:$C$2000,Recepciones!$B$5:$B$2000,Config!$A$24,Recepciones!$A$5:$A$2000,"&gt;"&amp;$A294,Recepciones!$A$5:$A$2000,"&lt;="&amp;$A295)&gt;0,SUMIFS(Recepciones!$C$5:$C$2000,Recepciones!$B$5:$B$2000,Config!$A$24,Recepciones!$A$5:$A$2000,"&gt;"&amp;$A294,Recepciones!$A$5:$A$2000,"&lt;="&amp;$A295),MAX(0,F295-F294)))</f>
        <v/>
      </c>
      <c r="H295" s="24" t="str">
        <f aca="false">IF($A295="","",MAX(0,F294+G295-F295))</f>
        <v/>
      </c>
      <c r="I295" s="24" t="str">
        <f aca="false">IF($A295="","",Stock_Diario!G295)</f>
        <v/>
      </c>
      <c r="J295" s="24" t="str">
        <f aca="false">IF($A295="","",IF(SUMIFS(Recepciones!$C$5:$C$2000,Recepciones!$B$5:$B$2000,Config!$A$25,Recepciones!$A$5:$A$2000,"&gt;"&amp;$A294,Recepciones!$A$5:$A$2000,"&lt;="&amp;$A295)&gt;0,SUMIFS(Recepciones!$C$5:$C$2000,Recepciones!$B$5:$B$2000,Config!$A$25,Recepciones!$A$5:$A$2000,"&gt;"&amp;$A294,Recepciones!$A$5:$A$2000,"&lt;="&amp;$A295),MAX(0,I295-I294)))</f>
        <v/>
      </c>
      <c r="K295" s="24" t="str">
        <f aca="false">IF($A295="","",MAX(0,I294+J295-I295))</f>
        <v/>
      </c>
      <c r="L295" s="24" t="str">
        <f aca="false">IF($A295="","",E295+H295+K295)</f>
        <v/>
      </c>
      <c r="M295" s="4" t="str">
        <f aca="false">IF($A295="","",IF(AND(D295+G295+J295&gt;0,SUMIFS(Recepciones!$C$5:$C$2000,Recepciones!$A$5:$A$2000,"&gt;"&amp;$A294,Recepciones!$A$5:$A$2000,"&lt;="&amp;$A295)=0),"Aumento de stock sin recepción registrada",IF(B295&gt;1,"Intervalo de "&amp;B295&amp;" días","")))</f>
        <v/>
      </c>
    </row>
    <row r="296" customFormat="false" ht="15" hidden="false" customHeight="false" outlineLevel="0" collapsed="false">
      <c r="A296" s="5" t="str">
        <f aca="false">IF(Stock_Diario!A296="","",Stock_Diario!A296)</f>
        <v/>
      </c>
      <c r="B296" s="4" t="str">
        <f aca="false">IF($A296="","",$A296-$A295)</f>
        <v/>
      </c>
      <c r="C296" s="24" t="str">
        <f aca="false">IF($A296="","",Stock_Diario!E296)</f>
        <v/>
      </c>
      <c r="D296" s="24" t="str">
        <f aca="false">IF($A296="","",IF(SUMIFS(Recepciones!$C$5:$C$2000,Recepciones!$B$5:$B$2000,Config!$A$23,Recepciones!$A$5:$A$2000,"&gt;"&amp;$A295,Recepciones!$A$5:$A$2000,"&lt;="&amp;$A296)&gt;0,SUMIFS(Recepciones!$C$5:$C$2000,Recepciones!$B$5:$B$2000,Config!$A$23,Recepciones!$A$5:$A$2000,"&gt;"&amp;$A295,Recepciones!$A$5:$A$2000,"&lt;="&amp;$A296),MAX(0,C296-C295)))</f>
        <v/>
      </c>
      <c r="E296" s="24" t="str">
        <f aca="false">IF($A296="","",MAX(0,C295+D296-C296))</f>
        <v/>
      </c>
      <c r="F296" s="24" t="str">
        <f aca="false">IF($A296="","",Stock_Diario!F296)</f>
        <v/>
      </c>
      <c r="G296" s="24" t="str">
        <f aca="false">IF($A296="","",IF(SUMIFS(Recepciones!$C$5:$C$2000,Recepciones!$B$5:$B$2000,Config!$A$24,Recepciones!$A$5:$A$2000,"&gt;"&amp;$A295,Recepciones!$A$5:$A$2000,"&lt;="&amp;$A296)&gt;0,SUMIFS(Recepciones!$C$5:$C$2000,Recepciones!$B$5:$B$2000,Config!$A$24,Recepciones!$A$5:$A$2000,"&gt;"&amp;$A295,Recepciones!$A$5:$A$2000,"&lt;="&amp;$A296),MAX(0,F296-F295)))</f>
        <v/>
      </c>
      <c r="H296" s="24" t="str">
        <f aca="false">IF($A296="","",MAX(0,F295+G296-F296))</f>
        <v/>
      </c>
      <c r="I296" s="24" t="str">
        <f aca="false">IF($A296="","",Stock_Diario!G296)</f>
        <v/>
      </c>
      <c r="J296" s="24" t="str">
        <f aca="false">IF($A296="","",IF(SUMIFS(Recepciones!$C$5:$C$2000,Recepciones!$B$5:$B$2000,Config!$A$25,Recepciones!$A$5:$A$2000,"&gt;"&amp;$A295,Recepciones!$A$5:$A$2000,"&lt;="&amp;$A296)&gt;0,SUMIFS(Recepciones!$C$5:$C$2000,Recepciones!$B$5:$B$2000,Config!$A$25,Recepciones!$A$5:$A$2000,"&gt;"&amp;$A295,Recepciones!$A$5:$A$2000,"&lt;="&amp;$A296),MAX(0,I296-I295)))</f>
        <v/>
      </c>
      <c r="K296" s="24" t="str">
        <f aca="false">IF($A296="","",MAX(0,I295+J296-I296))</f>
        <v/>
      </c>
      <c r="L296" s="24" t="str">
        <f aca="false">IF($A296="","",E296+H296+K296)</f>
        <v/>
      </c>
      <c r="M296" s="4" t="str">
        <f aca="false">IF($A296="","",IF(AND(D296+G296+J296&gt;0,SUMIFS(Recepciones!$C$5:$C$2000,Recepciones!$A$5:$A$2000,"&gt;"&amp;$A295,Recepciones!$A$5:$A$2000,"&lt;="&amp;$A296)=0),"Aumento de stock sin recepción registrada",IF(B296&gt;1,"Intervalo de "&amp;B296&amp;" días","")))</f>
        <v/>
      </c>
    </row>
    <row r="297" customFormat="false" ht="15" hidden="false" customHeight="false" outlineLevel="0" collapsed="false">
      <c r="A297" s="5" t="str">
        <f aca="false">IF(Stock_Diario!A297="","",Stock_Diario!A297)</f>
        <v/>
      </c>
      <c r="B297" s="4" t="str">
        <f aca="false">IF($A297="","",$A297-$A296)</f>
        <v/>
      </c>
      <c r="C297" s="24" t="str">
        <f aca="false">IF($A297="","",Stock_Diario!E297)</f>
        <v/>
      </c>
      <c r="D297" s="24" t="str">
        <f aca="false">IF($A297="","",IF(SUMIFS(Recepciones!$C$5:$C$2000,Recepciones!$B$5:$B$2000,Config!$A$23,Recepciones!$A$5:$A$2000,"&gt;"&amp;$A296,Recepciones!$A$5:$A$2000,"&lt;="&amp;$A297)&gt;0,SUMIFS(Recepciones!$C$5:$C$2000,Recepciones!$B$5:$B$2000,Config!$A$23,Recepciones!$A$5:$A$2000,"&gt;"&amp;$A296,Recepciones!$A$5:$A$2000,"&lt;="&amp;$A297),MAX(0,C297-C296)))</f>
        <v/>
      </c>
      <c r="E297" s="24" t="str">
        <f aca="false">IF($A297="","",MAX(0,C296+D297-C297))</f>
        <v/>
      </c>
      <c r="F297" s="24" t="str">
        <f aca="false">IF($A297="","",Stock_Diario!F297)</f>
        <v/>
      </c>
      <c r="G297" s="24" t="str">
        <f aca="false">IF($A297="","",IF(SUMIFS(Recepciones!$C$5:$C$2000,Recepciones!$B$5:$B$2000,Config!$A$24,Recepciones!$A$5:$A$2000,"&gt;"&amp;$A296,Recepciones!$A$5:$A$2000,"&lt;="&amp;$A297)&gt;0,SUMIFS(Recepciones!$C$5:$C$2000,Recepciones!$B$5:$B$2000,Config!$A$24,Recepciones!$A$5:$A$2000,"&gt;"&amp;$A296,Recepciones!$A$5:$A$2000,"&lt;="&amp;$A297),MAX(0,F297-F296)))</f>
        <v/>
      </c>
      <c r="H297" s="24" t="str">
        <f aca="false">IF($A297="","",MAX(0,F296+G297-F297))</f>
        <v/>
      </c>
      <c r="I297" s="24" t="str">
        <f aca="false">IF($A297="","",Stock_Diario!G297)</f>
        <v/>
      </c>
      <c r="J297" s="24" t="str">
        <f aca="false">IF($A297="","",IF(SUMIFS(Recepciones!$C$5:$C$2000,Recepciones!$B$5:$B$2000,Config!$A$25,Recepciones!$A$5:$A$2000,"&gt;"&amp;$A296,Recepciones!$A$5:$A$2000,"&lt;="&amp;$A297)&gt;0,SUMIFS(Recepciones!$C$5:$C$2000,Recepciones!$B$5:$B$2000,Config!$A$25,Recepciones!$A$5:$A$2000,"&gt;"&amp;$A296,Recepciones!$A$5:$A$2000,"&lt;="&amp;$A297),MAX(0,I297-I296)))</f>
        <v/>
      </c>
      <c r="K297" s="24" t="str">
        <f aca="false">IF($A297="","",MAX(0,I296+J297-I297))</f>
        <v/>
      </c>
      <c r="L297" s="24" t="str">
        <f aca="false">IF($A297="","",E297+H297+K297)</f>
        <v/>
      </c>
      <c r="M297" s="4" t="str">
        <f aca="false">IF($A297="","",IF(AND(D297+G297+J297&gt;0,SUMIFS(Recepciones!$C$5:$C$2000,Recepciones!$A$5:$A$2000,"&gt;"&amp;$A296,Recepciones!$A$5:$A$2000,"&lt;="&amp;$A297)=0),"Aumento de stock sin recepción registrada",IF(B297&gt;1,"Intervalo de "&amp;B297&amp;" días","")))</f>
        <v/>
      </c>
    </row>
    <row r="298" customFormat="false" ht="15" hidden="false" customHeight="false" outlineLevel="0" collapsed="false">
      <c r="A298" s="5" t="str">
        <f aca="false">IF(Stock_Diario!A298="","",Stock_Diario!A298)</f>
        <v/>
      </c>
      <c r="B298" s="4" t="str">
        <f aca="false">IF($A298="","",$A298-$A297)</f>
        <v/>
      </c>
      <c r="C298" s="24" t="str">
        <f aca="false">IF($A298="","",Stock_Diario!E298)</f>
        <v/>
      </c>
      <c r="D298" s="24" t="str">
        <f aca="false">IF($A298="","",IF(SUMIFS(Recepciones!$C$5:$C$2000,Recepciones!$B$5:$B$2000,Config!$A$23,Recepciones!$A$5:$A$2000,"&gt;"&amp;$A297,Recepciones!$A$5:$A$2000,"&lt;="&amp;$A298)&gt;0,SUMIFS(Recepciones!$C$5:$C$2000,Recepciones!$B$5:$B$2000,Config!$A$23,Recepciones!$A$5:$A$2000,"&gt;"&amp;$A297,Recepciones!$A$5:$A$2000,"&lt;="&amp;$A298),MAX(0,C298-C297)))</f>
        <v/>
      </c>
      <c r="E298" s="24" t="str">
        <f aca="false">IF($A298="","",MAX(0,C297+D298-C298))</f>
        <v/>
      </c>
      <c r="F298" s="24" t="str">
        <f aca="false">IF($A298="","",Stock_Diario!F298)</f>
        <v/>
      </c>
      <c r="G298" s="24" t="str">
        <f aca="false">IF($A298="","",IF(SUMIFS(Recepciones!$C$5:$C$2000,Recepciones!$B$5:$B$2000,Config!$A$24,Recepciones!$A$5:$A$2000,"&gt;"&amp;$A297,Recepciones!$A$5:$A$2000,"&lt;="&amp;$A298)&gt;0,SUMIFS(Recepciones!$C$5:$C$2000,Recepciones!$B$5:$B$2000,Config!$A$24,Recepciones!$A$5:$A$2000,"&gt;"&amp;$A297,Recepciones!$A$5:$A$2000,"&lt;="&amp;$A298),MAX(0,F298-F297)))</f>
        <v/>
      </c>
      <c r="H298" s="24" t="str">
        <f aca="false">IF($A298="","",MAX(0,F297+G298-F298))</f>
        <v/>
      </c>
      <c r="I298" s="24" t="str">
        <f aca="false">IF($A298="","",Stock_Diario!G298)</f>
        <v/>
      </c>
      <c r="J298" s="24" t="str">
        <f aca="false">IF($A298="","",IF(SUMIFS(Recepciones!$C$5:$C$2000,Recepciones!$B$5:$B$2000,Config!$A$25,Recepciones!$A$5:$A$2000,"&gt;"&amp;$A297,Recepciones!$A$5:$A$2000,"&lt;="&amp;$A298)&gt;0,SUMIFS(Recepciones!$C$5:$C$2000,Recepciones!$B$5:$B$2000,Config!$A$25,Recepciones!$A$5:$A$2000,"&gt;"&amp;$A297,Recepciones!$A$5:$A$2000,"&lt;="&amp;$A298),MAX(0,I298-I297)))</f>
        <v/>
      </c>
      <c r="K298" s="24" t="str">
        <f aca="false">IF($A298="","",MAX(0,I297+J298-I298))</f>
        <v/>
      </c>
      <c r="L298" s="24" t="str">
        <f aca="false">IF($A298="","",E298+H298+K298)</f>
        <v/>
      </c>
      <c r="M298" s="4" t="str">
        <f aca="false">IF($A298="","",IF(AND(D298+G298+J298&gt;0,SUMIFS(Recepciones!$C$5:$C$2000,Recepciones!$A$5:$A$2000,"&gt;"&amp;$A297,Recepciones!$A$5:$A$2000,"&lt;="&amp;$A298)=0),"Aumento de stock sin recepción registrada",IF(B298&gt;1,"Intervalo de "&amp;B298&amp;" días","")))</f>
        <v/>
      </c>
    </row>
    <row r="299" customFormat="false" ht="15" hidden="false" customHeight="false" outlineLevel="0" collapsed="false">
      <c r="A299" s="5" t="str">
        <f aca="false">IF(Stock_Diario!A299="","",Stock_Diario!A299)</f>
        <v/>
      </c>
      <c r="B299" s="4" t="str">
        <f aca="false">IF($A299="","",$A299-$A298)</f>
        <v/>
      </c>
      <c r="C299" s="24" t="str">
        <f aca="false">IF($A299="","",Stock_Diario!E299)</f>
        <v/>
      </c>
      <c r="D299" s="24" t="str">
        <f aca="false">IF($A299="","",IF(SUMIFS(Recepciones!$C$5:$C$2000,Recepciones!$B$5:$B$2000,Config!$A$23,Recepciones!$A$5:$A$2000,"&gt;"&amp;$A298,Recepciones!$A$5:$A$2000,"&lt;="&amp;$A299)&gt;0,SUMIFS(Recepciones!$C$5:$C$2000,Recepciones!$B$5:$B$2000,Config!$A$23,Recepciones!$A$5:$A$2000,"&gt;"&amp;$A298,Recepciones!$A$5:$A$2000,"&lt;="&amp;$A299),MAX(0,C299-C298)))</f>
        <v/>
      </c>
      <c r="E299" s="24" t="str">
        <f aca="false">IF($A299="","",MAX(0,C298+D299-C299))</f>
        <v/>
      </c>
      <c r="F299" s="24" t="str">
        <f aca="false">IF($A299="","",Stock_Diario!F299)</f>
        <v/>
      </c>
      <c r="G299" s="24" t="str">
        <f aca="false">IF($A299="","",IF(SUMIFS(Recepciones!$C$5:$C$2000,Recepciones!$B$5:$B$2000,Config!$A$24,Recepciones!$A$5:$A$2000,"&gt;"&amp;$A298,Recepciones!$A$5:$A$2000,"&lt;="&amp;$A299)&gt;0,SUMIFS(Recepciones!$C$5:$C$2000,Recepciones!$B$5:$B$2000,Config!$A$24,Recepciones!$A$5:$A$2000,"&gt;"&amp;$A298,Recepciones!$A$5:$A$2000,"&lt;="&amp;$A299),MAX(0,F299-F298)))</f>
        <v/>
      </c>
      <c r="H299" s="24" t="str">
        <f aca="false">IF($A299="","",MAX(0,F298+G299-F299))</f>
        <v/>
      </c>
      <c r="I299" s="24" t="str">
        <f aca="false">IF($A299="","",Stock_Diario!G299)</f>
        <v/>
      </c>
      <c r="J299" s="24" t="str">
        <f aca="false">IF($A299="","",IF(SUMIFS(Recepciones!$C$5:$C$2000,Recepciones!$B$5:$B$2000,Config!$A$25,Recepciones!$A$5:$A$2000,"&gt;"&amp;$A298,Recepciones!$A$5:$A$2000,"&lt;="&amp;$A299)&gt;0,SUMIFS(Recepciones!$C$5:$C$2000,Recepciones!$B$5:$B$2000,Config!$A$25,Recepciones!$A$5:$A$2000,"&gt;"&amp;$A298,Recepciones!$A$5:$A$2000,"&lt;="&amp;$A299),MAX(0,I299-I298)))</f>
        <v/>
      </c>
      <c r="K299" s="24" t="str">
        <f aca="false">IF($A299="","",MAX(0,I298+J299-I299))</f>
        <v/>
      </c>
      <c r="L299" s="24" t="str">
        <f aca="false">IF($A299="","",E299+H299+K299)</f>
        <v/>
      </c>
      <c r="M299" s="4" t="str">
        <f aca="false">IF($A299="","",IF(AND(D299+G299+J299&gt;0,SUMIFS(Recepciones!$C$5:$C$2000,Recepciones!$A$5:$A$2000,"&gt;"&amp;$A298,Recepciones!$A$5:$A$2000,"&lt;="&amp;$A299)=0),"Aumento de stock sin recepción registrada",IF(B299&gt;1,"Intervalo de "&amp;B299&amp;" días","")))</f>
        <v/>
      </c>
    </row>
    <row r="300" customFormat="false" ht="15" hidden="false" customHeight="false" outlineLevel="0" collapsed="false">
      <c r="A300" s="5" t="str">
        <f aca="false">IF(Stock_Diario!A300="","",Stock_Diario!A300)</f>
        <v/>
      </c>
      <c r="B300" s="4" t="str">
        <f aca="false">IF($A300="","",$A300-$A299)</f>
        <v/>
      </c>
      <c r="C300" s="24" t="str">
        <f aca="false">IF($A300="","",Stock_Diario!E300)</f>
        <v/>
      </c>
      <c r="D300" s="24" t="str">
        <f aca="false">IF($A300="","",IF(SUMIFS(Recepciones!$C$5:$C$2000,Recepciones!$B$5:$B$2000,Config!$A$23,Recepciones!$A$5:$A$2000,"&gt;"&amp;$A299,Recepciones!$A$5:$A$2000,"&lt;="&amp;$A300)&gt;0,SUMIFS(Recepciones!$C$5:$C$2000,Recepciones!$B$5:$B$2000,Config!$A$23,Recepciones!$A$5:$A$2000,"&gt;"&amp;$A299,Recepciones!$A$5:$A$2000,"&lt;="&amp;$A300),MAX(0,C300-C299)))</f>
        <v/>
      </c>
      <c r="E300" s="24" t="str">
        <f aca="false">IF($A300="","",MAX(0,C299+D300-C300))</f>
        <v/>
      </c>
      <c r="F300" s="24" t="str">
        <f aca="false">IF($A300="","",Stock_Diario!F300)</f>
        <v/>
      </c>
      <c r="G300" s="24" t="str">
        <f aca="false">IF($A300="","",IF(SUMIFS(Recepciones!$C$5:$C$2000,Recepciones!$B$5:$B$2000,Config!$A$24,Recepciones!$A$5:$A$2000,"&gt;"&amp;$A299,Recepciones!$A$5:$A$2000,"&lt;="&amp;$A300)&gt;0,SUMIFS(Recepciones!$C$5:$C$2000,Recepciones!$B$5:$B$2000,Config!$A$24,Recepciones!$A$5:$A$2000,"&gt;"&amp;$A299,Recepciones!$A$5:$A$2000,"&lt;="&amp;$A300),MAX(0,F300-F299)))</f>
        <v/>
      </c>
      <c r="H300" s="24" t="str">
        <f aca="false">IF($A300="","",MAX(0,F299+G300-F300))</f>
        <v/>
      </c>
      <c r="I300" s="24" t="str">
        <f aca="false">IF($A300="","",Stock_Diario!G300)</f>
        <v/>
      </c>
      <c r="J300" s="24" t="str">
        <f aca="false">IF($A300="","",IF(SUMIFS(Recepciones!$C$5:$C$2000,Recepciones!$B$5:$B$2000,Config!$A$25,Recepciones!$A$5:$A$2000,"&gt;"&amp;$A299,Recepciones!$A$5:$A$2000,"&lt;="&amp;$A300)&gt;0,SUMIFS(Recepciones!$C$5:$C$2000,Recepciones!$B$5:$B$2000,Config!$A$25,Recepciones!$A$5:$A$2000,"&gt;"&amp;$A299,Recepciones!$A$5:$A$2000,"&lt;="&amp;$A300),MAX(0,I300-I299)))</f>
        <v/>
      </c>
      <c r="K300" s="24" t="str">
        <f aca="false">IF($A300="","",MAX(0,I299+J300-I300))</f>
        <v/>
      </c>
      <c r="L300" s="24" t="str">
        <f aca="false">IF($A300="","",E300+H300+K300)</f>
        <v/>
      </c>
      <c r="M300" s="4" t="str">
        <f aca="false">IF($A300="","",IF(AND(D300+G300+J300&gt;0,SUMIFS(Recepciones!$C$5:$C$2000,Recepciones!$A$5:$A$2000,"&gt;"&amp;$A299,Recepciones!$A$5:$A$2000,"&lt;="&amp;$A300)=0),"Aumento de stock sin recepción registrada",IF(B300&gt;1,"Intervalo de "&amp;B300&amp;" días","")))</f>
        <v/>
      </c>
    </row>
    <row r="301" customFormat="false" ht="15" hidden="false" customHeight="false" outlineLevel="0" collapsed="false">
      <c r="A301" s="5" t="str">
        <f aca="false">IF(Stock_Diario!A301="","",Stock_Diario!A301)</f>
        <v/>
      </c>
      <c r="B301" s="4" t="str">
        <f aca="false">IF($A301="","",$A301-$A300)</f>
        <v/>
      </c>
      <c r="C301" s="24" t="str">
        <f aca="false">IF($A301="","",Stock_Diario!E301)</f>
        <v/>
      </c>
      <c r="D301" s="24" t="str">
        <f aca="false">IF($A301="","",IF(SUMIFS(Recepciones!$C$5:$C$2000,Recepciones!$B$5:$B$2000,Config!$A$23,Recepciones!$A$5:$A$2000,"&gt;"&amp;$A300,Recepciones!$A$5:$A$2000,"&lt;="&amp;$A301)&gt;0,SUMIFS(Recepciones!$C$5:$C$2000,Recepciones!$B$5:$B$2000,Config!$A$23,Recepciones!$A$5:$A$2000,"&gt;"&amp;$A300,Recepciones!$A$5:$A$2000,"&lt;="&amp;$A301),MAX(0,C301-C300)))</f>
        <v/>
      </c>
      <c r="E301" s="24" t="str">
        <f aca="false">IF($A301="","",MAX(0,C300+D301-C301))</f>
        <v/>
      </c>
      <c r="F301" s="24" t="str">
        <f aca="false">IF($A301="","",Stock_Diario!F301)</f>
        <v/>
      </c>
      <c r="G301" s="24" t="str">
        <f aca="false">IF($A301="","",IF(SUMIFS(Recepciones!$C$5:$C$2000,Recepciones!$B$5:$B$2000,Config!$A$24,Recepciones!$A$5:$A$2000,"&gt;"&amp;$A300,Recepciones!$A$5:$A$2000,"&lt;="&amp;$A301)&gt;0,SUMIFS(Recepciones!$C$5:$C$2000,Recepciones!$B$5:$B$2000,Config!$A$24,Recepciones!$A$5:$A$2000,"&gt;"&amp;$A300,Recepciones!$A$5:$A$2000,"&lt;="&amp;$A301),MAX(0,F301-F300)))</f>
        <v/>
      </c>
      <c r="H301" s="24" t="str">
        <f aca="false">IF($A301="","",MAX(0,F300+G301-F301))</f>
        <v/>
      </c>
      <c r="I301" s="24" t="str">
        <f aca="false">IF($A301="","",Stock_Diario!G301)</f>
        <v/>
      </c>
      <c r="J301" s="24" t="str">
        <f aca="false">IF($A301="","",IF(SUMIFS(Recepciones!$C$5:$C$2000,Recepciones!$B$5:$B$2000,Config!$A$25,Recepciones!$A$5:$A$2000,"&gt;"&amp;$A300,Recepciones!$A$5:$A$2000,"&lt;="&amp;$A301)&gt;0,SUMIFS(Recepciones!$C$5:$C$2000,Recepciones!$B$5:$B$2000,Config!$A$25,Recepciones!$A$5:$A$2000,"&gt;"&amp;$A300,Recepciones!$A$5:$A$2000,"&lt;="&amp;$A301),MAX(0,I301-I300)))</f>
        <v/>
      </c>
      <c r="K301" s="24" t="str">
        <f aca="false">IF($A301="","",MAX(0,I300+J301-I301))</f>
        <v/>
      </c>
      <c r="L301" s="24" t="str">
        <f aca="false">IF($A301="","",E301+H301+K301)</f>
        <v/>
      </c>
      <c r="M301" s="4" t="str">
        <f aca="false">IF($A301="","",IF(AND(D301+G301+J301&gt;0,SUMIFS(Recepciones!$C$5:$C$2000,Recepciones!$A$5:$A$2000,"&gt;"&amp;$A300,Recepciones!$A$5:$A$2000,"&lt;="&amp;$A301)=0),"Aumento de stock sin recepción registrada",IF(B301&gt;1,"Intervalo de "&amp;B301&amp;" días","")))</f>
        <v/>
      </c>
    </row>
    <row r="302" customFormat="false" ht="15" hidden="false" customHeight="false" outlineLevel="0" collapsed="false">
      <c r="A302" s="5" t="str">
        <f aca="false">IF(Stock_Diario!A302="","",Stock_Diario!A302)</f>
        <v/>
      </c>
      <c r="B302" s="4" t="str">
        <f aca="false">IF($A302="","",$A302-$A301)</f>
        <v/>
      </c>
      <c r="C302" s="24" t="str">
        <f aca="false">IF($A302="","",Stock_Diario!E302)</f>
        <v/>
      </c>
      <c r="D302" s="24" t="str">
        <f aca="false">IF($A302="","",IF(SUMIFS(Recepciones!$C$5:$C$2000,Recepciones!$B$5:$B$2000,Config!$A$23,Recepciones!$A$5:$A$2000,"&gt;"&amp;$A301,Recepciones!$A$5:$A$2000,"&lt;="&amp;$A302)&gt;0,SUMIFS(Recepciones!$C$5:$C$2000,Recepciones!$B$5:$B$2000,Config!$A$23,Recepciones!$A$5:$A$2000,"&gt;"&amp;$A301,Recepciones!$A$5:$A$2000,"&lt;="&amp;$A302),MAX(0,C302-C301)))</f>
        <v/>
      </c>
      <c r="E302" s="24" t="str">
        <f aca="false">IF($A302="","",MAX(0,C301+D302-C302))</f>
        <v/>
      </c>
      <c r="F302" s="24" t="str">
        <f aca="false">IF($A302="","",Stock_Diario!F302)</f>
        <v/>
      </c>
      <c r="G302" s="24" t="str">
        <f aca="false">IF($A302="","",IF(SUMIFS(Recepciones!$C$5:$C$2000,Recepciones!$B$5:$B$2000,Config!$A$24,Recepciones!$A$5:$A$2000,"&gt;"&amp;$A301,Recepciones!$A$5:$A$2000,"&lt;="&amp;$A302)&gt;0,SUMIFS(Recepciones!$C$5:$C$2000,Recepciones!$B$5:$B$2000,Config!$A$24,Recepciones!$A$5:$A$2000,"&gt;"&amp;$A301,Recepciones!$A$5:$A$2000,"&lt;="&amp;$A302),MAX(0,F302-F301)))</f>
        <v/>
      </c>
      <c r="H302" s="24" t="str">
        <f aca="false">IF($A302="","",MAX(0,F301+G302-F302))</f>
        <v/>
      </c>
      <c r="I302" s="24" t="str">
        <f aca="false">IF($A302="","",Stock_Diario!G302)</f>
        <v/>
      </c>
      <c r="J302" s="24" t="str">
        <f aca="false">IF($A302="","",IF(SUMIFS(Recepciones!$C$5:$C$2000,Recepciones!$B$5:$B$2000,Config!$A$25,Recepciones!$A$5:$A$2000,"&gt;"&amp;$A301,Recepciones!$A$5:$A$2000,"&lt;="&amp;$A302)&gt;0,SUMIFS(Recepciones!$C$5:$C$2000,Recepciones!$B$5:$B$2000,Config!$A$25,Recepciones!$A$5:$A$2000,"&gt;"&amp;$A301,Recepciones!$A$5:$A$2000,"&lt;="&amp;$A302),MAX(0,I302-I301)))</f>
        <v/>
      </c>
      <c r="K302" s="24" t="str">
        <f aca="false">IF($A302="","",MAX(0,I301+J302-I302))</f>
        <v/>
      </c>
      <c r="L302" s="24" t="str">
        <f aca="false">IF($A302="","",E302+H302+K302)</f>
        <v/>
      </c>
      <c r="M302" s="4" t="str">
        <f aca="false">IF($A302="","",IF(AND(D302+G302+J302&gt;0,SUMIFS(Recepciones!$C$5:$C$2000,Recepciones!$A$5:$A$2000,"&gt;"&amp;$A301,Recepciones!$A$5:$A$2000,"&lt;="&amp;$A302)=0),"Aumento de stock sin recepción registrada",IF(B302&gt;1,"Intervalo de "&amp;B302&amp;" días","")))</f>
        <v/>
      </c>
    </row>
    <row r="303" customFormat="false" ht="15" hidden="false" customHeight="false" outlineLevel="0" collapsed="false">
      <c r="A303" s="5" t="str">
        <f aca="false">IF(Stock_Diario!A303="","",Stock_Diario!A303)</f>
        <v/>
      </c>
      <c r="B303" s="4" t="str">
        <f aca="false">IF($A303="","",$A303-$A302)</f>
        <v/>
      </c>
      <c r="C303" s="24" t="str">
        <f aca="false">IF($A303="","",Stock_Diario!E303)</f>
        <v/>
      </c>
      <c r="D303" s="24" t="str">
        <f aca="false">IF($A303="","",IF(SUMIFS(Recepciones!$C$5:$C$2000,Recepciones!$B$5:$B$2000,Config!$A$23,Recepciones!$A$5:$A$2000,"&gt;"&amp;$A302,Recepciones!$A$5:$A$2000,"&lt;="&amp;$A303)&gt;0,SUMIFS(Recepciones!$C$5:$C$2000,Recepciones!$B$5:$B$2000,Config!$A$23,Recepciones!$A$5:$A$2000,"&gt;"&amp;$A302,Recepciones!$A$5:$A$2000,"&lt;="&amp;$A303),MAX(0,C303-C302)))</f>
        <v/>
      </c>
      <c r="E303" s="24" t="str">
        <f aca="false">IF($A303="","",MAX(0,C302+D303-C303))</f>
        <v/>
      </c>
      <c r="F303" s="24" t="str">
        <f aca="false">IF($A303="","",Stock_Diario!F303)</f>
        <v/>
      </c>
      <c r="G303" s="24" t="str">
        <f aca="false">IF($A303="","",IF(SUMIFS(Recepciones!$C$5:$C$2000,Recepciones!$B$5:$B$2000,Config!$A$24,Recepciones!$A$5:$A$2000,"&gt;"&amp;$A302,Recepciones!$A$5:$A$2000,"&lt;="&amp;$A303)&gt;0,SUMIFS(Recepciones!$C$5:$C$2000,Recepciones!$B$5:$B$2000,Config!$A$24,Recepciones!$A$5:$A$2000,"&gt;"&amp;$A302,Recepciones!$A$5:$A$2000,"&lt;="&amp;$A303),MAX(0,F303-F302)))</f>
        <v/>
      </c>
      <c r="H303" s="24" t="str">
        <f aca="false">IF($A303="","",MAX(0,F302+G303-F303))</f>
        <v/>
      </c>
      <c r="I303" s="24" t="str">
        <f aca="false">IF($A303="","",Stock_Diario!G303)</f>
        <v/>
      </c>
      <c r="J303" s="24" t="str">
        <f aca="false">IF($A303="","",IF(SUMIFS(Recepciones!$C$5:$C$2000,Recepciones!$B$5:$B$2000,Config!$A$25,Recepciones!$A$5:$A$2000,"&gt;"&amp;$A302,Recepciones!$A$5:$A$2000,"&lt;="&amp;$A303)&gt;0,SUMIFS(Recepciones!$C$5:$C$2000,Recepciones!$B$5:$B$2000,Config!$A$25,Recepciones!$A$5:$A$2000,"&gt;"&amp;$A302,Recepciones!$A$5:$A$2000,"&lt;="&amp;$A303),MAX(0,I303-I302)))</f>
        <v/>
      </c>
      <c r="K303" s="24" t="str">
        <f aca="false">IF($A303="","",MAX(0,I302+J303-I303))</f>
        <v/>
      </c>
      <c r="L303" s="24" t="str">
        <f aca="false">IF($A303="","",E303+H303+K303)</f>
        <v/>
      </c>
      <c r="M303" s="4" t="str">
        <f aca="false">IF($A303="","",IF(AND(D303+G303+J303&gt;0,SUMIFS(Recepciones!$C$5:$C$2000,Recepciones!$A$5:$A$2000,"&gt;"&amp;$A302,Recepciones!$A$5:$A$2000,"&lt;="&amp;$A303)=0),"Aumento de stock sin recepción registrada",IF(B303&gt;1,"Intervalo de "&amp;B303&amp;" días","")))</f>
        <v/>
      </c>
    </row>
    <row r="304" customFormat="false" ht="15" hidden="false" customHeight="false" outlineLevel="0" collapsed="false">
      <c r="A304" s="5" t="str">
        <f aca="false">IF(Stock_Diario!A304="","",Stock_Diario!A304)</f>
        <v/>
      </c>
      <c r="B304" s="4" t="str">
        <f aca="false">IF($A304="","",$A304-$A303)</f>
        <v/>
      </c>
      <c r="C304" s="24" t="str">
        <f aca="false">IF($A304="","",Stock_Diario!E304)</f>
        <v/>
      </c>
      <c r="D304" s="24" t="str">
        <f aca="false">IF($A304="","",IF(SUMIFS(Recepciones!$C$5:$C$2000,Recepciones!$B$5:$B$2000,Config!$A$23,Recepciones!$A$5:$A$2000,"&gt;"&amp;$A303,Recepciones!$A$5:$A$2000,"&lt;="&amp;$A304)&gt;0,SUMIFS(Recepciones!$C$5:$C$2000,Recepciones!$B$5:$B$2000,Config!$A$23,Recepciones!$A$5:$A$2000,"&gt;"&amp;$A303,Recepciones!$A$5:$A$2000,"&lt;="&amp;$A304),MAX(0,C304-C303)))</f>
        <v/>
      </c>
      <c r="E304" s="24" t="str">
        <f aca="false">IF($A304="","",MAX(0,C303+D304-C304))</f>
        <v/>
      </c>
      <c r="F304" s="24" t="str">
        <f aca="false">IF($A304="","",Stock_Diario!F304)</f>
        <v/>
      </c>
      <c r="G304" s="24" t="str">
        <f aca="false">IF($A304="","",IF(SUMIFS(Recepciones!$C$5:$C$2000,Recepciones!$B$5:$B$2000,Config!$A$24,Recepciones!$A$5:$A$2000,"&gt;"&amp;$A303,Recepciones!$A$5:$A$2000,"&lt;="&amp;$A304)&gt;0,SUMIFS(Recepciones!$C$5:$C$2000,Recepciones!$B$5:$B$2000,Config!$A$24,Recepciones!$A$5:$A$2000,"&gt;"&amp;$A303,Recepciones!$A$5:$A$2000,"&lt;="&amp;$A304),MAX(0,F304-F303)))</f>
        <v/>
      </c>
      <c r="H304" s="24" t="str">
        <f aca="false">IF($A304="","",MAX(0,F303+G304-F304))</f>
        <v/>
      </c>
      <c r="I304" s="24" t="str">
        <f aca="false">IF($A304="","",Stock_Diario!G304)</f>
        <v/>
      </c>
      <c r="J304" s="24" t="str">
        <f aca="false">IF($A304="","",IF(SUMIFS(Recepciones!$C$5:$C$2000,Recepciones!$B$5:$B$2000,Config!$A$25,Recepciones!$A$5:$A$2000,"&gt;"&amp;$A303,Recepciones!$A$5:$A$2000,"&lt;="&amp;$A304)&gt;0,SUMIFS(Recepciones!$C$5:$C$2000,Recepciones!$B$5:$B$2000,Config!$A$25,Recepciones!$A$5:$A$2000,"&gt;"&amp;$A303,Recepciones!$A$5:$A$2000,"&lt;="&amp;$A304),MAX(0,I304-I303)))</f>
        <v/>
      </c>
      <c r="K304" s="24" t="str">
        <f aca="false">IF($A304="","",MAX(0,I303+J304-I304))</f>
        <v/>
      </c>
      <c r="L304" s="24" t="str">
        <f aca="false">IF($A304="","",E304+H304+K304)</f>
        <v/>
      </c>
      <c r="M304" s="4" t="str">
        <f aca="false">IF($A304="","",IF(AND(D304+G304+J304&gt;0,SUMIFS(Recepciones!$C$5:$C$2000,Recepciones!$A$5:$A$2000,"&gt;"&amp;$A303,Recepciones!$A$5:$A$2000,"&lt;="&amp;$A304)=0),"Aumento de stock sin recepción registrada",IF(B304&gt;1,"Intervalo de "&amp;B304&amp;" días","")))</f>
        <v/>
      </c>
    </row>
    <row r="305" customFormat="false" ht="15" hidden="false" customHeight="false" outlineLevel="0" collapsed="false">
      <c r="A305" s="5" t="str">
        <f aca="false">IF(Stock_Diario!A305="","",Stock_Diario!A305)</f>
        <v/>
      </c>
      <c r="B305" s="4" t="str">
        <f aca="false">IF($A305="","",$A305-$A304)</f>
        <v/>
      </c>
      <c r="C305" s="24" t="str">
        <f aca="false">IF($A305="","",Stock_Diario!E305)</f>
        <v/>
      </c>
      <c r="D305" s="24" t="str">
        <f aca="false">IF($A305="","",IF(SUMIFS(Recepciones!$C$5:$C$2000,Recepciones!$B$5:$B$2000,Config!$A$23,Recepciones!$A$5:$A$2000,"&gt;"&amp;$A304,Recepciones!$A$5:$A$2000,"&lt;="&amp;$A305)&gt;0,SUMIFS(Recepciones!$C$5:$C$2000,Recepciones!$B$5:$B$2000,Config!$A$23,Recepciones!$A$5:$A$2000,"&gt;"&amp;$A304,Recepciones!$A$5:$A$2000,"&lt;="&amp;$A305),MAX(0,C305-C304)))</f>
        <v/>
      </c>
      <c r="E305" s="24" t="str">
        <f aca="false">IF($A305="","",MAX(0,C304+D305-C305))</f>
        <v/>
      </c>
      <c r="F305" s="24" t="str">
        <f aca="false">IF($A305="","",Stock_Diario!F305)</f>
        <v/>
      </c>
      <c r="G305" s="24" t="str">
        <f aca="false">IF($A305="","",IF(SUMIFS(Recepciones!$C$5:$C$2000,Recepciones!$B$5:$B$2000,Config!$A$24,Recepciones!$A$5:$A$2000,"&gt;"&amp;$A304,Recepciones!$A$5:$A$2000,"&lt;="&amp;$A305)&gt;0,SUMIFS(Recepciones!$C$5:$C$2000,Recepciones!$B$5:$B$2000,Config!$A$24,Recepciones!$A$5:$A$2000,"&gt;"&amp;$A304,Recepciones!$A$5:$A$2000,"&lt;="&amp;$A305),MAX(0,F305-F304)))</f>
        <v/>
      </c>
      <c r="H305" s="24" t="str">
        <f aca="false">IF($A305="","",MAX(0,F304+G305-F305))</f>
        <v/>
      </c>
      <c r="I305" s="24" t="str">
        <f aca="false">IF($A305="","",Stock_Diario!G305)</f>
        <v/>
      </c>
      <c r="J305" s="24" t="str">
        <f aca="false">IF($A305="","",IF(SUMIFS(Recepciones!$C$5:$C$2000,Recepciones!$B$5:$B$2000,Config!$A$25,Recepciones!$A$5:$A$2000,"&gt;"&amp;$A304,Recepciones!$A$5:$A$2000,"&lt;="&amp;$A305)&gt;0,SUMIFS(Recepciones!$C$5:$C$2000,Recepciones!$B$5:$B$2000,Config!$A$25,Recepciones!$A$5:$A$2000,"&gt;"&amp;$A304,Recepciones!$A$5:$A$2000,"&lt;="&amp;$A305),MAX(0,I305-I304)))</f>
        <v/>
      </c>
      <c r="K305" s="24" t="str">
        <f aca="false">IF($A305="","",MAX(0,I304+J305-I305))</f>
        <v/>
      </c>
      <c r="L305" s="24" t="str">
        <f aca="false">IF($A305="","",E305+H305+K305)</f>
        <v/>
      </c>
      <c r="M305" s="4" t="str">
        <f aca="false">IF($A305="","",IF(AND(D305+G305+J305&gt;0,SUMIFS(Recepciones!$C$5:$C$2000,Recepciones!$A$5:$A$2000,"&gt;"&amp;$A304,Recepciones!$A$5:$A$2000,"&lt;="&amp;$A305)=0),"Aumento de stock sin recepción registrada",IF(B305&gt;1,"Intervalo de "&amp;B305&amp;" días","")))</f>
        <v/>
      </c>
    </row>
    <row r="306" customFormat="false" ht="15" hidden="false" customHeight="false" outlineLevel="0" collapsed="false">
      <c r="A306" s="5" t="str">
        <f aca="false">IF(Stock_Diario!A306="","",Stock_Diario!A306)</f>
        <v/>
      </c>
      <c r="B306" s="4" t="str">
        <f aca="false">IF($A306="","",$A306-$A305)</f>
        <v/>
      </c>
      <c r="C306" s="24" t="str">
        <f aca="false">IF($A306="","",Stock_Diario!E306)</f>
        <v/>
      </c>
      <c r="D306" s="24" t="str">
        <f aca="false">IF($A306="","",IF(SUMIFS(Recepciones!$C$5:$C$2000,Recepciones!$B$5:$B$2000,Config!$A$23,Recepciones!$A$5:$A$2000,"&gt;"&amp;$A305,Recepciones!$A$5:$A$2000,"&lt;="&amp;$A306)&gt;0,SUMIFS(Recepciones!$C$5:$C$2000,Recepciones!$B$5:$B$2000,Config!$A$23,Recepciones!$A$5:$A$2000,"&gt;"&amp;$A305,Recepciones!$A$5:$A$2000,"&lt;="&amp;$A306),MAX(0,C306-C305)))</f>
        <v/>
      </c>
      <c r="E306" s="24" t="str">
        <f aca="false">IF($A306="","",MAX(0,C305+D306-C306))</f>
        <v/>
      </c>
      <c r="F306" s="24" t="str">
        <f aca="false">IF($A306="","",Stock_Diario!F306)</f>
        <v/>
      </c>
      <c r="G306" s="24" t="str">
        <f aca="false">IF($A306="","",IF(SUMIFS(Recepciones!$C$5:$C$2000,Recepciones!$B$5:$B$2000,Config!$A$24,Recepciones!$A$5:$A$2000,"&gt;"&amp;$A305,Recepciones!$A$5:$A$2000,"&lt;="&amp;$A306)&gt;0,SUMIFS(Recepciones!$C$5:$C$2000,Recepciones!$B$5:$B$2000,Config!$A$24,Recepciones!$A$5:$A$2000,"&gt;"&amp;$A305,Recepciones!$A$5:$A$2000,"&lt;="&amp;$A306),MAX(0,F306-F305)))</f>
        <v/>
      </c>
      <c r="H306" s="24" t="str">
        <f aca="false">IF($A306="","",MAX(0,F305+G306-F306))</f>
        <v/>
      </c>
      <c r="I306" s="24" t="str">
        <f aca="false">IF($A306="","",Stock_Diario!G306)</f>
        <v/>
      </c>
      <c r="J306" s="24" t="str">
        <f aca="false">IF($A306="","",IF(SUMIFS(Recepciones!$C$5:$C$2000,Recepciones!$B$5:$B$2000,Config!$A$25,Recepciones!$A$5:$A$2000,"&gt;"&amp;$A305,Recepciones!$A$5:$A$2000,"&lt;="&amp;$A306)&gt;0,SUMIFS(Recepciones!$C$5:$C$2000,Recepciones!$B$5:$B$2000,Config!$A$25,Recepciones!$A$5:$A$2000,"&gt;"&amp;$A305,Recepciones!$A$5:$A$2000,"&lt;="&amp;$A306),MAX(0,I306-I305)))</f>
        <v/>
      </c>
      <c r="K306" s="24" t="str">
        <f aca="false">IF($A306="","",MAX(0,I305+J306-I306))</f>
        <v/>
      </c>
      <c r="L306" s="24" t="str">
        <f aca="false">IF($A306="","",E306+H306+K306)</f>
        <v/>
      </c>
      <c r="M306" s="4" t="str">
        <f aca="false">IF($A306="","",IF(AND(D306+G306+J306&gt;0,SUMIFS(Recepciones!$C$5:$C$2000,Recepciones!$A$5:$A$2000,"&gt;"&amp;$A305,Recepciones!$A$5:$A$2000,"&lt;="&amp;$A306)=0),"Aumento de stock sin recepción registrada",IF(B306&gt;1,"Intervalo de "&amp;B306&amp;" días","")))</f>
        <v/>
      </c>
    </row>
    <row r="307" customFormat="false" ht="15" hidden="false" customHeight="false" outlineLevel="0" collapsed="false">
      <c r="A307" s="5" t="str">
        <f aca="false">IF(Stock_Diario!A307="","",Stock_Diario!A307)</f>
        <v/>
      </c>
      <c r="B307" s="4" t="str">
        <f aca="false">IF($A307="","",$A307-$A306)</f>
        <v/>
      </c>
      <c r="C307" s="24" t="str">
        <f aca="false">IF($A307="","",Stock_Diario!E307)</f>
        <v/>
      </c>
      <c r="D307" s="24" t="str">
        <f aca="false">IF($A307="","",IF(SUMIFS(Recepciones!$C$5:$C$2000,Recepciones!$B$5:$B$2000,Config!$A$23,Recepciones!$A$5:$A$2000,"&gt;"&amp;$A306,Recepciones!$A$5:$A$2000,"&lt;="&amp;$A307)&gt;0,SUMIFS(Recepciones!$C$5:$C$2000,Recepciones!$B$5:$B$2000,Config!$A$23,Recepciones!$A$5:$A$2000,"&gt;"&amp;$A306,Recepciones!$A$5:$A$2000,"&lt;="&amp;$A307),MAX(0,C307-C306)))</f>
        <v/>
      </c>
      <c r="E307" s="24" t="str">
        <f aca="false">IF($A307="","",MAX(0,C306+D307-C307))</f>
        <v/>
      </c>
      <c r="F307" s="24" t="str">
        <f aca="false">IF($A307="","",Stock_Diario!F307)</f>
        <v/>
      </c>
      <c r="G307" s="24" t="str">
        <f aca="false">IF($A307="","",IF(SUMIFS(Recepciones!$C$5:$C$2000,Recepciones!$B$5:$B$2000,Config!$A$24,Recepciones!$A$5:$A$2000,"&gt;"&amp;$A306,Recepciones!$A$5:$A$2000,"&lt;="&amp;$A307)&gt;0,SUMIFS(Recepciones!$C$5:$C$2000,Recepciones!$B$5:$B$2000,Config!$A$24,Recepciones!$A$5:$A$2000,"&gt;"&amp;$A306,Recepciones!$A$5:$A$2000,"&lt;="&amp;$A307),MAX(0,F307-F306)))</f>
        <v/>
      </c>
      <c r="H307" s="24" t="str">
        <f aca="false">IF($A307="","",MAX(0,F306+G307-F307))</f>
        <v/>
      </c>
      <c r="I307" s="24" t="str">
        <f aca="false">IF($A307="","",Stock_Diario!G307)</f>
        <v/>
      </c>
      <c r="J307" s="24" t="str">
        <f aca="false">IF($A307="","",IF(SUMIFS(Recepciones!$C$5:$C$2000,Recepciones!$B$5:$B$2000,Config!$A$25,Recepciones!$A$5:$A$2000,"&gt;"&amp;$A306,Recepciones!$A$5:$A$2000,"&lt;="&amp;$A307)&gt;0,SUMIFS(Recepciones!$C$5:$C$2000,Recepciones!$B$5:$B$2000,Config!$A$25,Recepciones!$A$5:$A$2000,"&gt;"&amp;$A306,Recepciones!$A$5:$A$2000,"&lt;="&amp;$A307),MAX(0,I307-I306)))</f>
        <v/>
      </c>
      <c r="K307" s="24" t="str">
        <f aca="false">IF($A307="","",MAX(0,I306+J307-I307))</f>
        <v/>
      </c>
      <c r="L307" s="24" t="str">
        <f aca="false">IF($A307="","",E307+H307+K307)</f>
        <v/>
      </c>
      <c r="M307" s="4" t="str">
        <f aca="false">IF($A307="","",IF(AND(D307+G307+J307&gt;0,SUMIFS(Recepciones!$C$5:$C$2000,Recepciones!$A$5:$A$2000,"&gt;"&amp;$A306,Recepciones!$A$5:$A$2000,"&lt;="&amp;$A307)=0),"Aumento de stock sin recepción registrada",IF(B307&gt;1,"Intervalo de "&amp;B307&amp;" días","")))</f>
        <v/>
      </c>
    </row>
    <row r="308" customFormat="false" ht="15" hidden="false" customHeight="false" outlineLevel="0" collapsed="false">
      <c r="A308" s="5" t="str">
        <f aca="false">IF(Stock_Diario!A308="","",Stock_Diario!A308)</f>
        <v/>
      </c>
      <c r="B308" s="4" t="str">
        <f aca="false">IF($A308="","",$A308-$A307)</f>
        <v/>
      </c>
      <c r="C308" s="24" t="str">
        <f aca="false">IF($A308="","",Stock_Diario!E308)</f>
        <v/>
      </c>
      <c r="D308" s="24" t="str">
        <f aca="false">IF($A308="","",IF(SUMIFS(Recepciones!$C$5:$C$2000,Recepciones!$B$5:$B$2000,Config!$A$23,Recepciones!$A$5:$A$2000,"&gt;"&amp;$A307,Recepciones!$A$5:$A$2000,"&lt;="&amp;$A308)&gt;0,SUMIFS(Recepciones!$C$5:$C$2000,Recepciones!$B$5:$B$2000,Config!$A$23,Recepciones!$A$5:$A$2000,"&gt;"&amp;$A307,Recepciones!$A$5:$A$2000,"&lt;="&amp;$A308),MAX(0,C308-C307)))</f>
        <v/>
      </c>
      <c r="E308" s="24" t="str">
        <f aca="false">IF($A308="","",MAX(0,C307+D308-C308))</f>
        <v/>
      </c>
      <c r="F308" s="24" t="str">
        <f aca="false">IF($A308="","",Stock_Diario!F308)</f>
        <v/>
      </c>
      <c r="G308" s="24" t="str">
        <f aca="false">IF($A308="","",IF(SUMIFS(Recepciones!$C$5:$C$2000,Recepciones!$B$5:$B$2000,Config!$A$24,Recepciones!$A$5:$A$2000,"&gt;"&amp;$A307,Recepciones!$A$5:$A$2000,"&lt;="&amp;$A308)&gt;0,SUMIFS(Recepciones!$C$5:$C$2000,Recepciones!$B$5:$B$2000,Config!$A$24,Recepciones!$A$5:$A$2000,"&gt;"&amp;$A307,Recepciones!$A$5:$A$2000,"&lt;="&amp;$A308),MAX(0,F308-F307)))</f>
        <v/>
      </c>
      <c r="H308" s="24" t="str">
        <f aca="false">IF($A308="","",MAX(0,F307+G308-F308))</f>
        <v/>
      </c>
      <c r="I308" s="24" t="str">
        <f aca="false">IF($A308="","",Stock_Diario!G308)</f>
        <v/>
      </c>
      <c r="J308" s="24" t="str">
        <f aca="false">IF($A308="","",IF(SUMIFS(Recepciones!$C$5:$C$2000,Recepciones!$B$5:$B$2000,Config!$A$25,Recepciones!$A$5:$A$2000,"&gt;"&amp;$A307,Recepciones!$A$5:$A$2000,"&lt;="&amp;$A308)&gt;0,SUMIFS(Recepciones!$C$5:$C$2000,Recepciones!$B$5:$B$2000,Config!$A$25,Recepciones!$A$5:$A$2000,"&gt;"&amp;$A307,Recepciones!$A$5:$A$2000,"&lt;="&amp;$A308),MAX(0,I308-I307)))</f>
        <v/>
      </c>
      <c r="K308" s="24" t="str">
        <f aca="false">IF($A308="","",MAX(0,I307+J308-I308))</f>
        <v/>
      </c>
      <c r="L308" s="24" t="str">
        <f aca="false">IF($A308="","",E308+H308+K308)</f>
        <v/>
      </c>
      <c r="M308" s="4" t="str">
        <f aca="false">IF($A308="","",IF(AND(D308+G308+J308&gt;0,SUMIFS(Recepciones!$C$5:$C$2000,Recepciones!$A$5:$A$2000,"&gt;"&amp;$A307,Recepciones!$A$5:$A$2000,"&lt;="&amp;$A308)=0),"Aumento de stock sin recepción registrada",IF(B308&gt;1,"Intervalo de "&amp;B308&amp;" días","")))</f>
        <v/>
      </c>
    </row>
    <row r="309" customFormat="false" ht="15" hidden="false" customHeight="false" outlineLevel="0" collapsed="false">
      <c r="A309" s="5" t="str">
        <f aca="false">IF(Stock_Diario!A309="","",Stock_Diario!A309)</f>
        <v/>
      </c>
      <c r="B309" s="4" t="str">
        <f aca="false">IF($A309="","",$A309-$A308)</f>
        <v/>
      </c>
      <c r="C309" s="24" t="str">
        <f aca="false">IF($A309="","",Stock_Diario!E309)</f>
        <v/>
      </c>
      <c r="D309" s="24" t="str">
        <f aca="false">IF($A309="","",IF(SUMIFS(Recepciones!$C$5:$C$2000,Recepciones!$B$5:$B$2000,Config!$A$23,Recepciones!$A$5:$A$2000,"&gt;"&amp;$A308,Recepciones!$A$5:$A$2000,"&lt;="&amp;$A309)&gt;0,SUMIFS(Recepciones!$C$5:$C$2000,Recepciones!$B$5:$B$2000,Config!$A$23,Recepciones!$A$5:$A$2000,"&gt;"&amp;$A308,Recepciones!$A$5:$A$2000,"&lt;="&amp;$A309),MAX(0,C309-C308)))</f>
        <v/>
      </c>
      <c r="E309" s="24" t="str">
        <f aca="false">IF($A309="","",MAX(0,C308+D309-C309))</f>
        <v/>
      </c>
      <c r="F309" s="24" t="str">
        <f aca="false">IF($A309="","",Stock_Diario!F309)</f>
        <v/>
      </c>
      <c r="G309" s="24" t="str">
        <f aca="false">IF($A309="","",IF(SUMIFS(Recepciones!$C$5:$C$2000,Recepciones!$B$5:$B$2000,Config!$A$24,Recepciones!$A$5:$A$2000,"&gt;"&amp;$A308,Recepciones!$A$5:$A$2000,"&lt;="&amp;$A309)&gt;0,SUMIFS(Recepciones!$C$5:$C$2000,Recepciones!$B$5:$B$2000,Config!$A$24,Recepciones!$A$5:$A$2000,"&gt;"&amp;$A308,Recepciones!$A$5:$A$2000,"&lt;="&amp;$A309),MAX(0,F309-F308)))</f>
        <v/>
      </c>
      <c r="H309" s="24" t="str">
        <f aca="false">IF($A309="","",MAX(0,F308+G309-F309))</f>
        <v/>
      </c>
      <c r="I309" s="24" t="str">
        <f aca="false">IF($A309="","",Stock_Diario!G309)</f>
        <v/>
      </c>
      <c r="J309" s="24" t="str">
        <f aca="false">IF($A309="","",IF(SUMIFS(Recepciones!$C$5:$C$2000,Recepciones!$B$5:$B$2000,Config!$A$25,Recepciones!$A$5:$A$2000,"&gt;"&amp;$A308,Recepciones!$A$5:$A$2000,"&lt;="&amp;$A309)&gt;0,SUMIFS(Recepciones!$C$5:$C$2000,Recepciones!$B$5:$B$2000,Config!$A$25,Recepciones!$A$5:$A$2000,"&gt;"&amp;$A308,Recepciones!$A$5:$A$2000,"&lt;="&amp;$A309),MAX(0,I309-I308)))</f>
        <v/>
      </c>
      <c r="K309" s="24" t="str">
        <f aca="false">IF($A309="","",MAX(0,I308+J309-I309))</f>
        <v/>
      </c>
      <c r="L309" s="24" t="str">
        <f aca="false">IF($A309="","",E309+H309+K309)</f>
        <v/>
      </c>
      <c r="M309" s="4" t="str">
        <f aca="false">IF($A309="","",IF(AND(D309+G309+J309&gt;0,SUMIFS(Recepciones!$C$5:$C$2000,Recepciones!$A$5:$A$2000,"&gt;"&amp;$A308,Recepciones!$A$5:$A$2000,"&lt;="&amp;$A309)=0),"Aumento de stock sin recepción registrada",IF(B309&gt;1,"Intervalo de "&amp;B309&amp;" días","")))</f>
        <v/>
      </c>
    </row>
    <row r="310" customFormat="false" ht="15" hidden="false" customHeight="false" outlineLevel="0" collapsed="false">
      <c r="A310" s="5" t="str">
        <f aca="false">IF(Stock_Diario!A310="","",Stock_Diario!A310)</f>
        <v/>
      </c>
      <c r="B310" s="4" t="str">
        <f aca="false">IF($A310="","",$A310-$A309)</f>
        <v/>
      </c>
      <c r="C310" s="24" t="str">
        <f aca="false">IF($A310="","",Stock_Diario!E310)</f>
        <v/>
      </c>
      <c r="D310" s="24" t="str">
        <f aca="false">IF($A310="","",IF(SUMIFS(Recepciones!$C$5:$C$2000,Recepciones!$B$5:$B$2000,Config!$A$23,Recepciones!$A$5:$A$2000,"&gt;"&amp;$A309,Recepciones!$A$5:$A$2000,"&lt;="&amp;$A310)&gt;0,SUMIFS(Recepciones!$C$5:$C$2000,Recepciones!$B$5:$B$2000,Config!$A$23,Recepciones!$A$5:$A$2000,"&gt;"&amp;$A309,Recepciones!$A$5:$A$2000,"&lt;="&amp;$A310),MAX(0,C310-C309)))</f>
        <v/>
      </c>
      <c r="E310" s="24" t="str">
        <f aca="false">IF($A310="","",MAX(0,C309+D310-C310))</f>
        <v/>
      </c>
      <c r="F310" s="24" t="str">
        <f aca="false">IF($A310="","",Stock_Diario!F310)</f>
        <v/>
      </c>
      <c r="G310" s="24" t="str">
        <f aca="false">IF($A310="","",IF(SUMIFS(Recepciones!$C$5:$C$2000,Recepciones!$B$5:$B$2000,Config!$A$24,Recepciones!$A$5:$A$2000,"&gt;"&amp;$A309,Recepciones!$A$5:$A$2000,"&lt;="&amp;$A310)&gt;0,SUMIFS(Recepciones!$C$5:$C$2000,Recepciones!$B$5:$B$2000,Config!$A$24,Recepciones!$A$5:$A$2000,"&gt;"&amp;$A309,Recepciones!$A$5:$A$2000,"&lt;="&amp;$A310),MAX(0,F310-F309)))</f>
        <v/>
      </c>
      <c r="H310" s="24" t="str">
        <f aca="false">IF($A310="","",MAX(0,F309+G310-F310))</f>
        <v/>
      </c>
      <c r="I310" s="24" t="str">
        <f aca="false">IF($A310="","",Stock_Diario!G310)</f>
        <v/>
      </c>
      <c r="J310" s="24" t="str">
        <f aca="false">IF($A310="","",IF(SUMIFS(Recepciones!$C$5:$C$2000,Recepciones!$B$5:$B$2000,Config!$A$25,Recepciones!$A$5:$A$2000,"&gt;"&amp;$A309,Recepciones!$A$5:$A$2000,"&lt;="&amp;$A310)&gt;0,SUMIFS(Recepciones!$C$5:$C$2000,Recepciones!$B$5:$B$2000,Config!$A$25,Recepciones!$A$5:$A$2000,"&gt;"&amp;$A309,Recepciones!$A$5:$A$2000,"&lt;="&amp;$A310),MAX(0,I310-I309)))</f>
        <v/>
      </c>
      <c r="K310" s="24" t="str">
        <f aca="false">IF($A310="","",MAX(0,I309+J310-I310))</f>
        <v/>
      </c>
      <c r="L310" s="24" t="str">
        <f aca="false">IF($A310="","",E310+H310+K310)</f>
        <v/>
      </c>
      <c r="M310" s="4" t="str">
        <f aca="false">IF($A310="","",IF(AND(D310+G310+J310&gt;0,SUMIFS(Recepciones!$C$5:$C$2000,Recepciones!$A$5:$A$2000,"&gt;"&amp;$A309,Recepciones!$A$5:$A$2000,"&lt;="&amp;$A310)=0),"Aumento de stock sin recepción registrada",IF(B310&gt;1,"Intervalo de "&amp;B310&amp;" días","")))</f>
        <v/>
      </c>
    </row>
    <row r="311" customFormat="false" ht="15" hidden="false" customHeight="false" outlineLevel="0" collapsed="false">
      <c r="A311" s="5" t="str">
        <f aca="false">IF(Stock_Diario!A311="","",Stock_Diario!A311)</f>
        <v/>
      </c>
      <c r="B311" s="4" t="str">
        <f aca="false">IF($A311="","",$A311-$A310)</f>
        <v/>
      </c>
      <c r="C311" s="24" t="str">
        <f aca="false">IF($A311="","",Stock_Diario!E311)</f>
        <v/>
      </c>
      <c r="D311" s="24" t="str">
        <f aca="false">IF($A311="","",IF(SUMIFS(Recepciones!$C$5:$C$2000,Recepciones!$B$5:$B$2000,Config!$A$23,Recepciones!$A$5:$A$2000,"&gt;"&amp;$A310,Recepciones!$A$5:$A$2000,"&lt;="&amp;$A311)&gt;0,SUMIFS(Recepciones!$C$5:$C$2000,Recepciones!$B$5:$B$2000,Config!$A$23,Recepciones!$A$5:$A$2000,"&gt;"&amp;$A310,Recepciones!$A$5:$A$2000,"&lt;="&amp;$A311),MAX(0,C311-C310)))</f>
        <v/>
      </c>
      <c r="E311" s="24" t="str">
        <f aca="false">IF($A311="","",MAX(0,C310+D311-C311))</f>
        <v/>
      </c>
      <c r="F311" s="24" t="str">
        <f aca="false">IF($A311="","",Stock_Diario!F311)</f>
        <v/>
      </c>
      <c r="G311" s="24" t="str">
        <f aca="false">IF($A311="","",IF(SUMIFS(Recepciones!$C$5:$C$2000,Recepciones!$B$5:$B$2000,Config!$A$24,Recepciones!$A$5:$A$2000,"&gt;"&amp;$A310,Recepciones!$A$5:$A$2000,"&lt;="&amp;$A311)&gt;0,SUMIFS(Recepciones!$C$5:$C$2000,Recepciones!$B$5:$B$2000,Config!$A$24,Recepciones!$A$5:$A$2000,"&gt;"&amp;$A310,Recepciones!$A$5:$A$2000,"&lt;="&amp;$A311),MAX(0,F311-F310)))</f>
        <v/>
      </c>
      <c r="H311" s="24" t="str">
        <f aca="false">IF($A311="","",MAX(0,F310+G311-F311))</f>
        <v/>
      </c>
      <c r="I311" s="24" t="str">
        <f aca="false">IF($A311="","",Stock_Diario!G311)</f>
        <v/>
      </c>
      <c r="J311" s="24" t="str">
        <f aca="false">IF($A311="","",IF(SUMIFS(Recepciones!$C$5:$C$2000,Recepciones!$B$5:$B$2000,Config!$A$25,Recepciones!$A$5:$A$2000,"&gt;"&amp;$A310,Recepciones!$A$5:$A$2000,"&lt;="&amp;$A311)&gt;0,SUMIFS(Recepciones!$C$5:$C$2000,Recepciones!$B$5:$B$2000,Config!$A$25,Recepciones!$A$5:$A$2000,"&gt;"&amp;$A310,Recepciones!$A$5:$A$2000,"&lt;="&amp;$A311),MAX(0,I311-I310)))</f>
        <v/>
      </c>
      <c r="K311" s="24" t="str">
        <f aca="false">IF($A311="","",MAX(0,I310+J311-I311))</f>
        <v/>
      </c>
      <c r="L311" s="24" t="str">
        <f aca="false">IF($A311="","",E311+H311+K311)</f>
        <v/>
      </c>
      <c r="M311" s="4" t="str">
        <f aca="false">IF($A311="","",IF(AND(D311+G311+J311&gt;0,SUMIFS(Recepciones!$C$5:$C$2000,Recepciones!$A$5:$A$2000,"&gt;"&amp;$A310,Recepciones!$A$5:$A$2000,"&lt;="&amp;$A311)=0),"Aumento de stock sin recepción registrada",IF(B311&gt;1,"Intervalo de "&amp;B311&amp;" días","")))</f>
        <v/>
      </c>
    </row>
    <row r="312" customFormat="false" ht="15" hidden="false" customHeight="false" outlineLevel="0" collapsed="false">
      <c r="A312" s="5" t="str">
        <f aca="false">IF(Stock_Diario!A312="","",Stock_Diario!A312)</f>
        <v/>
      </c>
      <c r="B312" s="4" t="str">
        <f aca="false">IF($A312="","",$A312-$A311)</f>
        <v/>
      </c>
      <c r="C312" s="24" t="str">
        <f aca="false">IF($A312="","",Stock_Diario!E312)</f>
        <v/>
      </c>
      <c r="D312" s="24" t="str">
        <f aca="false">IF($A312="","",IF(SUMIFS(Recepciones!$C$5:$C$2000,Recepciones!$B$5:$B$2000,Config!$A$23,Recepciones!$A$5:$A$2000,"&gt;"&amp;$A311,Recepciones!$A$5:$A$2000,"&lt;="&amp;$A312)&gt;0,SUMIFS(Recepciones!$C$5:$C$2000,Recepciones!$B$5:$B$2000,Config!$A$23,Recepciones!$A$5:$A$2000,"&gt;"&amp;$A311,Recepciones!$A$5:$A$2000,"&lt;="&amp;$A312),MAX(0,C312-C311)))</f>
        <v/>
      </c>
      <c r="E312" s="24" t="str">
        <f aca="false">IF($A312="","",MAX(0,C311+D312-C312))</f>
        <v/>
      </c>
      <c r="F312" s="24" t="str">
        <f aca="false">IF($A312="","",Stock_Diario!F312)</f>
        <v/>
      </c>
      <c r="G312" s="24" t="str">
        <f aca="false">IF($A312="","",IF(SUMIFS(Recepciones!$C$5:$C$2000,Recepciones!$B$5:$B$2000,Config!$A$24,Recepciones!$A$5:$A$2000,"&gt;"&amp;$A311,Recepciones!$A$5:$A$2000,"&lt;="&amp;$A312)&gt;0,SUMIFS(Recepciones!$C$5:$C$2000,Recepciones!$B$5:$B$2000,Config!$A$24,Recepciones!$A$5:$A$2000,"&gt;"&amp;$A311,Recepciones!$A$5:$A$2000,"&lt;="&amp;$A312),MAX(0,F312-F311)))</f>
        <v/>
      </c>
      <c r="H312" s="24" t="str">
        <f aca="false">IF($A312="","",MAX(0,F311+G312-F312))</f>
        <v/>
      </c>
      <c r="I312" s="24" t="str">
        <f aca="false">IF($A312="","",Stock_Diario!G312)</f>
        <v/>
      </c>
      <c r="J312" s="24" t="str">
        <f aca="false">IF($A312="","",IF(SUMIFS(Recepciones!$C$5:$C$2000,Recepciones!$B$5:$B$2000,Config!$A$25,Recepciones!$A$5:$A$2000,"&gt;"&amp;$A311,Recepciones!$A$5:$A$2000,"&lt;="&amp;$A312)&gt;0,SUMIFS(Recepciones!$C$5:$C$2000,Recepciones!$B$5:$B$2000,Config!$A$25,Recepciones!$A$5:$A$2000,"&gt;"&amp;$A311,Recepciones!$A$5:$A$2000,"&lt;="&amp;$A312),MAX(0,I312-I311)))</f>
        <v/>
      </c>
      <c r="K312" s="24" t="str">
        <f aca="false">IF($A312="","",MAX(0,I311+J312-I312))</f>
        <v/>
      </c>
      <c r="L312" s="24" t="str">
        <f aca="false">IF($A312="","",E312+H312+K312)</f>
        <v/>
      </c>
      <c r="M312" s="4" t="str">
        <f aca="false">IF($A312="","",IF(AND(D312+G312+J312&gt;0,SUMIFS(Recepciones!$C$5:$C$2000,Recepciones!$A$5:$A$2000,"&gt;"&amp;$A311,Recepciones!$A$5:$A$2000,"&lt;="&amp;$A312)=0),"Aumento de stock sin recepción registrada",IF(B312&gt;1,"Intervalo de "&amp;B312&amp;" días","")))</f>
        <v/>
      </c>
    </row>
    <row r="313" customFormat="false" ht="15" hidden="false" customHeight="false" outlineLevel="0" collapsed="false">
      <c r="A313" s="5" t="str">
        <f aca="false">IF(Stock_Diario!A313="","",Stock_Diario!A313)</f>
        <v/>
      </c>
      <c r="B313" s="4" t="str">
        <f aca="false">IF($A313="","",$A313-$A312)</f>
        <v/>
      </c>
      <c r="C313" s="24" t="str">
        <f aca="false">IF($A313="","",Stock_Diario!E313)</f>
        <v/>
      </c>
      <c r="D313" s="24" t="str">
        <f aca="false">IF($A313="","",IF(SUMIFS(Recepciones!$C$5:$C$2000,Recepciones!$B$5:$B$2000,Config!$A$23,Recepciones!$A$5:$A$2000,"&gt;"&amp;$A312,Recepciones!$A$5:$A$2000,"&lt;="&amp;$A313)&gt;0,SUMIFS(Recepciones!$C$5:$C$2000,Recepciones!$B$5:$B$2000,Config!$A$23,Recepciones!$A$5:$A$2000,"&gt;"&amp;$A312,Recepciones!$A$5:$A$2000,"&lt;="&amp;$A313),MAX(0,C313-C312)))</f>
        <v/>
      </c>
      <c r="E313" s="24" t="str">
        <f aca="false">IF($A313="","",MAX(0,C312+D313-C313))</f>
        <v/>
      </c>
      <c r="F313" s="24" t="str">
        <f aca="false">IF($A313="","",Stock_Diario!F313)</f>
        <v/>
      </c>
      <c r="G313" s="24" t="str">
        <f aca="false">IF($A313="","",IF(SUMIFS(Recepciones!$C$5:$C$2000,Recepciones!$B$5:$B$2000,Config!$A$24,Recepciones!$A$5:$A$2000,"&gt;"&amp;$A312,Recepciones!$A$5:$A$2000,"&lt;="&amp;$A313)&gt;0,SUMIFS(Recepciones!$C$5:$C$2000,Recepciones!$B$5:$B$2000,Config!$A$24,Recepciones!$A$5:$A$2000,"&gt;"&amp;$A312,Recepciones!$A$5:$A$2000,"&lt;="&amp;$A313),MAX(0,F313-F312)))</f>
        <v/>
      </c>
      <c r="H313" s="24" t="str">
        <f aca="false">IF($A313="","",MAX(0,F312+G313-F313))</f>
        <v/>
      </c>
      <c r="I313" s="24" t="str">
        <f aca="false">IF($A313="","",Stock_Diario!G313)</f>
        <v/>
      </c>
      <c r="J313" s="24" t="str">
        <f aca="false">IF($A313="","",IF(SUMIFS(Recepciones!$C$5:$C$2000,Recepciones!$B$5:$B$2000,Config!$A$25,Recepciones!$A$5:$A$2000,"&gt;"&amp;$A312,Recepciones!$A$5:$A$2000,"&lt;="&amp;$A313)&gt;0,SUMIFS(Recepciones!$C$5:$C$2000,Recepciones!$B$5:$B$2000,Config!$A$25,Recepciones!$A$5:$A$2000,"&gt;"&amp;$A312,Recepciones!$A$5:$A$2000,"&lt;="&amp;$A313),MAX(0,I313-I312)))</f>
        <v/>
      </c>
      <c r="K313" s="24" t="str">
        <f aca="false">IF($A313="","",MAX(0,I312+J313-I313))</f>
        <v/>
      </c>
      <c r="L313" s="24" t="str">
        <f aca="false">IF($A313="","",E313+H313+K313)</f>
        <v/>
      </c>
      <c r="M313" s="4" t="str">
        <f aca="false">IF($A313="","",IF(AND(D313+G313+J313&gt;0,SUMIFS(Recepciones!$C$5:$C$2000,Recepciones!$A$5:$A$2000,"&gt;"&amp;$A312,Recepciones!$A$5:$A$2000,"&lt;="&amp;$A313)=0),"Aumento de stock sin recepción registrada",IF(B313&gt;1,"Intervalo de "&amp;B313&amp;" días","")))</f>
        <v/>
      </c>
    </row>
    <row r="314" customFormat="false" ht="15" hidden="false" customHeight="false" outlineLevel="0" collapsed="false">
      <c r="A314" s="5" t="str">
        <f aca="false">IF(Stock_Diario!A314="","",Stock_Diario!A314)</f>
        <v/>
      </c>
      <c r="B314" s="4" t="str">
        <f aca="false">IF($A314="","",$A314-$A313)</f>
        <v/>
      </c>
      <c r="C314" s="24" t="str">
        <f aca="false">IF($A314="","",Stock_Diario!E314)</f>
        <v/>
      </c>
      <c r="D314" s="24" t="str">
        <f aca="false">IF($A314="","",IF(SUMIFS(Recepciones!$C$5:$C$2000,Recepciones!$B$5:$B$2000,Config!$A$23,Recepciones!$A$5:$A$2000,"&gt;"&amp;$A313,Recepciones!$A$5:$A$2000,"&lt;="&amp;$A314)&gt;0,SUMIFS(Recepciones!$C$5:$C$2000,Recepciones!$B$5:$B$2000,Config!$A$23,Recepciones!$A$5:$A$2000,"&gt;"&amp;$A313,Recepciones!$A$5:$A$2000,"&lt;="&amp;$A314),MAX(0,C314-C313)))</f>
        <v/>
      </c>
      <c r="E314" s="24" t="str">
        <f aca="false">IF($A314="","",MAX(0,C313+D314-C314))</f>
        <v/>
      </c>
      <c r="F314" s="24" t="str">
        <f aca="false">IF($A314="","",Stock_Diario!F314)</f>
        <v/>
      </c>
      <c r="G314" s="24" t="str">
        <f aca="false">IF($A314="","",IF(SUMIFS(Recepciones!$C$5:$C$2000,Recepciones!$B$5:$B$2000,Config!$A$24,Recepciones!$A$5:$A$2000,"&gt;"&amp;$A313,Recepciones!$A$5:$A$2000,"&lt;="&amp;$A314)&gt;0,SUMIFS(Recepciones!$C$5:$C$2000,Recepciones!$B$5:$B$2000,Config!$A$24,Recepciones!$A$5:$A$2000,"&gt;"&amp;$A313,Recepciones!$A$5:$A$2000,"&lt;="&amp;$A314),MAX(0,F314-F313)))</f>
        <v/>
      </c>
      <c r="H314" s="24" t="str">
        <f aca="false">IF($A314="","",MAX(0,F313+G314-F314))</f>
        <v/>
      </c>
      <c r="I314" s="24" t="str">
        <f aca="false">IF($A314="","",Stock_Diario!G314)</f>
        <v/>
      </c>
      <c r="J314" s="24" t="str">
        <f aca="false">IF($A314="","",IF(SUMIFS(Recepciones!$C$5:$C$2000,Recepciones!$B$5:$B$2000,Config!$A$25,Recepciones!$A$5:$A$2000,"&gt;"&amp;$A313,Recepciones!$A$5:$A$2000,"&lt;="&amp;$A314)&gt;0,SUMIFS(Recepciones!$C$5:$C$2000,Recepciones!$B$5:$B$2000,Config!$A$25,Recepciones!$A$5:$A$2000,"&gt;"&amp;$A313,Recepciones!$A$5:$A$2000,"&lt;="&amp;$A314),MAX(0,I314-I313)))</f>
        <v/>
      </c>
      <c r="K314" s="24" t="str">
        <f aca="false">IF($A314="","",MAX(0,I313+J314-I314))</f>
        <v/>
      </c>
      <c r="L314" s="24" t="str">
        <f aca="false">IF($A314="","",E314+H314+K314)</f>
        <v/>
      </c>
      <c r="M314" s="4" t="str">
        <f aca="false">IF($A314="","",IF(AND(D314+G314+J314&gt;0,SUMIFS(Recepciones!$C$5:$C$2000,Recepciones!$A$5:$A$2000,"&gt;"&amp;$A313,Recepciones!$A$5:$A$2000,"&lt;="&amp;$A314)=0),"Aumento de stock sin recepción registrada",IF(B314&gt;1,"Intervalo de "&amp;B314&amp;" días","")))</f>
        <v/>
      </c>
    </row>
    <row r="315" customFormat="false" ht="15" hidden="false" customHeight="false" outlineLevel="0" collapsed="false">
      <c r="A315" s="5" t="str">
        <f aca="false">IF(Stock_Diario!A315="","",Stock_Diario!A315)</f>
        <v/>
      </c>
      <c r="B315" s="4" t="str">
        <f aca="false">IF($A315="","",$A315-$A314)</f>
        <v/>
      </c>
      <c r="C315" s="24" t="str">
        <f aca="false">IF($A315="","",Stock_Diario!E315)</f>
        <v/>
      </c>
      <c r="D315" s="24" t="str">
        <f aca="false">IF($A315="","",IF(SUMIFS(Recepciones!$C$5:$C$2000,Recepciones!$B$5:$B$2000,Config!$A$23,Recepciones!$A$5:$A$2000,"&gt;"&amp;$A314,Recepciones!$A$5:$A$2000,"&lt;="&amp;$A315)&gt;0,SUMIFS(Recepciones!$C$5:$C$2000,Recepciones!$B$5:$B$2000,Config!$A$23,Recepciones!$A$5:$A$2000,"&gt;"&amp;$A314,Recepciones!$A$5:$A$2000,"&lt;="&amp;$A315),MAX(0,C315-C314)))</f>
        <v/>
      </c>
      <c r="E315" s="24" t="str">
        <f aca="false">IF($A315="","",MAX(0,C314+D315-C315))</f>
        <v/>
      </c>
      <c r="F315" s="24" t="str">
        <f aca="false">IF($A315="","",Stock_Diario!F315)</f>
        <v/>
      </c>
      <c r="G315" s="24" t="str">
        <f aca="false">IF($A315="","",IF(SUMIFS(Recepciones!$C$5:$C$2000,Recepciones!$B$5:$B$2000,Config!$A$24,Recepciones!$A$5:$A$2000,"&gt;"&amp;$A314,Recepciones!$A$5:$A$2000,"&lt;="&amp;$A315)&gt;0,SUMIFS(Recepciones!$C$5:$C$2000,Recepciones!$B$5:$B$2000,Config!$A$24,Recepciones!$A$5:$A$2000,"&gt;"&amp;$A314,Recepciones!$A$5:$A$2000,"&lt;="&amp;$A315),MAX(0,F315-F314)))</f>
        <v/>
      </c>
      <c r="H315" s="24" t="str">
        <f aca="false">IF($A315="","",MAX(0,F314+G315-F315))</f>
        <v/>
      </c>
      <c r="I315" s="24" t="str">
        <f aca="false">IF($A315="","",Stock_Diario!G315)</f>
        <v/>
      </c>
      <c r="J315" s="24" t="str">
        <f aca="false">IF($A315="","",IF(SUMIFS(Recepciones!$C$5:$C$2000,Recepciones!$B$5:$B$2000,Config!$A$25,Recepciones!$A$5:$A$2000,"&gt;"&amp;$A314,Recepciones!$A$5:$A$2000,"&lt;="&amp;$A315)&gt;0,SUMIFS(Recepciones!$C$5:$C$2000,Recepciones!$B$5:$B$2000,Config!$A$25,Recepciones!$A$5:$A$2000,"&gt;"&amp;$A314,Recepciones!$A$5:$A$2000,"&lt;="&amp;$A315),MAX(0,I315-I314)))</f>
        <v/>
      </c>
      <c r="K315" s="24" t="str">
        <f aca="false">IF($A315="","",MAX(0,I314+J315-I315))</f>
        <v/>
      </c>
      <c r="L315" s="24" t="str">
        <f aca="false">IF($A315="","",E315+H315+K315)</f>
        <v/>
      </c>
      <c r="M315" s="4" t="str">
        <f aca="false">IF($A315="","",IF(AND(D315+G315+J315&gt;0,SUMIFS(Recepciones!$C$5:$C$2000,Recepciones!$A$5:$A$2000,"&gt;"&amp;$A314,Recepciones!$A$5:$A$2000,"&lt;="&amp;$A315)=0),"Aumento de stock sin recepción registrada",IF(B315&gt;1,"Intervalo de "&amp;B315&amp;" días","")))</f>
        <v/>
      </c>
    </row>
    <row r="316" customFormat="false" ht="15" hidden="false" customHeight="false" outlineLevel="0" collapsed="false">
      <c r="A316" s="5" t="str">
        <f aca="false">IF(Stock_Diario!A316="","",Stock_Diario!A316)</f>
        <v/>
      </c>
      <c r="B316" s="4" t="str">
        <f aca="false">IF($A316="","",$A316-$A315)</f>
        <v/>
      </c>
      <c r="C316" s="24" t="str">
        <f aca="false">IF($A316="","",Stock_Diario!E316)</f>
        <v/>
      </c>
      <c r="D316" s="24" t="str">
        <f aca="false">IF($A316="","",IF(SUMIFS(Recepciones!$C$5:$C$2000,Recepciones!$B$5:$B$2000,Config!$A$23,Recepciones!$A$5:$A$2000,"&gt;"&amp;$A315,Recepciones!$A$5:$A$2000,"&lt;="&amp;$A316)&gt;0,SUMIFS(Recepciones!$C$5:$C$2000,Recepciones!$B$5:$B$2000,Config!$A$23,Recepciones!$A$5:$A$2000,"&gt;"&amp;$A315,Recepciones!$A$5:$A$2000,"&lt;="&amp;$A316),MAX(0,C316-C315)))</f>
        <v/>
      </c>
      <c r="E316" s="24" t="str">
        <f aca="false">IF($A316="","",MAX(0,C315+D316-C316))</f>
        <v/>
      </c>
      <c r="F316" s="24" t="str">
        <f aca="false">IF($A316="","",Stock_Diario!F316)</f>
        <v/>
      </c>
      <c r="G316" s="24" t="str">
        <f aca="false">IF($A316="","",IF(SUMIFS(Recepciones!$C$5:$C$2000,Recepciones!$B$5:$B$2000,Config!$A$24,Recepciones!$A$5:$A$2000,"&gt;"&amp;$A315,Recepciones!$A$5:$A$2000,"&lt;="&amp;$A316)&gt;0,SUMIFS(Recepciones!$C$5:$C$2000,Recepciones!$B$5:$B$2000,Config!$A$24,Recepciones!$A$5:$A$2000,"&gt;"&amp;$A315,Recepciones!$A$5:$A$2000,"&lt;="&amp;$A316),MAX(0,F316-F315)))</f>
        <v/>
      </c>
      <c r="H316" s="24" t="str">
        <f aca="false">IF($A316="","",MAX(0,F315+G316-F316))</f>
        <v/>
      </c>
      <c r="I316" s="24" t="str">
        <f aca="false">IF($A316="","",Stock_Diario!G316)</f>
        <v/>
      </c>
      <c r="J316" s="24" t="str">
        <f aca="false">IF($A316="","",IF(SUMIFS(Recepciones!$C$5:$C$2000,Recepciones!$B$5:$B$2000,Config!$A$25,Recepciones!$A$5:$A$2000,"&gt;"&amp;$A315,Recepciones!$A$5:$A$2000,"&lt;="&amp;$A316)&gt;0,SUMIFS(Recepciones!$C$5:$C$2000,Recepciones!$B$5:$B$2000,Config!$A$25,Recepciones!$A$5:$A$2000,"&gt;"&amp;$A315,Recepciones!$A$5:$A$2000,"&lt;="&amp;$A316),MAX(0,I316-I315)))</f>
        <v/>
      </c>
      <c r="K316" s="24" t="str">
        <f aca="false">IF($A316="","",MAX(0,I315+J316-I316))</f>
        <v/>
      </c>
      <c r="L316" s="24" t="str">
        <f aca="false">IF($A316="","",E316+H316+K316)</f>
        <v/>
      </c>
      <c r="M316" s="4" t="str">
        <f aca="false">IF($A316="","",IF(AND(D316+G316+J316&gt;0,SUMIFS(Recepciones!$C$5:$C$2000,Recepciones!$A$5:$A$2000,"&gt;"&amp;$A315,Recepciones!$A$5:$A$2000,"&lt;="&amp;$A316)=0),"Aumento de stock sin recepción registrada",IF(B316&gt;1,"Intervalo de "&amp;B316&amp;" días","")))</f>
        <v/>
      </c>
    </row>
    <row r="317" customFormat="false" ht="15" hidden="false" customHeight="false" outlineLevel="0" collapsed="false">
      <c r="A317" s="5" t="str">
        <f aca="false">IF(Stock_Diario!A317="","",Stock_Diario!A317)</f>
        <v/>
      </c>
      <c r="B317" s="4" t="str">
        <f aca="false">IF($A317="","",$A317-$A316)</f>
        <v/>
      </c>
      <c r="C317" s="24" t="str">
        <f aca="false">IF($A317="","",Stock_Diario!E317)</f>
        <v/>
      </c>
      <c r="D317" s="24" t="str">
        <f aca="false">IF($A317="","",IF(SUMIFS(Recepciones!$C$5:$C$2000,Recepciones!$B$5:$B$2000,Config!$A$23,Recepciones!$A$5:$A$2000,"&gt;"&amp;$A316,Recepciones!$A$5:$A$2000,"&lt;="&amp;$A317)&gt;0,SUMIFS(Recepciones!$C$5:$C$2000,Recepciones!$B$5:$B$2000,Config!$A$23,Recepciones!$A$5:$A$2000,"&gt;"&amp;$A316,Recepciones!$A$5:$A$2000,"&lt;="&amp;$A317),MAX(0,C317-C316)))</f>
        <v/>
      </c>
      <c r="E317" s="24" t="str">
        <f aca="false">IF($A317="","",MAX(0,C316+D317-C317))</f>
        <v/>
      </c>
      <c r="F317" s="24" t="str">
        <f aca="false">IF($A317="","",Stock_Diario!F317)</f>
        <v/>
      </c>
      <c r="G317" s="24" t="str">
        <f aca="false">IF($A317="","",IF(SUMIFS(Recepciones!$C$5:$C$2000,Recepciones!$B$5:$B$2000,Config!$A$24,Recepciones!$A$5:$A$2000,"&gt;"&amp;$A316,Recepciones!$A$5:$A$2000,"&lt;="&amp;$A317)&gt;0,SUMIFS(Recepciones!$C$5:$C$2000,Recepciones!$B$5:$B$2000,Config!$A$24,Recepciones!$A$5:$A$2000,"&gt;"&amp;$A316,Recepciones!$A$5:$A$2000,"&lt;="&amp;$A317),MAX(0,F317-F316)))</f>
        <v/>
      </c>
      <c r="H317" s="24" t="str">
        <f aca="false">IF($A317="","",MAX(0,F316+G317-F317))</f>
        <v/>
      </c>
      <c r="I317" s="24" t="str">
        <f aca="false">IF($A317="","",Stock_Diario!G317)</f>
        <v/>
      </c>
      <c r="J317" s="24" t="str">
        <f aca="false">IF($A317="","",IF(SUMIFS(Recepciones!$C$5:$C$2000,Recepciones!$B$5:$B$2000,Config!$A$25,Recepciones!$A$5:$A$2000,"&gt;"&amp;$A316,Recepciones!$A$5:$A$2000,"&lt;="&amp;$A317)&gt;0,SUMIFS(Recepciones!$C$5:$C$2000,Recepciones!$B$5:$B$2000,Config!$A$25,Recepciones!$A$5:$A$2000,"&gt;"&amp;$A316,Recepciones!$A$5:$A$2000,"&lt;="&amp;$A317),MAX(0,I317-I316)))</f>
        <v/>
      </c>
      <c r="K317" s="24" t="str">
        <f aca="false">IF($A317="","",MAX(0,I316+J317-I317))</f>
        <v/>
      </c>
      <c r="L317" s="24" t="str">
        <f aca="false">IF($A317="","",E317+H317+K317)</f>
        <v/>
      </c>
      <c r="M317" s="4" t="str">
        <f aca="false">IF($A317="","",IF(AND(D317+G317+J317&gt;0,SUMIFS(Recepciones!$C$5:$C$2000,Recepciones!$A$5:$A$2000,"&gt;"&amp;$A316,Recepciones!$A$5:$A$2000,"&lt;="&amp;$A317)=0),"Aumento de stock sin recepción registrada",IF(B317&gt;1,"Intervalo de "&amp;B317&amp;" días","")))</f>
        <v/>
      </c>
    </row>
    <row r="318" customFormat="false" ht="15" hidden="false" customHeight="false" outlineLevel="0" collapsed="false">
      <c r="A318" s="5" t="str">
        <f aca="false">IF(Stock_Diario!A318="","",Stock_Diario!A318)</f>
        <v/>
      </c>
      <c r="B318" s="4" t="str">
        <f aca="false">IF($A318="","",$A318-$A317)</f>
        <v/>
      </c>
      <c r="C318" s="24" t="str">
        <f aca="false">IF($A318="","",Stock_Diario!E318)</f>
        <v/>
      </c>
      <c r="D318" s="24" t="str">
        <f aca="false">IF($A318="","",IF(SUMIFS(Recepciones!$C$5:$C$2000,Recepciones!$B$5:$B$2000,Config!$A$23,Recepciones!$A$5:$A$2000,"&gt;"&amp;$A317,Recepciones!$A$5:$A$2000,"&lt;="&amp;$A318)&gt;0,SUMIFS(Recepciones!$C$5:$C$2000,Recepciones!$B$5:$B$2000,Config!$A$23,Recepciones!$A$5:$A$2000,"&gt;"&amp;$A317,Recepciones!$A$5:$A$2000,"&lt;="&amp;$A318),MAX(0,C318-C317)))</f>
        <v/>
      </c>
      <c r="E318" s="24" t="str">
        <f aca="false">IF($A318="","",MAX(0,C317+D318-C318))</f>
        <v/>
      </c>
      <c r="F318" s="24" t="str">
        <f aca="false">IF($A318="","",Stock_Diario!F318)</f>
        <v/>
      </c>
      <c r="G318" s="24" t="str">
        <f aca="false">IF($A318="","",IF(SUMIFS(Recepciones!$C$5:$C$2000,Recepciones!$B$5:$B$2000,Config!$A$24,Recepciones!$A$5:$A$2000,"&gt;"&amp;$A317,Recepciones!$A$5:$A$2000,"&lt;="&amp;$A318)&gt;0,SUMIFS(Recepciones!$C$5:$C$2000,Recepciones!$B$5:$B$2000,Config!$A$24,Recepciones!$A$5:$A$2000,"&gt;"&amp;$A317,Recepciones!$A$5:$A$2000,"&lt;="&amp;$A318),MAX(0,F318-F317)))</f>
        <v/>
      </c>
      <c r="H318" s="24" t="str">
        <f aca="false">IF($A318="","",MAX(0,F317+G318-F318))</f>
        <v/>
      </c>
      <c r="I318" s="24" t="str">
        <f aca="false">IF($A318="","",Stock_Diario!G318)</f>
        <v/>
      </c>
      <c r="J318" s="24" t="str">
        <f aca="false">IF($A318="","",IF(SUMIFS(Recepciones!$C$5:$C$2000,Recepciones!$B$5:$B$2000,Config!$A$25,Recepciones!$A$5:$A$2000,"&gt;"&amp;$A317,Recepciones!$A$5:$A$2000,"&lt;="&amp;$A318)&gt;0,SUMIFS(Recepciones!$C$5:$C$2000,Recepciones!$B$5:$B$2000,Config!$A$25,Recepciones!$A$5:$A$2000,"&gt;"&amp;$A317,Recepciones!$A$5:$A$2000,"&lt;="&amp;$A318),MAX(0,I318-I317)))</f>
        <v/>
      </c>
      <c r="K318" s="24" t="str">
        <f aca="false">IF($A318="","",MAX(0,I317+J318-I318))</f>
        <v/>
      </c>
      <c r="L318" s="24" t="str">
        <f aca="false">IF($A318="","",E318+H318+K318)</f>
        <v/>
      </c>
      <c r="M318" s="4" t="str">
        <f aca="false">IF($A318="","",IF(AND(D318+G318+J318&gt;0,SUMIFS(Recepciones!$C$5:$C$2000,Recepciones!$A$5:$A$2000,"&gt;"&amp;$A317,Recepciones!$A$5:$A$2000,"&lt;="&amp;$A318)=0),"Aumento de stock sin recepción registrada",IF(B318&gt;1,"Intervalo de "&amp;B318&amp;" días","")))</f>
        <v/>
      </c>
    </row>
    <row r="319" customFormat="false" ht="15" hidden="false" customHeight="false" outlineLevel="0" collapsed="false">
      <c r="A319" s="5" t="str">
        <f aca="false">IF(Stock_Diario!A319="","",Stock_Diario!A319)</f>
        <v/>
      </c>
      <c r="B319" s="4" t="str">
        <f aca="false">IF($A319="","",$A319-$A318)</f>
        <v/>
      </c>
      <c r="C319" s="24" t="str">
        <f aca="false">IF($A319="","",Stock_Diario!E319)</f>
        <v/>
      </c>
      <c r="D319" s="24" t="str">
        <f aca="false">IF($A319="","",IF(SUMIFS(Recepciones!$C$5:$C$2000,Recepciones!$B$5:$B$2000,Config!$A$23,Recepciones!$A$5:$A$2000,"&gt;"&amp;$A318,Recepciones!$A$5:$A$2000,"&lt;="&amp;$A319)&gt;0,SUMIFS(Recepciones!$C$5:$C$2000,Recepciones!$B$5:$B$2000,Config!$A$23,Recepciones!$A$5:$A$2000,"&gt;"&amp;$A318,Recepciones!$A$5:$A$2000,"&lt;="&amp;$A319),MAX(0,C319-C318)))</f>
        <v/>
      </c>
      <c r="E319" s="24" t="str">
        <f aca="false">IF($A319="","",MAX(0,C318+D319-C319))</f>
        <v/>
      </c>
      <c r="F319" s="24" t="str">
        <f aca="false">IF($A319="","",Stock_Diario!F319)</f>
        <v/>
      </c>
      <c r="G319" s="24" t="str">
        <f aca="false">IF($A319="","",IF(SUMIFS(Recepciones!$C$5:$C$2000,Recepciones!$B$5:$B$2000,Config!$A$24,Recepciones!$A$5:$A$2000,"&gt;"&amp;$A318,Recepciones!$A$5:$A$2000,"&lt;="&amp;$A319)&gt;0,SUMIFS(Recepciones!$C$5:$C$2000,Recepciones!$B$5:$B$2000,Config!$A$24,Recepciones!$A$5:$A$2000,"&gt;"&amp;$A318,Recepciones!$A$5:$A$2000,"&lt;="&amp;$A319),MAX(0,F319-F318)))</f>
        <v/>
      </c>
      <c r="H319" s="24" t="str">
        <f aca="false">IF($A319="","",MAX(0,F318+G319-F319))</f>
        <v/>
      </c>
      <c r="I319" s="24" t="str">
        <f aca="false">IF($A319="","",Stock_Diario!G319)</f>
        <v/>
      </c>
      <c r="J319" s="24" t="str">
        <f aca="false">IF($A319="","",IF(SUMIFS(Recepciones!$C$5:$C$2000,Recepciones!$B$5:$B$2000,Config!$A$25,Recepciones!$A$5:$A$2000,"&gt;"&amp;$A318,Recepciones!$A$5:$A$2000,"&lt;="&amp;$A319)&gt;0,SUMIFS(Recepciones!$C$5:$C$2000,Recepciones!$B$5:$B$2000,Config!$A$25,Recepciones!$A$5:$A$2000,"&gt;"&amp;$A318,Recepciones!$A$5:$A$2000,"&lt;="&amp;$A319),MAX(0,I319-I318)))</f>
        <v/>
      </c>
      <c r="K319" s="24" t="str">
        <f aca="false">IF($A319="","",MAX(0,I318+J319-I319))</f>
        <v/>
      </c>
      <c r="L319" s="24" t="str">
        <f aca="false">IF($A319="","",E319+H319+K319)</f>
        <v/>
      </c>
      <c r="M319" s="4" t="str">
        <f aca="false">IF($A319="","",IF(AND(D319+G319+J319&gt;0,SUMIFS(Recepciones!$C$5:$C$2000,Recepciones!$A$5:$A$2000,"&gt;"&amp;$A318,Recepciones!$A$5:$A$2000,"&lt;="&amp;$A319)=0),"Aumento de stock sin recepción registrada",IF(B319&gt;1,"Intervalo de "&amp;B319&amp;" días","")))</f>
        <v/>
      </c>
    </row>
    <row r="320" customFormat="false" ht="15" hidden="false" customHeight="false" outlineLevel="0" collapsed="false">
      <c r="A320" s="5" t="str">
        <f aca="false">IF(Stock_Diario!A320="","",Stock_Diario!A320)</f>
        <v/>
      </c>
      <c r="B320" s="4" t="str">
        <f aca="false">IF($A320="","",$A320-$A319)</f>
        <v/>
      </c>
      <c r="C320" s="24" t="str">
        <f aca="false">IF($A320="","",Stock_Diario!E320)</f>
        <v/>
      </c>
      <c r="D320" s="24" t="str">
        <f aca="false">IF($A320="","",IF(SUMIFS(Recepciones!$C$5:$C$2000,Recepciones!$B$5:$B$2000,Config!$A$23,Recepciones!$A$5:$A$2000,"&gt;"&amp;$A319,Recepciones!$A$5:$A$2000,"&lt;="&amp;$A320)&gt;0,SUMIFS(Recepciones!$C$5:$C$2000,Recepciones!$B$5:$B$2000,Config!$A$23,Recepciones!$A$5:$A$2000,"&gt;"&amp;$A319,Recepciones!$A$5:$A$2000,"&lt;="&amp;$A320),MAX(0,C320-C319)))</f>
        <v/>
      </c>
      <c r="E320" s="24" t="str">
        <f aca="false">IF($A320="","",MAX(0,C319+D320-C320))</f>
        <v/>
      </c>
      <c r="F320" s="24" t="str">
        <f aca="false">IF($A320="","",Stock_Diario!F320)</f>
        <v/>
      </c>
      <c r="G320" s="24" t="str">
        <f aca="false">IF($A320="","",IF(SUMIFS(Recepciones!$C$5:$C$2000,Recepciones!$B$5:$B$2000,Config!$A$24,Recepciones!$A$5:$A$2000,"&gt;"&amp;$A319,Recepciones!$A$5:$A$2000,"&lt;="&amp;$A320)&gt;0,SUMIFS(Recepciones!$C$5:$C$2000,Recepciones!$B$5:$B$2000,Config!$A$24,Recepciones!$A$5:$A$2000,"&gt;"&amp;$A319,Recepciones!$A$5:$A$2000,"&lt;="&amp;$A320),MAX(0,F320-F319)))</f>
        <v/>
      </c>
      <c r="H320" s="24" t="str">
        <f aca="false">IF($A320="","",MAX(0,F319+G320-F320))</f>
        <v/>
      </c>
      <c r="I320" s="24" t="str">
        <f aca="false">IF($A320="","",Stock_Diario!G320)</f>
        <v/>
      </c>
      <c r="J320" s="24" t="str">
        <f aca="false">IF($A320="","",IF(SUMIFS(Recepciones!$C$5:$C$2000,Recepciones!$B$5:$B$2000,Config!$A$25,Recepciones!$A$5:$A$2000,"&gt;"&amp;$A319,Recepciones!$A$5:$A$2000,"&lt;="&amp;$A320)&gt;0,SUMIFS(Recepciones!$C$5:$C$2000,Recepciones!$B$5:$B$2000,Config!$A$25,Recepciones!$A$5:$A$2000,"&gt;"&amp;$A319,Recepciones!$A$5:$A$2000,"&lt;="&amp;$A320),MAX(0,I320-I319)))</f>
        <v/>
      </c>
      <c r="K320" s="24" t="str">
        <f aca="false">IF($A320="","",MAX(0,I319+J320-I320))</f>
        <v/>
      </c>
      <c r="L320" s="24" t="str">
        <f aca="false">IF($A320="","",E320+H320+K320)</f>
        <v/>
      </c>
      <c r="M320" s="4" t="str">
        <f aca="false">IF($A320="","",IF(AND(D320+G320+J320&gt;0,SUMIFS(Recepciones!$C$5:$C$2000,Recepciones!$A$5:$A$2000,"&gt;"&amp;$A319,Recepciones!$A$5:$A$2000,"&lt;="&amp;$A320)=0),"Aumento de stock sin recepción registrada",IF(B320&gt;1,"Intervalo de "&amp;B320&amp;" días","")))</f>
        <v/>
      </c>
    </row>
    <row r="321" customFormat="false" ht="15" hidden="false" customHeight="false" outlineLevel="0" collapsed="false">
      <c r="A321" s="5" t="str">
        <f aca="false">IF(Stock_Diario!A321="","",Stock_Diario!A321)</f>
        <v/>
      </c>
      <c r="B321" s="4" t="str">
        <f aca="false">IF($A321="","",$A321-$A320)</f>
        <v/>
      </c>
      <c r="C321" s="24" t="str">
        <f aca="false">IF($A321="","",Stock_Diario!E321)</f>
        <v/>
      </c>
      <c r="D321" s="24" t="str">
        <f aca="false">IF($A321="","",IF(SUMIFS(Recepciones!$C$5:$C$2000,Recepciones!$B$5:$B$2000,Config!$A$23,Recepciones!$A$5:$A$2000,"&gt;"&amp;$A320,Recepciones!$A$5:$A$2000,"&lt;="&amp;$A321)&gt;0,SUMIFS(Recepciones!$C$5:$C$2000,Recepciones!$B$5:$B$2000,Config!$A$23,Recepciones!$A$5:$A$2000,"&gt;"&amp;$A320,Recepciones!$A$5:$A$2000,"&lt;="&amp;$A321),MAX(0,C321-C320)))</f>
        <v/>
      </c>
      <c r="E321" s="24" t="str">
        <f aca="false">IF($A321="","",MAX(0,C320+D321-C321))</f>
        <v/>
      </c>
      <c r="F321" s="24" t="str">
        <f aca="false">IF($A321="","",Stock_Diario!F321)</f>
        <v/>
      </c>
      <c r="G321" s="24" t="str">
        <f aca="false">IF($A321="","",IF(SUMIFS(Recepciones!$C$5:$C$2000,Recepciones!$B$5:$B$2000,Config!$A$24,Recepciones!$A$5:$A$2000,"&gt;"&amp;$A320,Recepciones!$A$5:$A$2000,"&lt;="&amp;$A321)&gt;0,SUMIFS(Recepciones!$C$5:$C$2000,Recepciones!$B$5:$B$2000,Config!$A$24,Recepciones!$A$5:$A$2000,"&gt;"&amp;$A320,Recepciones!$A$5:$A$2000,"&lt;="&amp;$A321),MAX(0,F321-F320)))</f>
        <v/>
      </c>
      <c r="H321" s="24" t="str">
        <f aca="false">IF($A321="","",MAX(0,F320+G321-F321))</f>
        <v/>
      </c>
      <c r="I321" s="24" t="str">
        <f aca="false">IF($A321="","",Stock_Diario!G321)</f>
        <v/>
      </c>
      <c r="J321" s="24" t="str">
        <f aca="false">IF($A321="","",IF(SUMIFS(Recepciones!$C$5:$C$2000,Recepciones!$B$5:$B$2000,Config!$A$25,Recepciones!$A$5:$A$2000,"&gt;"&amp;$A320,Recepciones!$A$5:$A$2000,"&lt;="&amp;$A321)&gt;0,SUMIFS(Recepciones!$C$5:$C$2000,Recepciones!$B$5:$B$2000,Config!$A$25,Recepciones!$A$5:$A$2000,"&gt;"&amp;$A320,Recepciones!$A$5:$A$2000,"&lt;="&amp;$A321),MAX(0,I321-I320)))</f>
        <v/>
      </c>
      <c r="K321" s="24" t="str">
        <f aca="false">IF($A321="","",MAX(0,I320+J321-I321))</f>
        <v/>
      </c>
      <c r="L321" s="24" t="str">
        <f aca="false">IF($A321="","",E321+H321+K321)</f>
        <v/>
      </c>
      <c r="M321" s="4" t="str">
        <f aca="false">IF($A321="","",IF(AND(D321+G321+J321&gt;0,SUMIFS(Recepciones!$C$5:$C$2000,Recepciones!$A$5:$A$2000,"&gt;"&amp;$A320,Recepciones!$A$5:$A$2000,"&lt;="&amp;$A321)=0),"Aumento de stock sin recepción registrada",IF(B321&gt;1,"Intervalo de "&amp;B321&amp;" días","")))</f>
        <v/>
      </c>
    </row>
    <row r="322" customFormat="false" ht="15" hidden="false" customHeight="false" outlineLevel="0" collapsed="false">
      <c r="A322" s="5" t="str">
        <f aca="false">IF(Stock_Diario!A322="","",Stock_Diario!A322)</f>
        <v/>
      </c>
      <c r="B322" s="4" t="str">
        <f aca="false">IF($A322="","",$A322-$A321)</f>
        <v/>
      </c>
      <c r="C322" s="24" t="str">
        <f aca="false">IF($A322="","",Stock_Diario!E322)</f>
        <v/>
      </c>
      <c r="D322" s="24" t="str">
        <f aca="false">IF($A322="","",IF(SUMIFS(Recepciones!$C$5:$C$2000,Recepciones!$B$5:$B$2000,Config!$A$23,Recepciones!$A$5:$A$2000,"&gt;"&amp;$A321,Recepciones!$A$5:$A$2000,"&lt;="&amp;$A322)&gt;0,SUMIFS(Recepciones!$C$5:$C$2000,Recepciones!$B$5:$B$2000,Config!$A$23,Recepciones!$A$5:$A$2000,"&gt;"&amp;$A321,Recepciones!$A$5:$A$2000,"&lt;="&amp;$A322),MAX(0,C322-C321)))</f>
        <v/>
      </c>
      <c r="E322" s="24" t="str">
        <f aca="false">IF($A322="","",MAX(0,C321+D322-C322))</f>
        <v/>
      </c>
      <c r="F322" s="24" t="str">
        <f aca="false">IF($A322="","",Stock_Diario!F322)</f>
        <v/>
      </c>
      <c r="G322" s="24" t="str">
        <f aca="false">IF($A322="","",IF(SUMIFS(Recepciones!$C$5:$C$2000,Recepciones!$B$5:$B$2000,Config!$A$24,Recepciones!$A$5:$A$2000,"&gt;"&amp;$A321,Recepciones!$A$5:$A$2000,"&lt;="&amp;$A322)&gt;0,SUMIFS(Recepciones!$C$5:$C$2000,Recepciones!$B$5:$B$2000,Config!$A$24,Recepciones!$A$5:$A$2000,"&gt;"&amp;$A321,Recepciones!$A$5:$A$2000,"&lt;="&amp;$A322),MAX(0,F322-F321)))</f>
        <v/>
      </c>
      <c r="H322" s="24" t="str">
        <f aca="false">IF($A322="","",MAX(0,F321+G322-F322))</f>
        <v/>
      </c>
      <c r="I322" s="24" t="str">
        <f aca="false">IF($A322="","",Stock_Diario!G322)</f>
        <v/>
      </c>
      <c r="J322" s="24" t="str">
        <f aca="false">IF($A322="","",IF(SUMIFS(Recepciones!$C$5:$C$2000,Recepciones!$B$5:$B$2000,Config!$A$25,Recepciones!$A$5:$A$2000,"&gt;"&amp;$A321,Recepciones!$A$5:$A$2000,"&lt;="&amp;$A322)&gt;0,SUMIFS(Recepciones!$C$5:$C$2000,Recepciones!$B$5:$B$2000,Config!$A$25,Recepciones!$A$5:$A$2000,"&gt;"&amp;$A321,Recepciones!$A$5:$A$2000,"&lt;="&amp;$A322),MAX(0,I322-I321)))</f>
        <v/>
      </c>
      <c r="K322" s="24" t="str">
        <f aca="false">IF($A322="","",MAX(0,I321+J322-I322))</f>
        <v/>
      </c>
      <c r="L322" s="24" t="str">
        <f aca="false">IF($A322="","",E322+H322+K322)</f>
        <v/>
      </c>
      <c r="M322" s="4" t="str">
        <f aca="false">IF($A322="","",IF(AND(D322+G322+J322&gt;0,SUMIFS(Recepciones!$C$5:$C$2000,Recepciones!$A$5:$A$2000,"&gt;"&amp;$A321,Recepciones!$A$5:$A$2000,"&lt;="&amp;$A322)=0),"Aumento de stock sin recepción registrada",IF(B322&gt;1,"Intervalo de "&amp;B322&amp;" días","")))</f>
        <v/>
      </c>
    </row>
    <row r="323" customFormat="false" ht="15" hidden="false" customHeight="false" outlineLevel="0" collapsed="false">
      <c r="A323" s="5" t="str">
        <f aca="false">IF(Stock_Diario!A323="","",Stock_Diario!A323)</f>
        <v/>
      </c>
      <c r="B323" s="4" t="str">
        <f aca="false">IF($A323="","",$A323-$A322)</f>
        <v/>
      </c>
      <c r="C323" s="24" t="str">
        <f aca="false">IF($A323="","",Stock_Diario!E323)</f>
        <v/>
      </c>
      <c r="D323" s="24" t="str">
        <f aca="false">IF($A323="","",IF(SUMIFS(Recepciones!$C$5:$C$2000,Recepciones!$B$5:$B$2000,Config!$A$23,Recepciones!$A$5:$A$2000,"&gt;"&amp;$A322,Recepciones!$A$5:$A$2000,"&lt;="&amp;$A323)&gt;0,SUMIFS(Recepciones!$C$5:$C$2000,Recepciones!$B$5:$B$2000,Config!$A$23,Recepciones!$A$5:$A$2000,"&gt;"&amp;$A322,Recepciones!$A$5:$A$2000,"&lt;="&amp;$A323),MAX(0,C323-C322)))</f>
        <v/>
      </c>
      <c r="E323" s="24" t="str">
        <f aca="false">IF($A323="","",MAX(0,C322+D323-C323))</f>
        <v/>
      </c>
      <c r="F323" s="24" t="str">
        <f aca="false">IF($A323="","",Stock_Diario!F323)</f>
        <v/>
      </c>
      <c r="G323" s="24" t="str">
        <f aca="false">IF($A323="","",IF(SUMIFS(Recepciones!$C$5:$C$2000,Recepciones!$B$5:$B$2000,Config!$A$24,Recepciones!$A$5:$A$2000,"&gt;"&amp;$A322,Recepciones!$A$5:$A$2000,"&lt;="&amp;$A323)&gt;0,SUMIFS(Recepciones!$C$5:$C$2000,Recepciones!$B$5:$B$2000,Config!$A$24,Recepciones!$A$5:$A$2000,"&gt;"&amp;$A322,Recepciones!$A$5:$A$2000,"&lt;="&amp;$A323),MAX(0,F323-F322)))</f>
        <v/>
      </c>
      <c r="H323" s="24" t="str">
        <f aca="false">IF($A323="","",MAX(0,F322+G323-F323))</f>
        <v/>
      </c>
      <c r="I323" s="24" t="str">
        <f aca="false">IF($A323="","",Stock_Diario!G323)</f>
        <v/>
      </c>
      <c r="J323" s="24" t="str">
        <f aca="false">IF($A323="","",IF(SUMIFS(Recepciones!$C$5:$C$2000,Recepciones!$B$5:$B$2000,Config!$A$25,Recepciones!$A$5:$A$2000,"&gt;"&amp;$A322,Recepciones!$A$5:$A$2000,"&lt;="&amp;$A323)&gt;0,SUMIFS(Recepciones!$C$5:$C$2000,Recepciones!$B$5:$B$2000,Config!$A$25,Recepciones!$A$5:$A$2000,"&gt;"&amp;$A322,Recepciones!$A$5:$A$2000,"&lt;="&amp;$A323),MAX(0,I323-I322)))</f>
        <v/>
      </c>
      <c r="K323" s="24" t="str">
        <f aca="false">IF($A323="","",MAX(0,I322+J323-I323))</f>
        <v/>
      </c>
      <c r="L323" s="24" t="str">
        <f aca="false">IF($A323="","",E323+H323+K323)</f>
        <v/>
      </c>
      <c r="M323" s="4" t="str">
        <f aca="false">IF($A323="","",IF(AND(D323+G323+J323&gt;0,SUMIFS(Recepciones!$C$5:$C$2000,Recepciones!$A$5:$A$2000,"&gt;"&amp;$A322,Recepciones!$A$5:$A$2000,"&lt;="&amp;$A323)=0),"Aumento de stock sin recepción registrada",IF(B323&gt;1,"Intervalo de "&amp;B323&amp;" días","")))</f>
        <v/>
      </c>
    </row>
    <row r="324" customFormat="false" ht="15" hidden="false" customHeight="false" outlineLevel="0" collapsed="false">
      <c r="A324" s="5" t="str">
        <f aca="false">IF(Stock_Diario!A324="","",Stock_Diario!A324)</f>
        <v/>
      </c>
      <c r="B324" s="4" t="str">
        <f aca="false">IF($A324="","",$A324-$A323)</f>
        <v/>
      </c>
      <c r="C324" s="24" t="str">
        <f aca="false">IF($A324="","",Stock_Diario!E324)</f>
        <v/>
      </c>
      <c r="D324" s="24" t="str">
        <f aca="false">IF($A324="","",IF(SUMIFS(Recepciones!$C$5:$C$2000,Recepciones!$B$5:$B$2000,Config!$A$23,Recepciones!$A$5:$A$2000,"&gt;"&amp;$A323,Recepciones!$A$5:$A$2000,"&lt;="&amp;$A324)&gt;0,SUMIFS(Recepciones!$C$5:$C$2000,Recepciones!$B$5:$B$2000,Config!$A$23,Recepciones!$A$5:$A$2000,"&gt;"&amp;$A323,Recepciones!$A$5:$A$2000,"&lt;="&amp;$A324),MAX(0,C324-C323)))</f>
        <v/>
      </c>
      <c r="E324" s="24" t="str">
        <f aca="false">IF($A324="","",MAX(0,C323+D324-C324))</f>
        <v/>
      </c>
      <c r="F324" s="24" t="str">
        <f aca="false">IF($A324="","",Stock_Diario!F324)</f>
        <v/>
      </c>
      <c r="G324" s="24" t="str">
        <f aca="false">IF($A324="","",IF(SUMIFS(Recepciones!$C$5:$C$2000,Recepciones!$B$5:$B$2000,Config!$A$24,Recepciones!$A$5:$A$2000,"&gt;"&amp;$A323,Recepciones!$A$5:$A$2000,"&lt;="&amp;$A324)&gt;0,SUMIFS(Recepciones!$C$5:$C$2000,Recepciones!$B$5:$B$2000,Config!$A$24,Recepciones!$A$5:$A$2000,"&gt;"&amp;$A323,Recepciones!$A$5:$A$2000,"&lt;="&amp;$A324),MAX(0,F324-F323)))</f>
        <v/>
      </c>
      <c r="H324" s="24" t="str">
        <f aca="false">IF($A324="","",MAX(0,F323+G324-F324))</f>
        <v/>
      </c>
      <c r="I324" s="24" t="str">
        <f aca="false">IF($A324="","",Stock_Diario!G324)</f>
        <v/>
      </c>
      <c r="J324" s="24" t="str">
        <f aca="false">IF($A324="","",IF(SUMIFS(Recepciones!$C$5:$C$2000,Recepciones!$B$5:$B$2000,Config!$A$25,Recepciones!$A$5:$A$2000,"&gt;"&amp;$A323,Recepciones!$A$5:$A$2000,"&lt;="&amp;$A324)&gt;0,SUMIFS(Recepciones!$C$5:$C$2000,Recepciones!$B$5:$B$2000,Config!$A$25,Recepciones!$A$5:$A$2000,"&gt;"&amp;$A323,Recepciones!$A$5:$A$2000,"&lt;="&amp;$A324),MAX(0,I324-I323)))</f>
        <v/>
      </c>
      <c r="K324" s="24" t="str">
        <f aca="false">IF($A324="","",MAX(0,I323+J324-I324))</f>
        <v/>
      </c>
      <c r="L324" s="24" t="str">
        <f aca="false">IF($A324="","",E324+H324+K324)</f>
        <v/>
      </c>
      <c r="M324" s="4" t="str">
        <f aca="false">IF($A324="","",IF(AND(D324+G324+J324&gt;0,SUMIFS(Recepciones!$C$5:$C$2000,Recepciones!$A$5:$A$2000,"&gt;"&amp;$A323,Recepciones!$A$5:$A$2000,"&lt;="&amp;$A324)=0),"Aumento de stock sin recepción registrada",IF(B324&gt;1,"Intervalo de "&amp;B324&amp;" días","")))</f>
        <v/>
      </c>
    </row>
    <row r="325" customFormat="false" ht="15" hidden="false" customHeight="false" outlineLevel="0" collapsed="false">
      <c r="A325" s="5" t="str">
        <f aca="false">IF(Stock_Diario!A325="","",Stock_Diario!A325)</f>
        <v/>
      </c>
      <c r="B325" s="4" t="str">
        <f aca="false">IF($A325="","",$A325-$A324)</f>
        <v/>
      </c>
      <c r="C325" s="24" t="str">
        <f aca="false">IF($A325="","",Stock_Diario!E325)</f>
        <v/>
      </c>
      <c r="D325" s="24" t="str">
        <f aca="false">IF($A325="","",IF(SUMIFS(Recepciones!$C$5:$C$2000,Recepciones!$B$5:$B$2000,Config!$A$23,Recepciones!$A$5:$A$2000,"&gt;"&amp;$A324,Recepciones!$A$5:$A$2000,"&lt;="&amp;$A325)&gt;0,SUMIFS(Recepciones!$C$5:$C$2000,Recepciones!$B$5:$B$2000,Config!$A$23,Recepciones!$A$5:$A$2000,"&gt;"&amp;$A324,Recepciones!$A$5:$A$2000,"&lt;="&amp;$A325),MAX(0,C325-C324)))</f>
        <v/>
      </c>
      <c r="E325" s="24" t="str">
        <f aca="false">IF($A325="","",MAX(0,C324+D325-C325))</f>
        <v/>
      </c>
      <c r="F325" s="24" t="str">
        <f aca="false">IF($A325="","",Stock_Diario!F325)</f>
        <v/>
      </c>
      <c r="G325" s="24" t="str">
        <f aca="false">IF($A325="","",IF(SUMIFS(Recepciones!$C$5:$C$2000,Recepciones!$B$5:$B$2000,Config!$A$24,Recepciones!$A$5:$A$2000,"&gt;"&amp;$A324,Recepciones!$A$5:$A$2000,"&lt;="&amp;$A325)&gt;0,SUMIFS(Recepciones!$C$5:$C$2000,Recepciones!$B$5:$B$2000,Config!$A$24,Recepciones!$A$5:$A$2000,"&gt;"&amp;$A324,Recepciones!$A$5:$A$2000,"&lt;="&amp;$A325),MAX(0,F325-F324)))</f>
        <v/>
      </c>
      <c r="H325" s="24" t="str">
        <f aca="false">IF($A325="","",MAX(0,F324+G325-F325))</f>
        <v/>
      </c>
      <c r="I325" s="24" t="str">
        <f aca="false">IF($A325="","",Stock_Diario!G325)</f>
        <v/>
      </c>
      <c r="J325" s="24" t="str">
        <f aca="false">IF($A325="","",IF(SUMIFS(Recepciones!$C$5:$C$2000,Recepciones!$B$5:$B$2000,Config!$A$25,Recepciones!$A$5:$A$2000,"&gt;"&amp;$A324,Recepciones!$A$5:$A$2000,"&lt;="&amp;$A325)&gt;0,SUMIFS(Recepciones!$C$5:$C$2000,Recepciones!$B$5:$B$2000,Config!$A$25,Recepciones!$A$5:$A$2000,"&gt;"&amp;$A324,Recepciones!$A$5:$A$2000,"&lt;="&amp;$A325),MAX(0,I325-I324)))</f>
        <v/>
      </c>
      <c r="K325" s="24" t="str">
        <f aca="false">IF($A325="","",MAX(0,I324+J325-I325))</f>
        <v/>
      </c>
      <c r="L325" s="24" t="str">
        <f aca="false">IF($A325="","",E325+H325+K325)</f>
        <v/>
      </c>
      <c r="M325" s="4" t="str">
        <f aca="false">IF($A325="","",IF(AND(D325+G325+J325&gt;0,SUMIFS(Recepciones!$C$5:$C$2000,Recepciones!$A$5:$A$2000,"&gt;"&amp;$A324,Recepciones!$A$5:$A$2000,"&lt;="&amp;$A325)=0),"Aumento de stock sin recepción registrada",IF(B325&gt;1,"Intervalo de "&amp;B325&amp;" días","")))</f>
        <v/>
      </c>
    </row>
    <row r="326" customFormat="false" ht="15" hidden="false" customHeight="false" outlineLevel="0" collapsed="false">
      <c r="A326" s="5" t="str">
        <f aca="false">IF(Stock_Diario!A326="","",Stock_Diario!A326)</f>
        <v/>
      </c>
      <c r="B326" s="4" t="str">
        <f aca="false">IF($A326="","",$A326-$A325)</f>
        <v/>
      </c>
      <c r="C326" s="24" t="str">
        <f aca="false">IF($A326="","",Stock_Diario!E326)</f>
        <v/>
      </c>
      <c r="D326" s="24" t="str">
        <f aca="false">IF($A326="","",IF(SUMIFS(Recepciones!$C$5:$C$2000,Recepciones!$B$5:$B$2000,Config!$A$23,Recepciones!$A$5:$A$2000,"&gt;"&amp;$A325,Recepciones!$A$5:$A$2000,"&lt;="&amp;$A326)&gt;0,SUMIFS(Recepciones!$C$5:$C$2000,Recepciones!$B$5:$B$2000,Config!$A$23,Recepciones!$A$5:$A$2000,"&gt;"&amp;$A325,Recepciones!$A$5:$A$2000,"&lt;="&amp;$A326),MAX(0,C326-C325)))</f>
        <v/>
      </c>
      <c r="E326" s="24" t="str">
        <f aca="false">IF($A326="","",MAX(0,C325+D326-C326))</f>
        <v/>
      </c>
      <c r="F326" s="24" t="str">
        <f aca="false">IF($A326="","",Stock_Diario!F326)</f>
        <v/>
      </c>
      <c r="G326" s="24" t="str">
        <f aca="false">IF($A326="","",IF(SUMIFS(Recepciones!$C$5:$C$2000,Recepciones!$B$5:$B$2000,Config!$A$24,Recepciones!$A$5:$A$2000,"&gt;"&amp;$A325,Recepciones!$A$5:$A$2000,"&lt;="&amp;$A326)&gt;0,SUMIFS(Recepciones!$C$5:$C$2000,Recepciones!$B$5:$B$2000,Config!$A$24,Recepciones!$A$5:$A$2000,"&gt;"&amp;$A325,Recepciones!$A$5:$A$2000,"&lt;="&amp;$A326),MAX(0,F326-F325)))</f>
        <v/>
      </c>
      <c r="H326" s="24" t="str">
        <f aca="false">IF($A326="","",MAX(0,F325+G326-F326))</f>
        <v/>
      </c>
      <c r="I326" s="24" t="str">
        <f aca="false">IF($A326="","",Stock_Diario!G326)</f>
        <v/>
      </c>
      <c r="J326" s="24" t="str">
        <f aca="false">IF($A326="","",IF(SUMIFS(Recepciones!$C$5:$C$2000,Recepciones!$B$5:$B$2000,Config!$A$25,Recepciones!$A$5:$A$2000,"&gt;"&amp;$A325,Recepciones!$A$5:$A$2000,"&lt;="&amp;$A326)&gt;0,SUMIFS(Recepciones!$C$5:$C$2000,Recepciones!$B$5:$B$2000,Config!$A$25,Recepciones!$A$5:$A$2000,"&gt;"&amp;$A325,Recepciones!$A$5:$A$2000,"&lt;="&amp;$A326),MAX(0,I326-I325)))</f>
        <v/>
      </c>
      <c r="K326" s="24" t="str">
        <f aca="false">IF($A326="","",MAX(0,I325+J326-I326))</f>
        <v/>
      </c>
      <c r="L326" s="24" t="str">
        <f aca="false">IF($A326="","",E326+H326+K326)</f>
        <v/>
      </c>
      <c r="M326" s="4" t="str">
        <f aca="false">IF($A326="","",IF(AND(D326+G326+J326&gt;0,SUMIFS(Recepciones!$C$5:$C$2000,Recepciones!$A$5:$A$2000,"&gt;"&amp;$A325,Recepciones!$A$5:$A$2000,"&lt;="&amp;$A326)=0),"Aumento de stock sin recepción registrada",IF(B326&gt;1,"Intervalo de "&amp;B326&amp;" días","")))</f>
        <v/>
      </c>
    </row>
    <row r="327" customFormat="false" ht="15" hidden="false" customHeight="false" outlineLevel="0" collapsed="false">
      <c r="A327" s="5" t="str">
        <f aca="false">IF(Stock_Diario!A327="","",Stock_Diario!A327)</f>
        <v/>
      </c>
      <c r="B327" s="4" t="str">
        <f aca="false">IF($A327="","",$A327-$A326)</f>
        <v/>
      </c>
      <c r="C327" s="24" t="str">
        <f aca="false">IF($A327="","",Stock_Diario!E327)</f>
        <v/>
      </c>
      <c r="D327" s="24" t="str">
        <f aca="false">IF($A327="","",IF(SUMIFS(Recepciones!$C$5:$C$2000,Recepciones!$B$5:$B$2000,Config!$A$23,Recepciones!$A$5:$A$2000,"&gt;"&amp;$A326,Recepciones!$A$5:$A$2000,"&lt;="&amp;$A327)&gt;0,SUMIFS(Recepciones!$C$5:$C$2000,Recepciones!$B$5:$B$2000,Config!$A$23,Recepciones!$A$5:$A$2000,"&gt;"&amp;$A326,Recepciones!$A$5:$A$2000,"&lt;="&amp;$A327),MAX(0,C327-C326)))</f>
        <v/>
      </c>
      <c r="E327" s="24" t="str">
        <f aca="false">IF($A327="","",MAX(0,C326+D327-C327))</f>
        <v/>
      </c>
      <c r="F327" s="24" t="str">
        <f aca="false">IF($A327="","",Stock_Diario!F327)</f>
        <v/>
      </c>
      <c r="G327" s="24" t="str">
        <f aca="false">IF($A327="","",IF(SUMIFS(Recepciones!$C$5:$C$2000,Recepciones!$B$5:$B$2000,Config!$A$24,Recepciones!$A$5:$A$2000,"&gt;"&amp;$A326,Recepciones!$A$5:$A$2000,"&lt;="&amp;$A327)&gt;0,SUMIFS(Recepciones!$C$5:$C$2000,Recepciones!$B$5:$B$2000,Config!$A$24,Recepciones!$A$5:$A$2000,"&gt;"&amp;$A326,Recepciones!$A$5:$A$2000,"&lt;="&amp;$A327),MAX(0,F327-F326)))</f>
        <v/>
      </c>
      <c r="H327" s="24" t="str">
        <f aca="false">IF($A327="","",MAX(0,F326+G327-F327))</f>
        <v/>
      </c>
      <c r="I327" s="24" t="str">
        <f aca="false">IF($A327="","",Stock_Diario!G327)</f>
        <v/>
      </c>
      <c r="J327" s="24" t="str">
        <f aca="false">IF($A327="","",IF(SUMIFS(Recepciones!$C$5:$C$2000,Recepciones!$B$5:$B$2000,Config!$A$25,Recepciones!$A$5:$A$2000,"&gt;"&amp;$A326,Recepciones!$A$5:$A$2000,"&lt;="&amp;$A327)&gt;0,SUMIFS(Recepciones!$C$5:$C$2000,Recepciones!$B$5:$B$2000,Config!$A$25,Recepciones!$A$5:$A$2000,"&gt;"&amp;$A326,Recepciones!$A$5:$A$2000,"&lt;="&amp;$A327),MAX(0,I327-I326)))</f>
        <v/>
      </c>
      <c r="K327" s="24" t="str">
        <f aca="false">IF($A327="","",MAX(0,I326+J327-I327))</f>
        <v/>
      </c>
      <c r="L327" s="24" t="str">
        <f aca="false">IF($A327="","",E327+H327+K327)</f>
        <v/>
      </c>
      <c r="M327" s="4" t="str">
        <f aca="false">IF($A327="","",IF(AND(D327+G327+J327&gt;0,SUMIFS(Recepciones!$C$5:$C$2000,Recepciones!$A$5:$A$2000,"&gt;"&amp;$A326,Recepciones!$A$5:$A$2000,"&lt;="&amp;$A327)=0),"Aumento de stock sin recepción registrada",IF(B327&gt;1,"Intervalo de "&amp;B327&amp;" días","")))</f>
        <v/>
      </c>
    </row>
    <row r="328" customFormat="false" ht="15" hidden="false" customHeight="false" outlineLevel="0" collapsed="false">
      <c r="A328" s="5" t="str">
        <f aca="false">IF(Stock_Diario!A328="","",Stock_Diario!A328)</f>
        <v/>
      </c>
      <c r="B328" s="4" t="str">
        <f aca="false">IF($A328="","",$A328-$A327)</f>
        <v/>
      </c>
      <c r="C328" s="24" t="str">
        <f aca="false">IF($A328="","",Stock_Diario!E328)</f>
        <v/>
      </c>
      <c r="D328" s="24" t="str">
        <f aca="false">IF($A328="","",IF(SUMIFS(Recepciones!$C$5:$C$2000,Recepciones!$B$5:$B$2000,Config!$A$23,Recepciones!$A$5:$A$2000,"&gt;"&amp;$A327,Recepciones!$A$5:$A$2000,"&lt;="&amp;$A328)&gt;0,SUMIFS(Recepciones!$C$5:$C$2000,Recepciones!$B$5:$B$2000,Config!$A$23,Recepciones!$A$5:$A$2000,"&gt;"&amp;$A327,Recepciones!$A$5:$A$2000,"&lt;="&amp;$A328),MAX(0,C328-C327)))</f>
        <v/>
      </c>
      <c r="E328" s="24" t="str">
        <f aca="false">IF($A328="","",MAX(0,C327+D328-C328))</f>
        <v/>
      </c>
      <c r="F328" s="24" t="str">
        <f aca="false">IF($A328="","",Stock_Diario!F328)</f>
        <v/>
      </c>
      <c r="G328" s="24" t="str">
        <f aca="false">IF($A328="","",IF(SUMIFS(Recepciones!$C$5:$C$2000,Recepciones!$B$5:$B$2000,Config!$A$24,Recepciones!$A$5:$A$2000,"&gt;"&amp;$A327,Recepciones!$A$5:$A$2000,"&lt;="&amp;$A328)&gt;0,SUMIFS(Recepciones!$C$5:$C$2000,Recepciones!$B$5:$B$2000,Config!$A$24,Recepciones!$A$5:$A$2000,"&gt;"&amp;$A327,Recepciones!$A$5:$A$2000,"&lt;="&amp;$A328),MAX(0,F328-F327)))</f>
        <v/>
      </c>
      <c r="H328" s="24" t="str">
        <f aca="false">IF($A328="","",MAX(0,F327+G328-F328))</f>
        <v/>
      </c>
      <c r="I328" s="24" t="str">
        <f aca="false">IF($A328="","",Stock_Diario!G328)</f>
        <v/>
      </c>
      <c r="J328" s="24" t="str">
        <f aca="false">IF($A328="","",IF(SUMIFS(Recepciones!$C$5:$C$2000,Recepciones!$B$5:$B$2000,Config!$A$25,Recepciones!$A$5:$A$2000,"&gt;"&amp;$A327,Recepciones!$A$5:$A$2000,"&lt;="&amp;$A328)&gt;0,SUMIFS(Recepciones!$C$5:$C$2000,Recepciones!$B$5:$B$2000,Config!$A$25,Recepciones!$A$5:$A$2000,"&gt;"&amp;$A327,Recepciones!$A$5:$A$2000,"&lt;="&amp;$A328),MAX(0,I328-I327)))</f>
        <v/>
      </c>
      <c r="K328" s="24" t="str">
        <f aca="false">IF($A328="","",MAX(0,I327+J328-I328))</f>
        <v/>
      </c>
      <c r="L328" s="24" t="str">
        <f aca="false">IF($A328="","",E328+H328+K328)</f>
        <v/>
      </c>
      <c r="M328" s="4" t="str">
        <f aca="false">IF($A328="","",IF(AND(D328+G328+J328&gt;0,SUMIFS(Recepciones!$C$5:$C$2000,Recepciones!$A$5:$A$2000,"&gt;"&amp;$A327,Recepciones!$A$5:$A$2000,"&lt;="&amp;$A328)=0),"Aumento de stock sin recepción registrada",IF(B328&gt;1,"Intervalo de "&amp;B328&amp;" días","")))</f>
        <v/>
      </c>
    </row>
    <row r="329" customFormat="false" ht="15" hidden="false" customHeight="false" outlineLevel="0" collapsed="false">
      <c r="A329" s="5" t="str">
        <f aca="false">IF(Stock_Diario!A329="","",Stock_Diario!A329)</f>
        <v/>
      </c>
      <c r="B329" s="4" t="str">
        <f aca="false">IF($A329="","",$A329-$A328)</f>
        <v/>
      </c>
      <c r="C329" s="24" t="str">
        <f aca="false">IF($A329="","",Stock_Diario!E329)</f>
        <v/>
      </c>
      <c r="D329" s="24" t="str">
        <f aca="false">IF($A329="","",IF(SUMIFS(Recepciones!$C$5:$C$2000,Recepciones!$B$5:$B$2000,Config!$A$23,Recepciones!$A$5:$A$2000,"&gt;"&amp;$A328,Recepciones!$A$5:$A$2000,"&lt;="&amp;$A329)&gt;0,SUMIFS(Recepciones!$C$5:$C$2000,Recepciones!$B$5:$B$2000,Config!$A$23,Recepciones!$A$5:$A$2000,"&gt;"&amp;$A328,Recepciones!$A$5:$A$2000,"&lt;="&amp;$A329),MAX(0,C329-C328)))</f>
        <v/>
      </c>
      <c r="E329" s="24" t="str">
        <f aca="false">IF($A329="","",MAX(0,C328+D329-C329))</f>
        <v/>
      </c>
      <c r="F329" s="24" t="str">
        <f aca="false">IF($A329="","",Stock_Diario!F329)</f>
        <v/>
      </c>
      <c r="G329" s="24" t="str">
        <f aca="false">IF($A329="","",IF(SUMIFS(Recepciones!$C$5:$C$2000,Recepciones!$B$5:$B$2000,Config!$A$24,Recepciones!$A$5:$A$2000,"&gt;"&amp;$A328,Recepciones!$A$5:$A$2000,"&lt;="&amp;$A329)&gt;0,SUMIFS(Recepciones!$C$5:$C$2000,Recepciones!$B$5:$B$2000,Config!$A$24,Recepciones!$A$5:$A$2000,"&gt;"&amp;$A328,Recepciones!$A$5:$A$2000,"&lt;="&amp;$A329),MAX(0,F329-F328)))</f>
        <v/>
      </c>
      <c r="H329" s="24" t="str">
        <f aca="false">IF($A329="","",MAX(0,F328+G329-F329))</f>
        <v/>
      </c>
      <c r="I329" s="24" t="str">
        <f aca="false">IF($A329="","",Stock_Diario!G329)</f>
        <v/>
      </c>
      <c r="J329" s="24" t="str">
        <f aca="false">IF($A329="","",IF(SUMIFS(Recepciones!$C$5:$C$2000,Recepciones!$B$5:$B$2000,Config!$A$25,Recepciones!$A$5:$A$2000,"&gt;"&amp;$A328,Recepciones!$A$5:$A$2000,"&lt;="&amp;$A329)&gt;0,SUMIFS(Recepciones!$C$5:$C$2000,Recepciones!$B$5:$B$2000,Config!$A$25,Recepciones!$A$5:$A$2000,"&gt;"&amp;$A328,Recepciones!$A$5:$A$2000,"&lt;="&amp;$A329),MAX(0,I329-I328)))</f>
        <v/>
      </c>
      <c r="K329" s="24" t="str">
        <f aca="false">IF($A329="","",MAX(0,I328+J329-I329))</f>
        <v/>
      </c>
      <c r="L329" s="24" t="str">
        <f aca="false">IF($A329="","",E329+H329+K329)</f>
        <v/>
      </c>
      <c r="M329" s="4" t="str">
        <f aca="false">IF($A329="","",IF(AND(D329+G329+J329&gt;0,SUMIFS(Recepciones!$C$5:$C$2000,Recepciones!$A$5:$A$2000,"&gt;"&amp;$A328,Recepciones!$A$5:$A$2000,"&lt;="&amp;$A329)=0),"Aumento de stock sin recepción registrada",IF(B329&gt;1,"Intervalo de "&amp;B329&amp;" días","")))</f>
        <v/>
      </c>
    </row>
    <row r="330" customFormat="false" ht="15" hidden="false" customHeight="false" outlineLevel="0" collapsed="false">
      <c r="A330" s="5" t="str">
        <f aca="false">IF(Stock_Diario!A330="","",Stock_Diario!A330)</f>
        <v/>
      </c>
      <c r="B330" s="4" t="str">
        <f aca="false">IF($A330="","",$A330-$A329)</f>
        <v/>
      </c>
      <c r="C330" s="24" t="str">
        <f aca="false">IF($A330="","",Stock_Diario!E330)</f>
        <v/>
      </c>
      <c r="D330" s="24" t="str">
        <f aca="false">IF($A330="","",IF(SUMIFS(Recepciones!$C$5:$C$2000,Recepciones!$B$5:$B$2000,Config!$A$23,Recepciones!$A$5:$A$2000,"&gt;"&amp;$A329,Recepciones!$A$5:$A$2000,"&lt;="&amp;$A330)&gt;0,SUMIFS(Recepciones!$C$5:$C$2000,Recepciones!$B$5:$B$2000,Config!$A$23,Recepciones!$A$5:$A$2000,"&gt;"&amp;$A329,Recepciones!$A$5:$A$2000,"&lt;="&amp;$A330),MAX(0,C330-C329)))</f>
        <v/>
      </c>
      <c r="E330" s="24" t="str">
        <f aca="false">IF($A330="","",MAX(0,C329+D330-C330))</f>
        <v/>
      </c>
      <c r="F330" s="24" t="str">
        <f aca="false">IF($A330="","",Stock_Diario!F330)</f>
        <v/>
      </c>
      <c r="G330" s="24" t="str">
        <f aca="false">IF($A330="","",IF(SUMIFS(Recepciones!$C$5:$C$2000,Recepciones!$B$5:$B$2000,Config!$A$24,Recepciones!$A$5:$A$2000,"&gt;"&amp;$A329,Recepciones!$A$5:$A$2000,"&lt;="&amp;$A330)&gt;0,SUMIFS(Recepciones!$C$5:$C$2000,Recepciones!$B$5:$B$2000,Config!$A$24,Recepciones!$A$5:$A$2000,"&gt;"&amp;$A329,Recepciones!$A$5:$A$2000,"&lt;="&amp;$A330),MAX(0,F330-F329)))</f>
        <v/>
      </c>
      <c r="H330" s="24" t="str">
        <f aca="false">IF($A330="","",MAX(0,F329+G330-F330))</f>
        <v/>
      </c>
      <c r="I330" s="24" t="str">
        <f aca="false">IF($A330="","",Stock_Diario!G330)</f>
        <v/>
      </c>
      <c r="J330" s="24" t="str">
        <f aca="false">IF($A330="","",IF(SUMIFS(Recepciones!$C$5:$C$2000,Recepciones!$B$5:$B$2000,Config!$A$25,Recepciones!$A$5:$A$2000,"&gt;"&amp;$A329,Recepciones!$A$5:$A$2000,"&lt;="&amp;$A330)&gt;0,SUMIFS(Recepciones!$C$5:$C$2000,Recepciones!$B$5:$B$2000,Config!$A$25,Recepciones!$A$5:$A$2000,"&gt;"&amp;$A329,Recepciones!$A$5:$A$2000,"&lt;="&amp;$A330),MAX(0,I330-I329)))</f>
        <v/>
      </c>
      <c r="K330" s="24" t="str">
        <f aca="false">IF($A330="","",MAX(0,I329+J330-I330))</f>
        <v/>
      </c>
      <c r="L330" s="24" t="str">
        <f aca="false">IF($A330="","",E330+H330+K330)</f>
        <v/>
      </c>
      <c r="M330" s="4" t="str">
        <f aca="false">IF($A330="","",IF(AND(D330+G330+J330&gt;0,SUMIFS(Recepciones!$C$5:$C$2000,Recepciones!$A$5:$A$2000,"&gt;"&amp;$A329,Recepciones!$A$5:$A$2000,"&lt;="&amp;$A330)=0),"Aumento de stock sin recepción registrada",IF(B330&gt;1,"Intervalo de "&amp;B330&amp;" días","")))</f>
        <v/>
      </c>
    </row>
    <row r="331" customFormat="false" ht="15" hidden="false" customHeight="false" outlineLevel="0" collapsed="false">
      <c r="A331" s="5" t="str">
        <f aca="false">IF(Stock_Diario!A331="","",Stock_Diario!A331)</f>
        <v/>
      </c>
      <c r="B331" s="4" t="str">
        <f aca="false">IF($A331="","",$A331-$A330)</f>
        <v/>
      </c>
      <c r="C331" s="24" t="str">
        <f aca="false">IF($A331="","",Stock_Diario!E331)</f>
        <v/>
      </c>
      <c r="D331" s="24" t="str">
        <f aca="false">IF($A331="","",IF(SUMIFS(Recepciones!$C$5:$C$2000,Recepciones!$B$5:$B$2000,Config!$A$23,Recepciones!$A$5:$A$2000,"&gt;"&amp;$A330,Recepciones!$A$5:$A$2000,"&lt;="&amp;$A331)&gt;0,SUMIFS(Recepciones!$C$5:$C$2000,Recepciones!$B$5:$B$2000,Config!$A$23,Recepciones!$A$5:$A$2000,"&gt;"&amp;$A330,Recepciones!$A$5:$A$2000,"&lt;="&amp;$A331),MAX(0,C331-C330)))</f>
        <v/>
      </c>
      <c r="E331" s="24" t="str">
        <f aca="false">IF($A331="","",MAX(0,C330+D331-C331))</f>
        <v/>
      </c>
      <c r="F331" s="24" t="str">
        <f aca="false">IF($A331="","",Stock_Diario!F331)</f>
        <v/>
      </c>
      <c r="G331" s="24" t="str">
        <f aca="false">IF($A331="","",IF(SUMIFS(Recepciones!$C$5:$C$2000,Recepciones!$B$5:$B$2000,Config!$A$24,Recepciones!$A$5:$A$2000,"&gt;"&amp;$A330,Recepciones!$A$5:$A$2000,"&lt;="&amp;$A331)&gt;0,SUMIFS(Recepciones!$C$5:$C$2000,Recepciones!$B$5:$B$2000,Config!$A$24,Recepciones!$A$5:$A$2000,"&gt;"&amp;$A330,Recepciones!$A$5:$A$2000,"&lt;="&amp;$A331),MAX(0,F331-F330)))</f>
        <v/>
      </c>
      <c r="H331" s="24" t="str">
        <f aca="false">IF($A331="","",MAX(0,F330+G331-F331))</f>
        <v/>
      </c>
      <c r="I331" s="24" t="str">
        <f aca="false">IF($A331="","",Stock_Diario!G331)</f>
        <v/>
      </c>
      <c r="J331" s="24" t="str">
        <f aca="false">IF($A331="","",IF(SUMIFS(Recepciones!$C$5:$C$2000,Recepciones!$B$5:$B$2000,Config!$A$25,Recepciones!$A$5:$A$2000,"&gt;"&amp;$A330,Recepciones!$A$5:$A$2000,"&lt;="&amp;$A331)&gt;0,SUMIFS(Recepciones!$C$5:$C$2000,Recepciones!$B$5:$B$2000,Config!$A$25,Recepciones!$A$5:$A$2000,"&gt;"&amp;$A330,Recepciones!$A$5:$A$2000,"&lt;="&amp;$A331),MAX(0,I331-I330)))</f>
        <v/>
      </c>
      <c r="K331" s="24" t="str">
        <f aca="false">IF($A331="","",MAX(0,I330+J331-I331))</f>
        <v/>
      </c>
      <c r="L331" s="24" t="str">
        <f aca="false">IF($A331="","",E331+H331+K331)</f>
        <v/>
      </c>
      <c r="M331" s="4" t="str">
        <f aca="false">IF($A331="","",IF(AND(D331+G331+J331&gt;0,SUMIFS(Recepciones!$C$5:$C$2000,Recepciones!$A$5:$A$2000,"&gt;"&amp;$A330,Recepciones!$A$5:$A$2000,"&lt;="&amp;$A331)=0),"Aumento de stock sin recepción registrada",IF(B331&gt;1,"Intervalo de "&amp;B331&amp;" días","")))</f>
        <v/>
      </c>
    </row>
    <row r="332" customFormat="false" ht="15" hidden="false" customHeight="false" outlineLevel="0" collapsed="false">
      <c r="A332" s="5" t="str">
        <f aca="false">IF(Stock_Diario!A332="","",Stock_Diario!A332)</f>
        <v/>
      </c>
      <c r="B332" s="4" t="str">
        <f aca="false">IF($A332="","",$A332-$A331)</f>
        <v/>
      </c>
      <c r="C332" s="24" t="str">
        <f aca="false">IF($A332="","",Stock_Diario!E332)</f>
        <v/>
      </c>
      <c r="D332" s="24" t="str">
        <f aca="false">IF($A332="","",IF(SUMIFS(Recepciones!$C$5:$C$2000,Recepciones!$B$5:$B$2000,Config!$A$23,Recepciones!$A$5:$A$2000,"&gt;"&amp;$A331,Recepciones!$A$5:$A$2000,"&lt;="&amp;$A332)&gt;0,SUMIFS(Recepciones!$C$5:$C$2000,Recepciones!$B$5:$B$2000,Config!$A$23,Recepciones!$A$5:$A$2000,"&gt;"&amp;$A331,Recepciones!$A$5:$A$2000,"&lt;="&amp;$A332),MAX(0,C332-C331)))</f>
        <v/>
      </c>
      <c r="E332" s="24" t="str">
        <f aca="false">IF($A332="","",MAX(0,C331+D332-C332))</f>
        <v/>
      </c>
      <c r="F332" s="24" t="str">
        <f aca="false">IF($A332="","",Stock_Diario!F332)</f>
        <v/>
      </c>
      <c r="G332" s="24" t="str">
        <f aca="false">IF($A332="","",IF(SUMIFS(Recepciones!$C$5:$C$2000,Recepciones!$B$5:$B$2000,Config!$A$24,Recepciones!$A$5:$A$2000,"&gt;"&amp;$A331,Recepciones!$A$5:$A$2000,"&lt;="&amp;$A332)&gt;0,SUMIFS(Recepciones!$C$5:$C$2000,Recepciones!$B$5:$B$2000,Config!$A$24,Recepciones!$A$5:$A$2000,"&gt;"&amp;$A331,Recepciones!$A$5:$A$2000,"&lt;="&amp;$A332),MAX(0,F332-F331)))</f>
        <v/>
      </c>
      <c r="H332" s="24" t="str">
        <f aca="false">IF($A332="","",MAX(0,F331+G332-F332))</f>
        <v/>
      </c>
      <c r="I332" s="24" t="str">
        <f aca="false">IF($A332="","",Stock_Diario!G332)</f>
        <v/>
      </c>
      <c r="J332" s="24" t="str">
        <f aca="false">IF($A332="","",IF(SUMIFS(Recepciones!$C$5:$C$2000,Recepciones!$B$5:$B$2000,Config!$A$25,Recepciones!$A$5:$A$2000,"&gt;"&amp;$A331,Recepciones!$A$5:$A$2000,"&lt;="&amp;$A332)&gt;0,SUMIFS(Recepciones!$C$5:$C$2000,Recepciones!$B$5:$B$2000,Config!$A$25,Recepciones!$A$5:$A$2000,"&gt;"&amp;$A331,Recepciones!$A$5:$A$2000,"&lt;="&amp;$A332),MAX(0,I332-I331)))</f>
        <v/>
      </c>
      <c r="K332" s="24" t="str">
        <f aca="false">IF($A332="","",MAX(0,I331+J332-I332))</f>
        <v/>
      </c>
      <c r="L332" s="24" t="str">
        <f aca="false">IF($A332="","",E332+H332+K332)</f>
        <v/>
      </c>
      <c r="M332" s="4" t="str">
        <f aca="false">IF($A332="","",IF(AND(D332+G332+J332&gt;0,SUMIFS(Recepciones!$C$5:$C$2000,Recepciones!$A$5:$A$2000,"&gt;"&amp;$A331,Recepciones!$A$5:$A$2000,"&lt;="&amp;$A332)=0),"Aumento de stock sin recepción registrada",IF(B332&gt;1,"Intervalo de "&amp;B332&amp;" días","")))</f>
        <v/>
      </c>
    </row>
    <row r="333" customFormat="false" ht="15" hidden="false" customHeight="false" outlineLevel="0" collapsed="false">
      <c r="A333" s="5" t="str">
        <f aca="false">IF(Stock_Diario!A333="","",Stock_Diario!A333)</f>
        <v/>
      </c>
      <c r="B333" s="4" t="str">
        <f aca="false">IF($A333="","",$A333-$A332)</f>
        <v/>
      </c>
      <c r="C333" s="24" t="str">
        <f aca="false">IF($A333="","",Stock_Diario!E333)</f>
        <v/>
      </c>
      <c r="D333" s="24" t="str">
        <f aca="false">IF($A333="","",IF(SUMIFS(Recepciones!$C$5:$C$2000,Recepciones!$B$5:$B$2000,Config!$A$23,Recepciones!$A$5:$A$2000,"&gt;"&amp;$A332,Recepciones!$A$5:$A$2000,"&lt;="&amp;$A333)&gt;0,SUMIFS(Recepciones!$C$5:$C$2000,Recepciones!$B$5:$B$2000,Config!$A$23,Recepciones!$A$5:$A$2000,"&gt;"&amp;$A332,Recepciones!$A$5:$A$2000,"&lt;="&amp;$A333),MAX(0,C333-C332)))</f>
        <v/>
      </c>
      <c r="E333" s="24" t="str">
        <f aca="false">IF($A333="","",MAX(0,C332+D333-C333))</f>
        <v/>
      </c>
      <c r="F333" s="24" t="str">
        <f aca="false">IF($A333="","",Stock_Diario!F333)</f>
        <v/>
      </c>
      <c r="G333" s="24" t="str">
        <f aca="false">IF($A333="","",IF(SUMIFS(Recepciones!$C$5:$C$2000,Recepciones!$B$5:$B$2000,Config!$A$24,Recepciones!$A$5:$A$2000,"&gt;"&amp;$A332,Recepciones!$A$5:$A$2000,"&lt;="&amp;$A333)&gt;0,SUMIFS(Recepciones!$C$5:$C$2000,Recepciones!$B$5:$B$2000,Config!$A$24,Recepciones!$A$5:$A$2000,"&gt;"&amp;$A332,Recepciones!$A$5:$A$2000,"&lt;="&amp;$A333),MAX(0,F333-F332)))</f>
        <v/>
      </c>
      <c r="H333" s="24" t="str">
        <f aca="false">IF($A333="","",MAX(0,F332+G333-F333))</f>
        <v/>
      </c>
      <c r="I333" s="24" t="str">
        <f aca="false">IF($A333="","",Stock_Diario!G333)</f>
        <v/>
      </c>
      <c r="J333" s="24" t="str">
        <f aca="false">IF($A333="","",IF(SUMIFS(Recepciones!$C$5:$C$2000,Recepciones!$B$5:$B$2000,Config!$A$25,Recepciones!$A$5:$A$2000,"&gt;"&amp;$A332,Recepciones!$A$5:$A$2000,"&lt;="&amp;$A333)&gt;0,SUMIFS(Recepciones!$C$5:$C$2000,Recepciones!$B$5:$B$2000,Config!$A$25,Recepciones!$A$5:$A$2000,"&gt;"&amp;$A332,Recepciones!$A$5:$A$2000,"&lt;="&amp;$A333),MAX(0,I333-I332)))</f>
        <v/>
      </c>
      <c r="K333" s="24" t="str">
        <f aca="false">IF($A333="","",MAX(0,I332+J333-I333))</f>
        <v/>
      </c>
      <c r="L333" s="24" t="str">
        <f aca="false">IF($A333="","",E333+H333+K333)</f>
        <v/>
      </c>
      <c r="M333" s="4" t="str">
        <f aca="false">IF($A333="","",IF(AND(D333+G333+J333&gt;0,SUMIFS(Recepciones!$C$5:$C$2000,Recepciones!$A$5:$A$2000,"&gt;"&amp;$A332,Recepciones!$A$5:$A$2000,"&lt;="&amp;$A333)=0),"Aumento de stock sin recepción registrada",IF(B333&gt;1,"Intervalo de "&amp;B333&amp;" días","")))</f>
        <v/>
      </c>
    </row>
    <row r="334" customFormat="false" ht="15" hidden="false" customHeight="false" outlineLevel="0" collapsed="false">
      <c r="A334" s="5" t="str">
        <f aca="false">IF(Stock_Diario!A334="","",Stock_Diario!A334)</f>
        <v/>
      </c>
      <c r="B334" s="4" t="str">
        <f aca="false">IF($A334="","",$A334-$A333)</f>
        <v/>
      </c>
      <c r="C334" s="24" t="str">
        <f aca="false">IF($A334="","",Stock_Diario!E334)</f>
        <v/>
      </c>
      <c r="D334" s="24" t="str">
        <f aca="false">IF($A334="","",IF(SUMIFS(Recepciones!$C$5:$C$2000,Recepciones!$B$5:$B$2000,Config!$A$23,Recepciones!$A$5:$A$2000,"&gt;"&amp;$A333,Recepciones!$A$5:$A$2000,"&lt;="&amp;$A334)&gt;0,SUMIFS(Recepciones!$C$5:$C$2000,Recepciones!$B$5:$B$2000,Config!$A$23,Recepciones!$A$5:$A$2000,"&gt;"&amp;$A333,Recepciones!$A$5:$A$2000,"&lt;="&amp;$A334),MAX(0,C334-C333)))</f>
        <v/>
      </c>
      <c r="E334" s="24" t="str">
        <f aca="false">IF($A334="","",MAX(0,C333+D334-C334))</f>
        <v/>
      </c>
      <c r="F334" s="24" t="str">
        <f aca="false">IF($A334="","",Stock_Diario!F334)</f>
        <v/>
      </c>
      <c r="G334" s="24" t="str">
        <f aca="false">IF($A334="","",IF(SUMIFS(Recepciones!$C$5:$C$2000,Recepciones!$B$5:$B$2000,Config!$A$24,Recepciones!$A$5:$A$2000,"&gt;"&amp;$A333,Recepciones!$A$5:$A$2000,"&lt;="&amp;$A334)&gt;0,SUMIFS(Recepciones!$C$5:$C$2000,Recepciones!$B$5:$B$2000,Config!$A$24,Recepciones!$A$5:$A$2000,"&gt;"&amp;$A333,Recepciones!$A$5:$A$2000,"&lt;="&amp;$A334),MAX(0,F334-F333)))</f>
        <v/>
      </c>
      <c r="H334" s="24" t="str">
        <f aca="false">IF($A334="","",MAX(0,F333+G334-F334))</f>
        <v/>
      </c>
      <c r="I334" s="24" t="str">
        <f aca="false">IF($A334="","",Stock_Diario!G334)</f>
        <v/>
      </c>
      <c r="J334" s="24" t="str">
        <f aca="false">IF($A334="","",IF(SUMIFS(Recepciones!$C$5:$C$2000,Recepciones!$B$5:$B$2000,Config!$A$25,Recepciones!$A$5:$A$2000,"&gt;"&amp;$A333,Recepciones!$A$5:$A$2000,"&lt;="&amp;$A334)&gt;0,SUMIFS(Recepciones!$C$5:$C$2000,Recepciones!$B$5:$B$2000,Config!$A$25,Recepciones!$A$5:$A$2000,"&gt;"&amp;$A333,Recepciones!$A$5:$A$2000,"&lt;="&amp;$A334),MAX(0,I334-I333)))</f>
        <v/>
      </c>
      <c r="K334" s="24" t="str">
        <f aca="false">IF($A334="","",MAX(0,I333+J334-I334))</f>
        <v/>
      </c>
      <c r="L334" s="24" t="str">
        <f aca="false">IF($A334="","",E334+H334+K334)</f>
        <v/>
      </c>
      <c r="M334" s="4" t="str">
        <f aca="false">IF($A334="","",IF(AND(D334+G334+J334&gt;0,SUMIFS(Recepciones!$C$5:$C$2000,Recepciones!$A$5:$A$2000,"&gt;"&amp;$A333,Recepciones!$A$5:$A$2000,"&lt;="&amp;$A334)=0),"Aumento de stock sin recepción registrada",IF(B334&gt;1,"Intervalo de "&amp;B334&amp;" días","")))</f>
        <v/>
      </c>
    </row>
    <row r="335" customFormat="false" ht="15" hidden="false" customHeight="false" outlineLevel="0" collapsed="false">
      <c r="A335" s="5" t="str">
        <f aca="false">IF(Stock_Diario!A335="","",Stock_Diario!A335)</f>
        <v/>
      </c>
      <c r="B335" s="4" t="str">
        <f aca="false">IF($A335="","",$A335-$A334)</f>
        <v/>
      </c>
      <c r="C335" s="24" t="str">
        <f aca="false">IF($A335="","",Stock_Diario!E335)</f>
        <v/>
      </c>
      <c r="D335" s="24" t="str">
        <f aca="false">IF($A335="","",IF(SUMIFS(Recepciones!$C$5:$C$2000,Recepciones!$B$5:$B$2000,Config!$A$23,Recepciones!$A$5:$A$2000,"&gt;"&amp;$A334,Recepciones!$A$5:$A$2000,"&lt;="&amp;$A335)&gt;0,SUMIFS(Recepciones!$C$5:$C$2000,Recepciones!$B$5:$B$2000,Config!$A$23,Recepciones!$A$5:$A$2000,"&gt;"&amp;$A334,Recepciones!$A$5:$A$2000,"&lt;="&amp;$A335),MAX(0,C335-C334)))</f>
        <v/>
      </c>
      <c r="E335" s="24" t="str">
        <f aca="false">IF($A335="","",MAX(0,C334+D335-C335))</f>
        <v/>
      </c>
      <c r="F335" s="24" t="str">
        <f aca="false">IF($A335="","",Stock_Diario!F335)</f>
        <v/>
      </c>
      <c r="G335" s="24" t="str">
        <f aca="false">IF($A335="","",IF(SUMIFS(Recepciones!$C$5:$C$2000,Recepciones!$B$5:$B$2000,Config!$A$24,Recepciones!$A$5:$A$2000,"&gt;"&amp;$A334,Recepciones!$A$5:$A$2000,"&lt;="&amp;$A335)&gt;0,SUMIFS(Recepciones!$C$5:$C$2000,Recepciones!$B$5:$B$2000,Config!$A$24,Recepciones!$A$5:$A$2000,"&gt;"&amp;$A334,Recepciones!$A$5:$A$2000,"&lt;="&amp;$A335),MAX(0,F335-F334)))</f>
        <v/>
      </c>
      <c r="H335" s="24" t="str">
        <f aca="false">IF($A335="","",MAX(0,F334+G335-F335))</f>
        <v/>
      </c>
      <c r="I335" s="24" t="str">
        <f aca="false">IF($A335="","",Stock_Diario!G335)</f>
        <v/>
      </c>
      <c r="J335" s="24" t="str">
        <f aca="false">IF($A335="","",IF(SUMIFS(Recepciones!$C$5:$C$2000,Recepciones!$B$5:$B$2000,Config!$A$25,Recepciones!$A$5:$A$2000,"&gt;"&amp;$A334,Recepciones!$A$5:$A$2000,"&lt;="&amp;$A335)&gt;0,SUMIFS(Recepciones!$C$5:$C$2000,Recepciones!$B$5:$B$2000,Config!$A$25,Recepciones!$A$5:$A$2000,"&gt;"&amp;$A334,Recepciones!$A$5:$A$2000,"&lt;="&amp;$A335),MAX(0,I335-I334)))</f>
        <v/>
      </c>
      <c r="K335" s="24" t="str">
        <f aca="false">IF($A335="","",MAX(0,I334+J335-I335))</f>
        <v/>
      </c>
      <c r="L335" s="24" t="str">
        <f aca="false">IF($A335="","",E335+H335+K335)</f>
        <v/>
      </c>
      <c r="M335" s="4" t="str">
        <f aca="false">IF($A335="","",IF(AND(D335+G335+J335&gt;0,SUMIFS(Recepciones!$C$5:$C$2000,Recepciones!$A$5:$A$2000,"&gt;"&amp;$A334,Recepciones!$A$5:$A$2000,"&lt;="&amp;$A335)=0),"Aumento de stock sin recepción registrada",IF(B335&gt;1,"Intervalo de "&amp;B335&amp;" días","")))</f>
        <v/>
      </c>
    </row>
    <row r="336" customFormat="false" ht="15" hidden="false" customHeight="false" outlineLevel="0" collapsed="false">
      <c r="A336" s="5" t="str">
        <f aca="false">IF(Stock_Diario!A336="","",Stock_Diario!A336)</f>
        <v/>
      </c>
      <c r="B336" s="4" t="str">
        <f aca="false">IF($A336="","",$A336-$A335)</f>
        <v/>
      </c>
      <c r="C336" s="24" t="str">
        <f aca="false">IF($A336="","",Stock_Diario!E336)</f>
        <v/>
      </c>
      <c r="D336" s="24" t="str">
        <f aca="false">IF($A336="","",IF(SUMIFS(Recepciones!$C$5:$C$2000,Recepciones!$B$5:$B$2000,Config!$A$23,Recepciones!$A$5:$A$2000,"&gt;"&amp;$A335,Recepciones!$A$5:$A$2000,"&lt;="&amp;$A336)&gt;0,SUMIFS(Recepciones!$C$5:$C$2000,Recepciones!$B$5:$B$2000,Config!$A$23,Recepciones!$A$5:$A$2000,"&gt;"&amp;$A335,Recepciones!$A$5:$A$2000,"&lt;="&amp;$A336),MAX(0,C336-C335)))</f>
        <v/>
      </c>
      <c r="E336" s="24" t="str">
        <f aca="false">IF($A336="","",MAX(0,C335+D336-C336))</f>
        <v/>
      </c>
      <c r="F336" s="24" t="str">
        <f aca="false">IF($A336="","",Stock_Diario!F336)</f>
        <v/>
      </c>
      <c r="G336" s="24" t="str">
        <f aca="false">IF($A336="","",IF(SUMIFS(Recepciones!$C$5:$C$2000,Recepciones!$B$5:$B$2000,Config!$A$24,Recepciones!$A$5:$A$2000,"&gt;"&amp;$A335,Recepciones!$A$5:$A$2000,"&lt;="&amp;$A336)&gt;0,SUMIFS(Recepciones!$C$5:$C$2000,Recepciones!$B$5:$B$2000,Config!$A$24,Recepciones!$A$5:$A$2000,"&gt;"&amp;$A335,Recepciones!$A$5:$A$2000,"&lt;="&amp;$A336),MAX(0,F336-F335)))</f>
        <v/>
      </c>
      <c r="H336" s="24" t="str">
        <f aca="false">IF($A336="","",MAX(0,F335+G336-F336))</f>
        <v/>
      </c>
      <c r="I336" s="24" t="str">
        <f aca="false">IF($A336="","",Stock_Diario!G336)</f>
        <v/>
      </c>
      <c r="J336" s="24" t="str">
        <f aca="false">IF($A336="","",IF(SUMIFS(Recepciones!$C$5:$C$2000,Recepciones!$B$5:$B$2000,Config!$A$25,Recepciones!$A$5:$A$2000,"&gt;"&amp;$A335,Recepciones!$A$5:$A$2000,"&lt;="&amp;$A336)&gt;0,SUMIFS(Recepciones!$C$5:$C$2000,Recepciones!$B$5:$B$2000,Config!$A$25,Recepciones!$A$5:$A$2000,"&gt;"&amp;$A335,Recepciones!$A$5:$A$2000,"&lt;="&amp;$A336),MAX(0,I336-I335)))</f>
        <v/>
      </c>
      <c r="K336" s="24" t="str">
        <f aca="false">IF($A336="","",MAX(0,I335+J336-I336))</f>
        <v/>
      </c>
      <c r="L336" s="24" t="str">
        <f aca="false">IF($A336="","",E336+H336+K336)</f>
        <v/>
      </c>
      <c r="M336" s="4" t="str">
        <f aca="false">IF($A336="","",IF(AND(D336+G336+J336&gt;0,SUMIFS(Recepciones!$C$5:$C$2000,Recepciones!$A$5:$A$2000,"&gt;"&amp;$A335,Recepciones!$A$5:$A$2000,"&lt;="&amp;$A336)=0),"Aumento de stock sin recepción registrada",IF(B336&gt;1,"Intervalo de "&amp;B336&amp;" días","")))</f>
        <v/>
      </c>
    </row>
    <row r="337" customFormat="false" ht="15" hidden="false" customHeight="false" outlineLevel="0" collapsed="false">
      <c r="A337" s="5" t="str">
        <f aca="false">IF(Stock_Diario!A337="","",Stock_Diario!A337)</f>
        <v/>
      </c>
      <c r="B337" s="4" t="str">
        <f aca="false">IF($A337="","",$A337-$A336)</f>
        <v/>
      </c>
      <c r="C337" s="24" t="str">
        <f aca="false">IF($A337="","",Stock_Diario!E337)</f>
        <v/>
      </c>
      <c r="D337" s="24" t="str">
        <f aca="false">IF($A337="","",IF(SUMIFS(Recepciones!$C$5:$C$2000,Recepciones!$B$5:$B$2000,Config!$A$23,Recepciones!$A$5:$A$2000,"&gt;"&amp;$A336,Recepciones!$A$5:$A$2000,"&lt;="&amp;$A337)&gt;0,SUMIFS(Recepciones!$C$5:$C$2000,Recepciones!$B$5:$B$2000,Config!$A$23,Recepciones!$A$5:$A$2000,"&gt;"&amp;$A336,Recepciones!$A$5:$A$2000,"&lt;="&amp;$A337),MAX(0,C337-C336)))</f>
        <v/>
      </c>
      <c r="E337" s="24" t="str">
        <f aca="false">IF($A337="","",MAX(0,C336+D337-C337))</f>
        <v/>
      </c>
      <c r="F337" s="24" t="str">
        <f aca="false">IF($A337="","",Stock_Diario!F337)</f>
        <v/>
      </c>
      <c r="G337" s="24" t="str">
        <f aca="false">IF($A337="","",IF(SUMIFS(Recepciones!$C$5:$C$2000,Recepciones!$B$5:$B$2000,Config!$A$24,Recepciones!$A$5:$A$2000,"&gt;"&amp;$A336,Recepciones!$A$5:$A$2000,"&lt;="&amp;$A337)&gt;0,SUMIFS(Recepciones!$C$5:$C$2000,Recepciones!$B$5:$B$2000,Config!$A$24,Recepciones!$A$5:$A$2000,"&gt;"&amp;$A336,Recepciones!$A$5:$A$2000,"&lt;="&amp;$A337),MAX(0,F337-F336)))</f>
        <v/>
      </c>
      <c r="H337" s="24" t="str">
        <f aca="false">IF($A337="","",MAX(0,F336+G337-F337))</f>
        <v/>
      </c>
      <c r="I337" s="24" t="str">
        <f aca="false">IF($A337="","",Stock_Diario!G337)</f>
        <v/>
      </c>
      <c r="J337" s="24" t="str">
        <f aca="false">IF($A337="","",IF(SUMIFS(Recepciones!$C$5:$C$2000,Recepciones!$B$5:$B$2000,Config!$A$25,Recepciones!$A$5:$A$2000,"&gt;"&amp;$A336,Recepciones!$A$5:$A$2000,"&lt;="&amp;$A337)&gt;0,SUMIFS(Recepciones!$C$5:$C$2000,Recepciones!$B$5:$B$2000,Config!$A$25,Recepciones!$A$5:$A$2000,"&gt;"&amp;$A336,Recepciones!$A$5:$A$2000,"&lt;="&amp;$A337),MAX(0,I337-I336)))</f>
        <v/>
      </c>
      <c r="K337" s="24" t="str">
        <f aca="false">IF($A337="","",MAX(0,I336+J337-I337))</f>
        <v/>
      </c>
      <c r="L337" s="24" t="str">
        <f aca="false">IF($A337="","",E337+H337+K337)</f>
        <v/>
      </c>
      <c r="M337" s="4" t="str">
        <f aca="false">IF($A337="","",IF(AND(D337+G337+J337&gt;0,SUMIFS(Recepciones!$C$5:$C$2000,Recepciones!$A$5:$A$2000,"&gt;"&amp;$A336,Recepciones!$A$5:$A$2000,"&lt;="&amp;$A337)=0),"Aumento de stock sin recepción registrada",IF(B337&gt;1,"Intervalo de "&amp;B337&amp;" días","")))</f>
        <v/>
      </c>
    </row>
    <row r="338" customFormat="false" ht="15" hidden="false" customHeight="false" outlineLevel="0" collapsed="false">
      <c r="A338" s="5" t="str">
        <f aca="false">IF(Stock_Diario!A338="","",Stock_Diario!A338)</f>
        <v/>
      </c>
      <c r="B338" s="4" t="str">
        <f aca="false">IF($A338="","",$A338-$A337)</f>
        <v/>
      </c>
      <c r="C338" s="24" t="str">
        <f aca="false">IF($A338="","",Stock_Diario!E338)</f>
        <v/>
      </c>
      <c r="D338" s="24" t="str">
        <f aca="false">IF($A338="","",IF(SUMIFS(Recepciones!$C$5:$C$2000,Recepciones!$B$5:$B$2000,Config!$A$23,Recepciones!$A$5:$A$2000,"&gt;"&amp;$A337,Recepciones!$A$5:$A$2000,"&lt;="&amp;$A338)&gt;0,SUMIFS(Recepciones!$C$5:$C$2000,Recepciones!$B$5:$B$2000,Config!$A$23,Recepciones!$A$5:$A$2000,"&gt;"&amp;$A337,Recepciones!$A$5:$A$2000,"&lt;="&amp;$A338),MAX(0,C338-C337)))</f>
        <v/>
      </c>
      <c r="E338" s="24" t="str">
        <f aca="false">IF($A338="","",MAX(0,C337+D338-C338))</f>
        <v/>
      </c>
      <c r="F338" s="24" t="str">
        <f aca="false">IF($A338="","",Stock_Diario!F338)</f>
        <v/>
      </c>
      <c r="G338" s="24" t="str">
        <f aca="false">IF($A338="","",IF(SUMIFS(Recepciones!$C$5:$C$2000,Recepciones!$B$5:$B$2000,Config!$A$24,Recepciones!$A$5:$A$2000,"&gt;"&amp;$A337,Recepciones!$A$5:$A$2000,"&lt;="&amp;$A338)&gt;0,SUMIFS(Recepciones!$C$5:$C$2000,Recepciones!$B$5:$B$2000,Config!$A$24,Recepciones!$A$5:$A$2000,"&gt;"&amp;$A337,Recepciones!$A$5:$A$2000,"&lt;="&amp;$A338),MAX(0,F338-F337)))</f>
        <v/>
      </c>
      <c r="H338" s="24" t="str">
        <f aca="false">IF($A338="","",MAX(0,F337+G338-F338))</f>
        <v/>
      </c>
      <c r="I338" s="24" t="str">
        <f aca="false">IF($A338="","",Stock_Diario!G338)</f>
        <v/>
      </c>
      <c r="J338" s="24" t="str">
        <f aca="false">IF($A338="","",IF(SUMIFS(Recepciones!$C$5:$C$2000,Recepciones!$B$5:$B$2000,Config!$A$25,Recepciones!$A$5:$A$2000,"&gt;"&amp;$A337,Recepciones!$A$5:$A$2000,"&lt;="&amp;$A338)&gt;0,SUMIFS(Recepciones!$C$5:$C$2000,Recepciones!$B$5:$B$2000,Config!$A$25,Recepciones!$A$5:$A$2000,"&gt;"&amp;$A337,Recepciones!$A$5:$A$2000,"&lt;="&amp;$A338),MAX(0,I338-I337)))</f>
        <v/>
      </c>
      <c r="K338" s="24" t="str">
        <f aca="false">IF($A338="","",MAX(0,I337+J338-I338))</f>
        <v/>
      </c>
      <c r="L338" s="24" t="str">
        <f aca="false">IF($A338="","",E338+H338+K338)</f>
        <v/>
      </c>
      <c r="M338" s="4" t="str">
        <f aca="false">IF($A338="","",IF(AND(D338+G338+J338&gt;0,SUMIFS(Recepciones!$C$5:$C$2000,Recepciones!$A$5:$A$2000,"&gt;"&amp;$A337,Recepciones!$A$5:$A$2000,"&lt;="&amp;$A338)=0),"Aumento de stock sin recepción registrada",IF(B338&gt;1,"Intervalo de "&amp;B338&amp;" días","")))</f>
        <v/>
      </c>
    </row>
    <row r="339" customFormat="false" ht="15" hidden="false" customHeight="false" outlineLevel="0" collapsed="false">
      <c r="A339" s="5" t="str">
        <f aca="false">IF(Stock_Diario!A339="","",Stock_Diario!A339)</f>
        <v/>
      </c>
      <c r="B339" s="4" t="str">
        <f aca="false">IF($A339="","",$A339-$A338)</f>
        <v/>
      </c>
      <c r="C339" s="24" t="str">
        <f aca="false">IF($A339="","",Stock_Diario!E339)</f>
        <v/>
      </c>
      <c r="D339" s="24" t="str">
        <f aca="false">IF($A339="","",IF(SUMIFS(Recepciones!$C$5:$C$2000,Recepciones!$B$5:$B$2000,Config!$A$23,Recepciones!$A$5:$A$2000,"&gt;"&amp;$A338,Recepciones!$A$5:$A$2000,"&lt;="&amp;$A339)&gt;0,SUMIFS(Recepciones!$C$5:$C$2000,Recepciones!$B$5:$B$2000,Config!$A$23,Recepciones!$A$5:$A$2000,"&gt;"&amp;$A338,Recepciones!$A$5:$A$2000,"&lt;="&amp;$A339),MAX(0,C339-C338)))</f>
        <v/>
      </c>
      <c r="E339" s="24" t="str">
        <f aca="false">IF($A339="","",MAX(0,C338+D339-C339))</f>
        <v/>
      </c>
      <c r="F339" s="24" t="str">
        <f aca="false">IF($A339="","",Stock_Diario!F339)</f>
        <v/>
      </c>
      <c r="G339" s="24" t="str">
        <f aca="false">IF($A339="","",IF(SUMIFS(Recepciones!$C$5:$C$2000,Recepciones!$B$5:$B$2000,Config!$A$24,Recepciones!$A$5:$A$2000,"&gt;"&amp;$A338,Recepciones!$A$5:$A$2000,"&lt;="&amp;$A339)&gt;0,SUMIFS(Recepciones!$C$5:$C$2000,Recepciones!$B$5:$B$2000,Config!$A$24,Recepciones!$A$5:$A$2000,"&gt;"&amp;$A338,Recepciones!$A$5:$A$2000,"&lt;="&amp;$A339),MAX(0,F339-F338)))</f>
        <v/>
      </c>
      <c r="H339" s="24" t="str">
        <f aca="false">IF($A339="","",MAX(0,F338+G339-F339))</f>
        <v/>
      </c>
      <c r="I339" s="24" t="str">
        <f aca="false">IF($A339="","",Stock_Diario!G339)</f>
        <v/>
      </c>
      <c r="J339" s="24" t="str">
        <f aca="false">IF($A339="","",IF(SUMIFS(Recepciones!$C$5:$C$2000,Recepciones!$B$5:$B$2000,Config!$A$25,Recepciones!$A$5:$A$2000,"&gt;"&amp;$A338,Recepciones!$A$5:$A$2000,"&lt;="&amp;$A339)&gt;0,SUMIFS(Recepciones!$C$5:$C$2000,Recepciones!$B$5:$B$2000,Config!$A$25,Recepciones!$A$5:$A$2000,"&gt;"&amp;$A338,Recepciones!$A$5:$A$2000,"&lt;="&amp;$A339),MAX(0,I339-I338)))</f>
        <v/>
      </c>
      <c r="K339" s="24" t="str">
        <f aca="false">IF($A339="","",MAX(0,I338+J339-I339))</f>
        <v/>
      </c>
      <c r="L339" s="24" t="str">
        <f aca="false">IF($A339="","",E339+H339+K339)</f>
        <v/>
      </c>
      <c r="M339" s="4" t="str">
        <f aca="false">IF($A339="","",IF(AND(D339+G339+J339&gt;0,SUMIFS(Recepciones!$C$5:$C$2000,Recepciones!$A$5:$A$2000,"&gt;"&amp;$A338,Recepciones!$A$5:$A$2000,"&lt;="&amp;$A339)=0),"Aumento de stock sin recepción registrada",IF(B339&gt;1,"Intervalo de "&amp;B339&amp;" días","")))</f>
        <v/>
      </c>
    </row>
    <row r="340" customFormat="false" ht="15" hidden="false" customHeight="false" outlineLevel="0" collapsed="false">
      <c r="A340" s="5" t="str">
        <f aca="false">IF(Stock_Diario!A340="","",Stock_Diario!A340)</f>
        <v/>
      </c>
      <c r="B340" s="4" t="str">
        <f aca="false">IF($A340="","",$A340-$A339)</f>
        <v/>
      </c>
      <c r="C340" s="24" t="str">
        <f aca="false">IF($A340="","",Stock_Diario!E340)</f>
        <v/>
      </c>
      <c r="D340" s="24" t="str">
        <f aca="false">IF($A340="","",IF(SUMIFS(Recepciones!$C$5:$C$2000,Recepciones!$B$5:$B$2000,Config!$A$23,Recepciones!$A$5:$A$2000,"&gt;"&amp;$A339,Recepciones!$A$5:$A$2000,"&lt;="&amp;$A340)&gt;0,SUMIFS(Recepciones!$C$5:$C$2000,Recepciones!$B$5:$B$2000,Config!$A$23,Recepciones!$A$5:$A$2000,"&gt;"&amp;$A339,Recepciones!$A$5:$A$2000,"&lt;="&amp;$A340),MAX(0,C340-C339)))</f>
        <v/>
      </c>
      <c r="E340" s="24" t="str">
        <f aca="false">IF($A340="","",MAX(0,C339+D340-C340))</f>
        <v/>
      </c>
      <c r="F340" s="24" t="str">
        <f aca="false">IF($A340="","",Stock_Diario!F340)</f>
        <v/>
      </c>
      <c r="G340" s="24" t="str">
        <f aca="false">IF($A340="","",IF(SUMIFS(Recepciones!$C$5:$C$2000,Recepciones!$B$5:$B$2000,Config!$A$24,Recepciones!$A$5:$A$2000,"&gt;"&amp;$A339,Recepciones!$A$5:$A$2000,"&lt;="&amp;$A340)&gt;0,SUMIFS(Recepciones!$C$5:$C$2000,Recepciones!$B$5:$B$2000,Config!$A$24,Recepciones!$A$5:$A$2000,"&gt;"&amp;$A339,Recepciones!$A$5:$A$2000,"&lt;="&amp;$A340),MAX(0,F340-F339)))</f>
        <v/>
      </c>
      <c r="H340" s="24" t="str">
        <f aca="false">IF($A340="","",MAX(0,F339+G340-F340))</f>
        <v/>
      </c>
      <c r="I340" s="24" t="str">
        <f aca="false">IF($A340="","",Stock_Diario!G340)</f>
        <v/>
      </c>
      <c r="J340" s="24" t="str">
        <f aca="false">IF($A340="","",IF(SUMIFS(Recepciones!$C$5:$C$2000,Recepciones!$B$5:$B$2000,Config!$A$25,Recepciones!$A$5:$A$2000,"&gt;"&amp;$A339,Recepciones!$A$5:$A$2000,"&lt;="&amp;$A340)&gt;0,SUMIFS(Recepciones!$C$5:$C$2000,Recepciones!$B$5:$B$2000,Config!$A$25,Recepciones!$A$5:$A$2000,"&gt;"&amp;$A339,Recepciones!$A$5:$A$2000,"&lt;="&amp;$A340),MAX(0,I340-I339)))</f>
        <v/>
      </c>
      <c r="K340" s="24" t="str">
        <f aca="false">IF($A340="","",MAX(0,I339+J340-I340))</f>
        <v/>
      </c>
      <c r="L340" s="24" t="str">
        <f aca="false">IF($A340="","",E340+H340+K340)</f>
        <v/>
      </c>
      <c r="M340" s="4" t="str">
        <f aca="false">IF($A340="","",IF(AND(D340+G340+J340&gt;0,SUMIFS(Recepciones!$C$5:$C$2000,Recepciones!$A$5:$A$2000,"&gt;"&amp;$A339,Recepciones!$A$5:$A$2000,"&lt;="&amp;$A340)=0),"Aumento de stock sin recepción registrada",IF(B340&gt;1,"Intervalo de "&amp;B340&amp;" días","")))</f>
        <v/>
      </c>
    </row>
    <row r="341" customFormat="false" ht="15" hidden="false" customHeight="false" outlineLevel="0" collapsed="false">
      <c r="A341" s="5" t="str">
        <f aca="false">IF(Stock_Diario!A341="","",Stock_Diario!A341)</f>
        <v/>
      </c>
      <c r="B341" s="4" t="str">
        <f aca="false">IF($A341="","",$A341-$A340)</f>
        <v/>
      </c>
      <c r="C341" s="24" t="str">
        <f aca="false">IF($A341="","",Stock_Diario!E341)</f>
        <v/>
      </c>
      <c r="D341" s="24" t="str">
        <f aca="false">IF($A341="","",IF(SUMIFS(Recepciones!$C$5:$C$2000,Recepciones!$B$5:$B$2000,Config!$A$23,Recepciones!$A$5:$A$2000,"&gt;"&amp;$A340,Recepciones!$A$5:$A$2000,"&lt;="&amp;$A341)&gt;0,SUMIFS(Recepciones!$C$5:$C$2000,Recepciones!$B$5:$B$2000,Config!$A$23,Recepciones!$A$5:$A$2000,"&gt;"&amp;$A340,Recepciones!$A$5:$A$2000,"&lt;="&amp;$A341),MAX(0,C341-C340)))</f>
        <v/>
      </c>
      <c r="E341" s="24" t="str">
        <f aca="false">IF($A341="","",MAX(0,C340+D341-C341))</f>
        <v/>
      </c>
      <c r="F341" s="24" t="str">
        <f aca="false">IF($A341="","",Stock_Diario!F341)</f>
        <v/>
      </c>
      <c r="G341" s="24" t="str">
        <f aca="false">IF($A341="","",IF(SUMIFS(Recepciones!$C$5:$C$2000,Recepciones!$B$5:$B$2000,Config!$A$24,Recepciones!$A$5:$A$2000,"&gt;"&amp;$A340,Recepciones!$A$5:$A$2000,"&lt;="&amp;$A341)&gt;0,SUMIFS(Recepciones!$C$5:$C$2000,Recepciones!$B$5:$B$2000,Config!$A$24,Recepciones!$A$5:$A$2000,"&gt;"&amp;$A340,Recepciones!$A$5:$A$2000,"&lt;="&amp;$A341),MAX(0,F341-F340)))</f>
        <v/>
      </c>
      <c r="H341" s="24" t="str">
        <f aca="false">IF($A341="","",MAX(0,F340+G341-F341))</f>
        <v/>
      </c>
      <c r="I341" s="24" t="str">
        <f aca="false">IF($A341="","",Stock_Diario!G341)</f>
        <v/>
      </c>
      <c r="J341" s="24" t="str">
        <f aca="false">IF($A341="","",IF(SUMIFS(Recepciones!$C$5:$C$2000,Recepciones!$B$5:$B$2000,Config!$A$25,Recepciones!$A$5:$A$2000,"&gt;"&amp;$A340,Recepciones!$A$5:$A$2000,"&lt;="&amp;$A341)&gt;0,SUMIFS(Recepciones!$C$5:$C$2000,Recepciones!$B$5:$B$2000,Config!$A$25,Recepciones!$A$5:$A$2000,"&gt;"&amp;$A340,Recepciones!$A$5:$A$2000,"&lt;="&amp;$A341),MAX(0,I341-I340)))</f>
        <v/>
      </c>
      <c r="K341" s="24" t="str">
        <f aca="false">IF($A341="","",MAX(0,I340+J341-I341))</f>
        <v/>
      </c>
      <c r="L341" s="24" t="str">
        <f aca="false">IF($A341="","",E341+H341+K341)</f>
        <v/>
      </c>
      <c r="M341" s="4" t="str">
        <f aca="false">IF($A341="","",IF(AND(D341+G341+J341&gt;0,SUMIFS(Recepciones!$C$5:$C$2000,Recepciones!$A$5:$A$2000,"&gt;"&amp;$A340,Recepciones!$A$5:$A$2000,"&lt;="&amp;$A341)=0),"Aumento de stock sin recepción registrada",IF(B341&gt;1,"Intervalo de "&amp;B341&amp;" días","")))</f>
        <v/>
      </c>
    </row>
    <row r="342" customFormat="false" ht="15" hidden="false" customHeight="false" outlineLevel="0" collapsed="false">
      <c r="A342" s="5" t="str">
        <f aca="false">IF(Stock_Diario!A342="","",Stock_Diario!A342)</f>
        <v/>
      </c>
      <c r="B342" s="4" t="str">
        <f aca="false">IF($A342="","",$A342-$A341)</f>
        <v/>
      </c>
      <c r="C342" s="24" t="str">
        <f aca="false">IF($A342="","",Stock_Diario!E342)</f>
        <v/>
      </c>
      <c r="D342" s="24" t="str">
        <f aca="false">IF($A342="","",IF(SUMIFS(Recepciones!$C$5:$C$2000,Recepciones!$B$5:$B$2000,Config!$A$23,Recepciones!$A$5:$A$2000,"&gt;"&amp;$A341,Recepciones!$A$5:$A$2000,"&lt;="&amp;$A342)&gt;0,SUMIFS(Recepciones!$C$5:$C$2000,Recepciones!$B$5:$B$2000,Config!$A$23,Recepciones!$A$5:$A$2000,"&gt;"&amp;$A341,Recepciones!$A$5:$A$2000,"&lt;="&amp;$A342),MAX(0,C342-C341)))</f>
        <v/>
      </c>
      <c r="E342" s="24" t="str">
        <f aca="false">IF($A342="","",MAX(0,C341+D342-C342))</f>
        <v/>
      </c>
      <c r="F342" s="24" t="str">
        <f aca="false">IF($A342="","",Stock_Diario!F342)</f>
        <v/>
      </c>
      <c r="G342" s="24" t="str">
        <f aca="false">IF($A342="","",IF(SUMIFS(Recepciones!$C$5:$C$2000,Recepciones!$B$5:$B$2000,Config!$A$24,Recepciones!$A$5:$A$2000,"&gt;"&amp;$A341,Recepciones!$A$5:$A$2000,"&lt;="&amp;$A342)&gt;0,SUMIFS(Recepciones!$C$5:$C$2000,Recepciones!$B$5:$B$2000,Config!$A$24,Recepciones!$A$5:$A$2000,"&gt;"&amp;$A341,Recepciones!$A$5:$A$2000,"&lt;="&amp;$A342),MAX(0,F342-F341)))</f>
        <v/>
      </c>
      <c r="H342" s="24" t="str">
        <f aca="false">IF($A342="","",MAX(0,F341+G342-F342))</f>
        <v/>
      </c>
      <c r="I342" s="24" t="str">
        <f aca="false">IF($A342="","",Stock_Diario!G342)</f>
        <v/>
      </c>
      <c r="J342" s="24" t="str">
        <f aca="false">IF($A342="","",IF(SUMIFS(Recepciones!$C$5:$C$2000,Recepciones!$B$5:$B$2000,Config!$A$25,Recepciones!$A$5:$A$2000,"&gt;"&amp;$A341,Recepciones!$A$5:$A$2000,"&lt;="&amp;$A342)&gt;0,SUMIFS(Recepciones!$C$5:$C$2000,Recepciones!$B$5:$B$2000,Config!$A$25,Recepciones!$A$5:$A$2000,"&gt;"&amp;$A341,Recepciones!$A$5:$A$2000,"&lt;="&amp;$A342),MAX(0,I342-I341)))</f>
        <v/>
      </c>
      <c r="K342" s="24" t="str">
        <f aca="false">IF($A342="","",MAX(0,I341+J342-I342))</f>
        <v/>
      </c>
      <c r="L342" s="24" t="str">
        <f aca="false">IF($A342="","",E342+H342+K342)</f>
        <v/>
      </c>
      <c r="M342" s="4" t="str">
        <f aca="false">IF($A342="","",IF(AND(D342+G342+J342&gt;0,SUMIFS(Recepciones!$C$5:$C$2000,Recepciones!$A$5:$A$2000,"&gt;"&amp;$A341,Recepciones!$A$5:$A$2000,"&lt;="&amp;$A342)=0),"Aumento de stock sin recepción registrada",IF(B342&gt;1,"Intervalo de "&amp;B342&amp;" días","")))</f>
        <v/>
      </c>
    </row>
    <row r="343" customFormat="false" ht="15" hidden="false" customHeight="false" outlineLevel="0" collapsed="false">
      <c r="A343" s="5" t="str">
        <f aca="false">IF(Stock_Diario!A343="","",Stock_Diario!A343)</f>
        <v/>
      </c>
      <c r="B343" s="4" t="str">
        <f aca="false">IF($A343="","",$A343-$A342)</f>
        <v/>
      </c>
      <c r="C343" s="24" t="str">
        <f aca="false">IF($A343="","",Stock_Diario!E343)</f>
        <v/>
      </c>
      <c r="D343" s="24" t="str">
        <f aca="false">IF($A343="","",IF(SUMIFS(Recepciones!$C$5:$C$2000,Recepciones!$B$5:$B$2000,Config!$A$23,Recepciones!$A$5:$A$2000,"&gt;"&amp;$A342,Recepciones!$A$5:$A$2000,"&lt;="&amp;$A343)&gt;0,SUMIFS(Recepciones!$C$5:$C$2000,Recepciones!$B$5:$B$2000,Config!$A$23,Recepciones!$A$5:$A$2000,"&gt;"&amp;$A342,Recepciones!$A$5:$A$2000,"&lt;="&amp;$A343),MAX(0,C343-C342)))</f>
        <v/>
      </c>
      <c r="E343" s="24" t="str">
        <f aca="false">IF($A343="","",MAX(0,C342+D343-C343))</f>
        <v/>
      </c>
      <c r="F343" s="24" t="str">
        <f aca="false">IF($A343="","",Stock_Diario!F343)</f>
        <v/>
      </c>
      <c r="G343" s="24" t="str">
        <f aca="false">IF($A343="","",IF(SUMIFS(Recepciones!$C$5:$C$2000,Recepciones!$B$5:$B$2000,Config!$A$24,Recepciones!$A$5:$A$2000,"&gt;"&amp;$A342,Recepciones!$A$5:$A$2000,"&lt;="&amp;$A343)&gt;0,SUMIFS(Recepciones!$C$5:$C$2000,Recepciones!$B$5:$B$2000,Config!$A$24,Recepciones!$A$5:$A$2000,"&gt;"&amp;$A342,Recepciones!$A$5:$A$2000,"&lt;="&amp;$A343),MAX(0,F343-F342)))</f>
        <v/>
      </c>
      <c r="H343" s="24" t="str">
        <f aca="false">IF($A343="","",MAX(0,F342+G343-F343))</f>
        <v/>
      </c>
      <c r="I343" s="24" t="str">
        <f aca="false">IF($A343="","",Stock_Diario!G343)</f>
        <v/>
      </c>
      <c r="J343" s="24" t="str">
        <f aca="false">IF($A343="","",IF(SUMIFS(Recepciones!$C$5:$C$2000,Recepciones!$B$5:$B$2000,Config!$A$25,Recepciones!$A$5:$A$2000,"&gt;"&amp;$A342,Recepciones!$A$5:$A$2000,"&lt;="&amp;$A343)&gt;0,SUMIFS(Recepciones!$C$5:$C$2000,Recepciones!$B$5:$B$2000,Config!$A$25,Recepciones!$A$5:$A$2000,"&gt;"&amp;$A342,Recepciones!$A$5:$A$2000,"&lt;="&amp;$A343),MAX(0,I343-I342)))</f>
        <v/>
      </c>
      <c r="K343" s="24" t="str">
        <f aca="false">IF($A343="","",MAX(0,I342+J343-I343))</f>
        <v/>
      </c>
      <c r="L343" s="24" t="str">
        <f aca="false">IF($A343="","",E343+H343+K343)</f>
        <v/>
      </c>
      <c r="M343" s="4" t="str">
        <f aca="false">IF($A343="","",IF(AND(D343+G343+J343&gt;0,SUMIFS(Recepciones!$C$5:$C$2000,Recepciones!$A$5:$A$2000,"&gt;"&amp;$A342,Recepciones!$A$5:$A$2000,"&lt;="&amp;$A343)=0),"Aumento de stock sin recepción registrada",IF(B343&gt;1,"Intervalo de "&amp;B343&amp;" días","")))</f>
        <v/>
      </c>
    </row>
    <row r="344" customFormat="false" ht="15" hidden="false" customHeight="false" outlineLevel="0" collapsed="false">
      <c r="A344" s="5" t="str">
        <f aca="false">IF(Stock_Diario!A344="","",Stock_Diario!A344)</f>
        <v/>
      </c>
      <c r="B344" s="4" t="str">
        <f aca="false">IF($A344="","",$A344-$A343)</f>
        <v/>
      </c>
      <c r="C344" s="24" t="str">
        <f aca="false">IF($A344="","",Stock_Diario!E344)</f>
        <v/>
      </c>
      <c r="D344" s="24" t="str">
        <f aca="false">IF($A344="","",IF(SUMIFS(Recepciones!$C$5:$C$2000,Recepciones!$B$5:$B$2000,Config!$A$23,Recepciones!$A$5:$A$2000,"&gt;"&amp;$A343,Recepciones!$A$5:$A$2000,"&lt;="&amp;$A344)&gt;0,SUMIFS(Recepciones!$C$5:$C$2000,Recepciones!$B$5:$B$2000,Config!$A$23,Recepciones!$A$5:$A$2000,"&gt;"&amp;$A343,Recepciones!$A$5:$A$2000,"&lt;="&amp;$A344),MAX(0,C344-C343)))</f>
        <v/>
      </c>
      <c r="E344" s="24" t="str">
        <f aca="false">IF($A344="","",MAX(0,C343+D344-C344))</f>
        <v/>
      </c>
      <c r="F344" s="24" t="str">
        <f aca="false">IF($A344="","",Stock_Diario!F344)</f>
        <v/>
      </c>
      <c r="G344" s="24" t="str">
        <f aca="false">IF($A344="","",IF(SUMIFS(Recepciones!$C$5:$C$2000,Recepciones!$B$5:$B$2000,Config!$A$24,Recepciones!$A$5:$A$2000,"&gt;"&amp;$A343,Recepciones!$A$5:$A$2000,"&lt;="&amp;$A344)&gt;0,SUMIFS(Recepciones!$C$5:$C$2000,Recepciones!$B$5:$B$2000,Config!$A$24,Recepciones!$A$5:$A$2000,"&gt;"&amp;$A343,Recepciones!$A$5:$A$2000,"&lt;="&amp;$A344),MAX(0,F344-F343)))</f>
        <v/>
      </c>
      <c r="H344" s="24" t="str">
        <f aca="false">IF($A344="","",MAX(0,F343+G344-F344))</f>
        <v/>
      </c>
      <c r="I344" s="24" t="str">
        <f aca="false">IF($A344="","",Stock_Diario!G344)</f>
        <v/>
      </c>
      <c r="J344" s="24" t="str">
        <f aca="false">IF($A344="","",IF(SUMIFS(Recepciones!$C$5:$C$2000,Recepciones!$B$5:$B$2000,Config!$A$25,Recepciones!$A$5:$A$2000,"&gt;"&amp;$A343,Recepciones!$A$5:$A$2000,"&lt;="&amp;$A344)&gt;0,SUMIFS(Recepciones!$C$5:$C$2000,Recepciones!$B$5:$B$2000,Config!$A$25,Recepciones!$A$5:$A$2000,"&gt;"&amp;$A343,Recepciones!$A$5:$A$2000,"&lt;="&amp;$A344),MAX(0,I344-I343)))</f>
        <v/>
      </c>
      <c r="K344" s="24" t="str">
        <f aca="false">IF($A344="","",MAX(0,I343+J344-I344))</f>
        <v/>
      </c>
      <c r="L344" s="24" t="str">
        <f aca="false">IF($A344="","",E344+H344+K344)</f>
        <v/>
      </c>
      <c r="M344" s="4" t="str">
        <f aca="false">IF($A344="","",IF(AND(D344+G344+J344&gt;0,SUMIFS(Recepciones!$C$5:$C$2000,Recepciones!$A$5:$A$2000,"&gt;"&amp;$A343,Recepciones!$A$5:$A$2000,"&lt;="&amp;$A344)=0),"Aumento de stock sin recepción registrada",IF(B344&gt;1,"Intervalo de "&amp;B344&amp;" días","")))</f>
        <v/>
      </c>
    </row>
    <row r="345" customFormat="false" ht="15" hidden="false" customHeight="false" outlineLevel="0" collapsed="false">
      <c r="A345" s="5" t="str">
        <f aca="false">IF(Stock_Diario!A345="","",Stock_Diario!A345)</f>
        <v/>
      </c>
      <c r="B345" s="4" t="str">
        <f aca="false">IF($A345="","",$A345-$A344)</f>
        <v/>
      </c>
      <c r="C345" s="24" t="str">
        <f aca="false">IF($A345="","",Stock_Diario!E345)</f>
        <v/>
      </c>
      <c r="D345" s="24" t="str">
        <f aca="false">IF($A345="","",IF(SUMIFS(Recepciones!$C$5:$C$2000,Recepciones!$B$5:$B$2000,Config!$A$23,Recepciones!$A$5:$A$2000,"&gt;"&amp;$A344,Recepciones!$A$5:$A$2000,"&lt;="&amp;$A345)&gt;0,SUMIFS(Recepciones!$C$5:$C$2000,Recepciones!$B$5:$B$2000,Config!$A$23,Recepciones!$A$5:$A$2000,"&gt;"&amp;$A344,Recepciones!$A$5:$A$2000,"&lt;="&amp;$A345),MAX(0,C345-C344)))</f>
        <v/>
      </c>
      <c r="E345" s="24" t="str">
        <f aca="false">IF($A345="","",MAX(0,C344+D345-C345))</f>
        <v/>
      </c>
      <c r="F345" s="24" t="str">
        <f aca="false">IF($A345="","",Stock_Diario!F345)</f>
        <v/>
      </c>
      <c r="G345" s="24" t="str">
        <f aca="false">IF($A345="","",IF(SUMIFS(Recepciones!$C$5:$C$2000,Recepciones!$B$5:$B$2000,Config!$A$24,Recepciones!$A$5:$A$2000,"&gt;"&amp;$A344,Recepciones!$A$5:$A$2000,"&lt;="&amp;$A345)&gt;0,SUMIFS(Recepciones!$C$5:$C$2000,Recepciones!$B$5:$B$2000,Config!$A$24,Recepciones!$A$5:$A$2000,"&gt;"&amp;$A344,Recepciones!$A$5:$A$2000,"&lt;="&amp;$A345),MAX(0,F345-F344)))</f>
        <v/>
      </c>
      <c r="H345" s="24" t="str">
        <f aca="false">IF($A345="","",MAX(0,F344+G345-F345))</f>
        <v/>
      </c>
      <c r="I345" s="24" t="str">
        <f aca="false">IF($A345="","",Stock_Diario!G345)</f>
        <v/>
      </c>
      <c r="J345" s="24" t="str">
        <f aca="false">IF($A345="","",IF(SUMIFS(Recepciones!$C$5:$C$2000,Recepciones!$B$5:$B$2000,Config!$A$25,Recepciones!$A$5:$A$2000,"&gt;"&amp;$A344,Recepciones!$A$5:$A$2000,"&lt;="&amp;$A345)&gt;0,SUMIFS(Recepciones!$C$5:$C$2000,Recepciones!$B$5:$B$2000,Config!$A$25,Recepciones!$A$5:$A$2000,"&gt;"&amp;$A344,Recepciones!$A$5:$A$2000,"&lt;="&amp;$A345),MAX(0,I345-I344)))</f>
        <v/>
      </c>
      <c r="K345" s="24" t="str">
        <f aca="false">IF($A345="","",MAX(0,I344+J345-I345))</f>
        <v/>
      </c>
      <c r="L345" s="24" t="str">
        <f aca="false">IF($A345="","",E345+H345+K345)</f>
        <v/>
      </c>
      <c r="M345" s="4" t="str">
        <f aca="false">IF($A345="","",IF(AND(D345+G345+J345&gt;0,SUMIFS(Recepciones!$C$5:$C$2000,Recepciones!$A$5:$A$2000,"&gt;"&amp;$A344,Recepciones!$A$5:$A$2000,"&lt;="&amp;$A345)=0),"Aumento de stock sin recepción registrada",IF(B345&gt;1,"Intervalo de "&amp;B345&amp;" días","")))</f>
        <v/>
      </c>
    </row>
    <row r="346" customFormat="false" ht="15" hidden="false" customHeight="false" outlineLevel="0" collapsed="false">
      <c r="A346" s="5" t="str">
        <f aca="false">IF(Stock_Diario!A346="","",Stock_Diario!A346)</f>
        <v/>
      </c>
      <c r="B346" s="4" t="str">
        <f aca="false">IF($A346="","",$A346-$A345)</f>
        <v/>
      </c>
      <c r="C346" s="24" t="str">
        <f aca="false">IF($A346="","",Stock_Diario!E346)</f>
        <v/>
      </c>
      <c r="D346" s="24" t="str">
        <f aca="false">IF($A346="","",IF(SUMIFS(Recepciones!$C$5:$C$2000,Recepciones!$B$5:$B$2000,Config!$A$23,Recepciones!$A$5:$A$2000,"&gt;"&amp;$A345,Recepciones!$A$5:$A$2000,"&lt;="&amp;$A346)&gt;0,SUMIFS(Recepciones!$C$5:$C$2000,Recepciones!$B$5:$B$2000,Config!$A$23,Recepciones!$A$5:$A$2000,"&gt;"&amp;$A345,Recepciones!$A$5:$A$2000,"&lt;="&amp;$A346),MAX(0,C346-C345)))</f>
        <v/>
      </c>
      <c r="E346" s="24" t="str">
        <f aca="false">IF($A346="","",MAX(0,C345+D346-C346))</f>
        <v/>
      </c>
      <c r="F346" s="24" t="str">
        <f aca="false">IF($A346="","",Stock_Diario!F346)</f>
        <v/>
      </c>
      <c r="G346" s="24" t="str">
        <f aca="false">IF($A346="","",IF(SUMIFS(Recepciones!$C$5:$C$2000,Recepciones!$B$5:$B$2000,Config!$A$24,Recepciones!$A$5:$A$2000,"&gt;"&amp;$A345,Recepciones!$A$5:$A$2000,"&lt;="&amp;$A346)&gt;0,SUMIFS(Recepciones!$C$5:$C$2000,Recepciones!$B$5:$B$2000,Config!$A$24,Recepciones!$A$5:$A$2000,"&gt;"&amp;$A345,Recepciones!$A$5:$A$2000,"&lt;="&amp;$A346),MAX(0,F346-F345)))</f>
        <v/>
      </c>
      <c r="H346" s="24" t="str">
        <f aca="false">IF($A346="","",MAX(0,F345+G346-F346))</f>
        <v/>
      </c>
      <c r="I346" s="24" t="str">
        <f aca="false">IF($A346="","",Stock_Diario!G346)</f>
        <v/>
      </c>
      <c r="J346" s="24" t="str">
        <f aca="false">IF($A346="","",IF(SUMIFS(Recepciones!$C$5:$C$2000,Recepciones!$B$5:$B$2000,Config!$A$25,Recepciones!$A$5:$A$2000,"&gt;"&amp;$A345,Recepciones!$A$5:$A$2000,"&lt;="&amp;$A346)&gt;0,SUMIFS(Recepciones!$C$5:$C$2000,Recepciones!$B$5:$B$2000,Config!$A$25,Recepciones!$A$5:$A$2000,"&gt;"&amp;$A345,Recepciones!$A$5:$A$2000,"&lt;="&amp;$A346),MAX(0,I346-I345)))</f>
        <v/>
      </c>
      <c r="K346" s="24" t="str">
        <f aca="false">IF($A346="","",MAX(0,I345+J346-I346))</f>
        <v/>
      </c>
      <c r="L346" s="24" t="str">
        <f aca="false">IF($A346="","",E346+H346+K346)</f>
        <v/>
      </c>
      <c r="M346" s="4" t="str">
        <f aca="false">IF($A346="","",IF(AND(D346+G346+J346&gt;0,SUMIFS(Recepciones!$C$5:$C$2000,Recepciones!$A$5:$A$2000,"&gt;"&amp;$A345,Recepciones!$A$5:$A$2000,"&lt;="&amp;$A346)=0),"Aumento de stock sin recepción registrada",IF(B346&gt;1,"Intervalo de "&amp;B346&amp;" días","")))</f>
        <v/>
      </c>
    </row>
    <row r="347" customFormat="false" ht="15" hidden="false" customHeight="false" outlineLevel="0" collapsed="false">
      <c r="A347" s="5" t="str">
        <f aca="false">IF(Stock_Diario!A347="","",Stock_Diario!A347)</f>
        <v/>
      </c>
      <c r="B347" s="4" t="str">
        <f aca="false">IF($A347="","",$A347-$A346)</f>
        <v/>
      </c>
      <c r="C347" s="24" t="str">
        <f aca="false">IF($A347="","",Stock_Diario!E347)</f>
        <v/>
      </c>
      <c r="D347" s="24" t="str">
        <f aca="false">IF($A347="","",IF(SUMIFS(Recepciones!$C$5:$C$2000,Recepciones!$B$5:$B$2000,Config!$A$23,Recepciones!$A$5:$A$2000,"&gt;"&amp;$A346,Recepciones!$A$5:$A$2000,"&lt;="&amp;$A347)&gt;0,SUMIFS(Recepciones!$C$5:$C$2000,Recepciones!$B$5:$B$2000,Config!$A$23,Recepciones!$A$5:$A$2000,"&gt;"&amp;$A346,Recepciones!$A$5:$A$2000,"&lt;="&amp;$A347),MAX(0,C347-C346)))</f>
        <v/>
      </c>
      <c r="E347" s="24" t="str">
        <f aca="false">IF($A347="","",MAX(0,C346+D347-C347))</f>
        <v/>
      </c>
      <c r="F347" s="24" t="str">
        <f aca="false">IF($A347="","",Stock_Diario!F347)</f>
        <v/>
      </c>
      <c r="G347" s="24" t="str">
        <f aca="false">IF($A347="","",IF(SUMIFS(Recepciones!$C$5:$C$2000,Recepciones!$B$5:$B$2000,Config!$A$24,Recepciones!$A$5:$A$2000,"&gt;"&amp;$A346,Recepciones!$A$5:$A$2000,"&lt;="&amp;$A347)&gt;0,SUMIFS(Recepciones!$C$5:$C$2000,Recepciones!$B$5:$B$2000,Config!$A$24,Recepciones!$A$5:$A$2000,"&gt;"&amp;$A346,Recepciones!$A$5:$A$2000,"&lt;="&amp;$A347),MAX(0,F347-F346)))</f>
        <v/>
      </c>
      <c r="H347" s="24" t="str">
        <f aca="false">IF($A347="","",MAX(0,F346+G347-F347))</f>
        <v/>
      </c>
      <c r="I347" s="24" t="str">
        <f aca="false">IF($A347="","",Stock_Diario!G347)</f>
        <v/>
      </c>
      <c r="J347" s="24" t="str">
        <f aca="false">IF($A347="","",IF(SUMIFS(Recepciones!$C$5:$C$2000,Recepciones!$B$5:$B$2000,Config!$A$25,Recepciones!$A$5:$A$2000,"&gt;"&amp;$A346,Recepciones!$A$5:$A$2000,"&lt;="&amp;$A347)&gt;0,SUMIFS(Recepciones!$C$5:$C$2000,Recepciones!$B$5:$B$2000,Config!$A$25,Recepciones!$A$5:$A$2000,"&gt;"&amp;$A346,Recepciones!$A$5:$A$2000,"&lt;="&amp;$A347),MAX(0,I347-I346)))</f>
        <v/>
      </c>
      <c r="K347" s="24" t="str">
        <f aca="false">IF($A347="","",MAX(0,I346+J347-I347))</f>
        <v/>
      </c>
      <c r="L347" s="24" t="str">
        <f aca="false">IF($A347="","",E347+H347+K347)</f>
        <v/>
      </c>
      <c r="M347" s="4" t="str">
        <f aca="false">IF($A347="","",IF(AND(D347+G347+J347&gt;0,SUMIFS(Recepciones!$C$5:$C$2000,Recepciones!$A$5:$A$2000,"&gt;"&amp;$A346,Recepciones!$A$5:$A$2000,"&lt;="&amp;$A347)=0),"Aumento de stock sin recepción registrada",IF(B347&gt;1,"Intervalo de "&amp;B347&amp;" días","")))</f>
        <v/>
      </c>
    </row>
    <row r="348" customFormat="false" ht="15" hidden="false" customHeight="false" outlineLevel="0" collapsed="false">
      <c r="A348" s="5" t="str">
        <f aca="false">IF(Stock_Diario!A348="","",Stock_Diario!A348)</f>
        <v/>
      </c>
      <c r="B348" s="4" t="str">
        <f aca="false">IF($A348="","",$A348-$A347)</f>
        <v/>
      </c>
      <c r="C348" s="24" t="str">
        <f aca="false">IF($A348="","",Stock_Diario!E348)</f>
        <v/>
      </c>
      <c r="D348" s="24" t="str">
        <f aca="false">IF($A348="","",IF(SUMIFS(Recepciones!$C$5:$C$2000,Recepciones!$B$5:$B$2000,Config!$A$23,Recepciones!$A$5:$A$2000,"&gt;"&amp;$A347,Recepciones!$A$5:$A$2000,"&lt;="&amp;$A348)&gt;0,SUMIFS(Recepciones!$C$5:$C$2000,Recepciones!$B$5:$B$2000,Config!$A$23,Recepciones!$A$5:$A$2000,"&gt;"&amp;$A347,Recepciones!$A$5:$A$2000,"&lt;="&amp;$A348),MAX(0,C348-C347)))</f>
        <v/>
      </c>
      <c r="E348" s="24" t="str">
        <f aca="false">IF($A348="","",MAX(0,C347+D348-C348))</f>
        <v/>
      </c>
      <c r="F348" s="24" t="str">
        <f aca="false">IF($A348="","",Stock_Diario!F348)</f>
        <v/>
      </c>
      <c r="G348" s="24" t="str">
        <f aca="false">IF($A348="","",IF(SUMIFS(Recepciones!$C$5:$C$2000,Recepciones!$B$5:$B$2000,Config!$A$24,Recepciones!$A$5:$A$2000,"&gt;"&amp;$A347,Recepciones!$A$5:$A$2000,"&lt;="&amp;$A348)&gt;0,SUMIFS(Recepciones!$C$5:$C$2000,Recepciones!$B$5:$B$2000,Config!$A$24,Recepciones!$A$5:$A$2000,"&gt;"&amp;$A347,Recepciones!$A$5:$A$2000,"&lt;="&amp;$A348),MAX(0,F348-F347)))</f>
        <v/>
      </c>
      <c r="H348" s="24" t="str">
        <f aca="false">IF($A348="","",MAX(0,F347+G348-F348))</f>
        <v/>
      </c>
      <c r="I348" s="24" t="str">
        <f aca="false">IF($A348="","",Stock_Diario!G348)</f>
        <v/>
      </c>
      <c r="J348" s="24" t="str">
        <f aca="false">IF($A348="","",IF(SUMIFS(Recepciones!$C$5:$C$2000,Recepciones!$B$5:$B$2000,Config!$A$25,Recepciones!$A$5:$A$2000,"&gt;"&amp;$A347,Recepciones!$A$5:$A$2000,"&lt;="&amp;$A348)&gt;0,SUMIFS(Recepciones!$C$5:$C$2000,Recepciones!$B$5:$B$2000,Config!$A$25,Recepciones!$A$5:$A$2000,"&gt;"&amp;$A347,Recepciones!$A$5:$A$2000,"&lt;="&amp;$A348),MAX(0,I348-I347)))</f>
        <v/>
      </c>
      <c r="K348" s="24" t="str">
        <f aca="false">IF($A348="","",MAX(0,I347+J348-I348))</f>
        <v/>
      </c>
      <c r="L348" s="24" t="str">
        <f aca="false">IF($A348="","",E348+H348+K348)</f>
        <v/>
      </c>
      <c r="M348" s="4" t="str">
        <f aca="false">IF($A348="","",IF(AND(D348+G348+J348&gt;0,SUMIFS(Recepciones!$C$5:$C$2000,Recepciones!$A$5:$A$2000,"&gt;"&amp;$A347,Recepciones!$A$5:$A$2000,"&lt;="&amp;$A348)=0),"Aumento de stock sin recepción registrada",IF(B348&gt;1,"Intervalo de "&amp;B348&amp;" días","")))</f>
        <v/>
      </c>
    </row>
    <row r="349" customFormat="false" ht="15" hidden="false" customHeight="false" outlineLevel="0" collapsed="false">
      <c r="A349" s="5" t="str">
        <f aca="false">IF(Stock_Diario!A349="","",Stock_Diario!A349)</f>
        <v/>
      </c>
      <c r="B349" s="4" t="str">
        <f aca="false">IF($A349="","",$A349-$A348)</f>
        <v/>
      </c>
      <c r="C349" s="24" t="str">
        <f aca="false">IF($A349="","",Stock_Diario!E349)</f>
        <v/>
      </c>
      <c r="D349" s="24" t="str">
        <f aca="false">IF($A349="","",IF(SUMIFS(Recepciones!$C$5:$C$2000,Recepciones!$B$5:$B$2000,Config!$A$23,Recepciones!$A$5:$A$2000,"&gt;"&amp;$A348,Recepciones!$A$5:$A$2000,"&lt;="&amp;$A349)&gt;0,SUMIFS(Recepciones!$C$5:$C$2000,Recepciones!$B$5:$B$2000,Config!$A$23,Recepciones!$A$5:$A$2000,"&gt;"&amp;$A348,Recepciones!$A$5:$A$2000,"&lt;="&amp;$A349),MAX(0,C349-C348)))</f>
        <v/>
      </c>
      <c r="E349" s="24" t="str">
        <f aca="false">IF($A349="","",MAX(0,C348+D349-C349))</f>
        <v/>
      </c>
      <c r="F349" s="24" t="str">
        <f aca="false">IF($A349="","",Stock_Diario!F349)</f>
        <v/>
      </c>
      <c r="G349" s="24" t="str">
        <f aca="false">IF($A349="","",IF(SUMIFS(Recepciones!$C$5:$C$2000,Recepciones!$B$5:$B$2000,Config!$A$24,Recepciones!$A$5:$A$2000,"&gt;"&amp;$A348,Recepciones!$A$5:$A$2000,"&lt;="&amp;$A349)&gt;0,SUMIFS(Recepciones!$C$5:$C$2000,Recepciones!$B$5:$B$2000,Config!$A$24,Recepciones!$A$5:$A$2000,"&gt;"&amp;$A348,Recepciones!$A$5:$A$2000,"&lt;="&amp;$A349),MAX(0,F349-F348)))</f>
        <v/>
      </c>
      <c r="H349" s="24" t="str">
        <f aca="false">IF($A349="","",MAX(0,F348+G349-F349))</f>
        <v/>
      </c>
      <c r="I349" s="24" t="str">
        <f aca="false">IF($A349="","",Stock_Diario!G349)</f>
        <v/>
      </c>
      <c r="J349" s="24" t="str">
        <f aca="false">IF($A349="","",IF(SUMIFS(Recepciones!$C$5:$C$2000,Recepciones!$B$5:$B$2000,Config!$A$25,Recepciones!$A$5:$A$2000,"&gt;"&amp;$A348,Recepciones!$A$5:$A$2000,"&lt;="&amp;$A349)&gt;0,SUMIFS(Recepciones!$C$5:$C$2000,Recepciones!$B$5:$B$2000,Config!$A$25,Recepciones!$A$5:$A$2000,"&gt;"&amp;$A348,Recepciones!$A$5:$A$2000,"&lt;="&amp;$A349),MAX(0,I349-I348)))</f>
        <v/>
      </c>
      <c r="K349" s="24" t="str">
        <f aca="false">IF($A349="","",MAX(0,I348+J349-I349))</f>
        <v/>
      </c>
      <c r="L349" s="24" t="str">
        <f aca="false">IF($A349="","",E349+H349+K349)</f>
        <v/>
      </c>
      <c r="M349" s="4" t="str">
        <f aca="false">IF($A349="","",IF(AND(D349+G349+J349&gt;0,SUMIFS(Recepciones!$C$5:$C$2000,Recepciones!$A$5:$A$2000,"&gt;"&amp;$A348,Recepciones!$A$5:$A$2000,"&lt;="&amp;$A349)=0),"Aumento de stock sin recepción registrada",IF(B349&gt;1,"Intervalo de "&amp;B349&amp;" días","")))</f>
        <v/>
      </c>
    </row>
    <row r="350" customFormat="false" ht="15" hidden="false" customHeight="false" outlineLevel="0" collapsed="false">
      <c r="A350" s="5" t="str">
        <f aca="false">IF(Stock_Diario!A350="","",Stock_Diario!A350)</f>
        <v/>
      </c>
      <c r="B350" s="4" t="str">
        <f aca="false">IF($A350="","",$A350-$A349)</f>
        <v/>
      </c>
      <c r="C350" s="24" t="str">
        <f aca="false">IF($A350="","",Stock_Diario!E350)</f>
        <v/>
      </c>
      <c r="D350" s="24" t="str">
        <f aca="false">IF($A350="","",IF(SUMIFS(Recepciones!$C$5:$C$2000,Recepciones!$B$5:$B$2000,Config!$A$23,Recepciones!$A$5:$A$2000,"&gt;"&amp;$A349,Recepciones!$A$5:$A$2000,"&lt;="&amp;$A350)&gt;0,SUMIFS(Recepciones!$C$5:$C$2000,Recepciones!$B$5:$B$2000,Config!$A$23,Recepciones!$A$5:$A$2000,"&gt;"&amp;$A349,Recepciones!$A$5:$A$2000,"&lt;="&amp;$A350),MAX(0,C350-C349)))</f>
        <v/>
      </c>
      <c r="E350" s="24" t="str">
        <f aca="false">IF($A350="","",MAX(0,C349+D350-C350))</f>
        <v/>
      </c>
      <c r="F350" s="24" t="str">
        <f aca="false">IF($A350="","",Stock_Diario!F350)</f>
        <v/>
      </c>
      <c r="G350" s="24" t="str">
        <f aca="false">IF($A350="","",IF(SUMIFS(Recepciones!$C$5:$C$2000,Recepciones!$B$5:$B$2000,Config!$A$24,Recepciones!$A$5:$A$2000,"&gt;"&amp;$A349,Recepciones!$A$5:$A$2000,"&lt;="&amp;$A350)&gt;0,SUMIFS(Recepciones!$C$5:$C$2000,Recepciones!$B$5:$B$2000,Config!$A$24,Recepciones!$A$5:$A$2000,"&gt;"&amp;$A349,Recepciones!$A$5:$A$2000,"&lt;="&amp;$A350),MAX(0,F350-F349)))</f>
        <v/>
      </c>
      <c r="H350" s="24" t="str">
        <f aca="false">IF($A350="","",MAX(0,F349+G350-F350))</f>
        <v/>
      </c>
      <c r="I350" s="24" t="str">
        <f aca="false">IF($A350="","",Stock_Diario!G350)</f>
        <v/>
      </c>
      <c r="J350" s="24" t="str">
        <f aca="false">IF($A350="","",IF(SUMIFS(Recepciones!$C$5:$C$2000,Recepciones!$B$5:$B$2000,Config!$A$25,Recepciones!$A$5:$A$2000,"&gt;"&amp;$A349,Recepciones!$A$5:$A$2000,"&lt;="&amp;$A350)&gt;0,SUMIFS(Recepciones!$C$5:$C$2000,Recepciones!$B$5:$B$2000,Config!$A$25,Recepciones!$A$5:$A$2000,"&gt;"&amp;$A349,Recepciones!$A$5:$A$2000,"&lt;="&amp;$A350),MAX(0,I350-I349)))</f>
        <v/>
      </c>
      <c r="K350" s="24" t="str">
        <f aca="false">IF($A350="","",MAX(0,I349+J350-I350))</f>
        <v/>
      </c>
      <c r="L350" s="24" t="str">
        <f aca="false">IF($A350="","",E350+H350+K350)</f>
        <v/>
      </c>
      <c r="M350" s="4" t="str">
        <f aca="false">IF($A350="","",IF(AND(D350+G350+J350&gt;0,SUMIFS(Recepciones!$C$5:$C$2000,Recepciones!$A$5:$A$2000,"&gt;"&amp;$A349,Recepciones!$A$5:$A$2000,"&lt;="&amp;$A350)=0),"Aumento de stock sin recepción registrada",IF(B350&gt;1,"Intervalo de "&amp;B350&amp;" días","")))</f>
        <v/>
      </c>
    </row>
    <row r="351" customFormat="false" ht="15" hidden="false" customHeight="false" outlineLevel="0" collapsed="false">
      <c r="A351" s="5" t="str">
        <f aca="false">IF(Stock_Diario!A351="","",Stock_Diario!A351)</f>
        <v/>
      </c>
      <c r="B351" s="4" t="str">
        <f aca="false">IF($A351="","",$A351-$A350)</f>
        <v/>
      </c>
      <c r="C351" s="24" t="str">
        <f aca="false">IF($A351="","",Stock_Diario!E351)</f>
        <v/>
      </c>
      <c r="D351" s="24" t="str">
        <f aca="false">IF($A351="","",IF(SUMIFS(Recepciones!$C$5:$C$2000,Recepciones!$B$5:$B$2000,Config!$A$23,Recepciones!$A$5:$A$2000,"&gt;"&amp;$A350,Recepciones!$A$5:$A$2000,"&lt;="&amp;$A351)&gt;0,SUMIFS(Recepciones!$C$5:$C$2000,Recepciones!$B$5:$B$2000,Config!$A$23,Recepciones!$A$5:$A$2000,"&gt;"&amp;$A350,Recepciones!$A$5:$A$2000,"&lt;="&amp;$A351),MAX(0,C351-C350)))</f>
        <v/>
      </c>
      <c r="E351" s="24" t="str">
        <f aca="false">IF($A351="","",MAX(0,C350+D351-C351))</f>
        <v/>
      </c>
      <c r="F351" s="24" t="str">
        <f aca="false">IF($A351="","",Stock_Diario!F351)</f>
        <v/>
      </c>
      <c r="G351" s="24" t="str">
        <f aca="false">IF($A351="","",IF(SUMIFS(Recepciones!$C$5:$C$2000,Recepciones!$B$5:$B$2000,Config!$A$24,Recepciones!$A$5:$A$2000,"&gt;"&amp;$A350,Recepciones!$A$5:$A$2000,"&lt;="&amp;$A351)&gt;0,SUMIFS(Recepciones!$C$5:$C$2000,Recepciones!$B$5:$B$2000,Config!$A$24,Recepciones!$A$5:$A$2000,"&gt;"&amp;$A350,Recepciones!$A$5:$A$2000,"&lt;="&amp;$A351),MAX(0,F351-F350)))</f>
        <v/>
      </c>
      <c r="H351" s="24" t="str">
        <f aca="false">IF($A351="","",MAX(0,F350+G351-F351))</f>
        <v/>
      </c>
      <c r="I351" s="24" t="str">
        <f aca="false">IF($A351="","",Stock_Diario!G351)</f>
        <v/>
      </c>
      <c r="J351" s="24" t="str">
        <f aca="false">IF($A351="","",IF(SUMIFS(Recepciones!$C$5:$C$2000,Recepciones!$B$5:$B$2000,Config!$A$25,Recepciones!$A$5:$A$2000,"&gt;"&amp;$A350,Recepciones!$A$5:$A$2000,"&lt;="&amp;$A351)&gt;0,SUMIFS(Recepciones!$C$5:$C$2000,Recepciones!$B$5:$B$2000,Config!$A$25,Recepciones!$A$5:$A$2000,"&gt;"&amp;$A350,Recepciones!$A$5:$A$2000,"&lt;="&amp;$A351),MAX(0,I351-I350)))</f>
        <v/>
      </c>
      <c r="K351" s="24" t="str">
        <f aca="false">IF($A351="","",MAX(0,I350+J351-I351))</f>
        <v/>
      </c>
      <c r="L351" s="24" t="str">
        <f aca="false">IF($A351="","",E351+H351+K351)</f>
        <v/>
      </c>
      <c r="M351" s="4" t="str">
        <f aca="false">IF($A351="","",IF(AND(D351+G351+J351&gt;0,SUMIFS(Recepciones!$C$5:$C$2000,Recepciones!$A$5:$A$2000,"&gt;"&amp;$A350,Recepciones!$A$5:$A$2000,"&lt;="&amp;$A351)=0),"Aumento de stock sin recepción registrada",IF(B351&gt;1,"Intervalo de "&amp;B351&amp;" días","")))</f>
        <v/>
      </c>
    </row>
    <row r="352" customFormat="false" ht="15" hidden="false" customHeight="false" outlineLevel="0" collapsed="false">
      <c r="A352" s="5" t="str">
        <f aca="false">IF(Stock_Diario!A352="","",Stock_Diario!A352)</f>
        <v/>
      </c>
      <c r="B352" s="4" t="str">
        <f aca="false">IF($A352="","",$A352-$A351)</f>
        <v/>
      </c>
      <c r="C352" s="24" t="str">
        <f aca="false">IF($A352="","",Stock_Diario!E352)</f>
        <v/>
      </c>
      <c r="D352" s="24" t="str">
        <f aca="false">IF($A352="","",IF(SUMIFS(Recepciones!$C$5:$C$2000,Recepciones!$B$5:$B$2000,Config!$A$23,Recepciones!$A$5:$A$2000,"&gt;"&amp;$A351,Recepciones!$A$5:$A$2000,"&lt;="&amp;$A352)&gt;0,SUMIFS(Recepciones!$C$5:$C$2000,Recepciones!$B$5:$B$2000,Config!$A$23,Recepciones!$A$5:$A$2000,"&gt;"&amp;$A351,Recepciones!$A$5:$A$2000,"&lt;="&amp;$A352),MAX(0,C352-C351)))</f>
        <v/>
      </c>
      <c r="E352" s="24" t="str">
        <f aca="false">IF($A352="","",MAX(0,C351+D352-C352))</f>
        <v/>
      </c>
      <c r="F352" s="24" t="str">
        <f aca="false">IF($A352="","",Stock_Diario!F352)</f>
        <v/>
      </c>
      <c r="G352" s="24" t="str">
        <f aca="false">IF($A352="","",IF(SUMIFS(Recepciones!$C$5:$C$2000,Recepciones!$B$5:$B$2000,Config!$A$24,Recepciones!$A$5:$A$2000,"&gt;"&amp;$A351,Recepciones!$A$5:$A$2000,"&lt;="&amp;$A352)&gt;0,SUMIFS(Recepciones!$C$5:$C$2000,Recepciones!$B$5:$B$2000,Config!$A$24,Recepciones!$A$5:$A$2000,"&gt;"&amp;$A351,Recepciones!$A$5:$A$2000,"&lt;="&amp;$A352),MAX(0,F352-F351)))</f>
        <v/>
      </c>
      <c r="H352" s="24" t="str">
        <f aca="false">IF($A352="","",MAX(0,F351+G352-F352))</f>
        <v/>
      </c>
      <c r="I352" s="24" t="str">
        <f aca="false">IF($A352="","",Stock_Diario!G352)</f>
        <v/>
      </c>
      <c r="J352" s="24" t="str">
        <f aca="false">IF($A352="","",IF(SUMIFS(Recepciones!$C$5:$C$2000,Recepciones!$B$5:$B$2000,Config!$A$25,Recepciones!$A$5:$A$2000,"&gt;"&amp;$A351,Recepciones!$A$5:$A$2000,"&lt;="&amp;$A352)&gt;0,SUMIFS(Recepciones!$C$5:$C$2000,Recepciones!$B$5:$B$2000,Config!$A$25,Recepciones!$A$5:$A$2000,"&gt;"&amp;$A351,Recepciones!$A$5:$A$2000,"&lt;="&amp;$A352),MAX(0,I352-I351)))</f>
        <v/>
      </c>
      <c r="K352" s="24" t="str">
        <f aca="false">IF($A352="","",MAX(0,I351+J352-I352))</f>
        <v/>
      </c>
      <c r="L352" s="24" t="str">
        <f aca="false">IF($A352="","",E352+H352+K352)</f>
        <v/>
      </c>
      <c r="M352" s="4" t="str">
        <f aca="false">IF($A352="","",IF(AND(D352+G352+J352&gt;0,SUMIFS(Recepciones!$C$5:$C$2000,Recepciones!$A$5:$A$2000,"&gt;"&amp;$A351,Recepciones!$A$5:$A$2000,"&lt;="&amp;$A352)=0),"Aumento de stock sin recepción registrada",IF(B352&gt;1,"Intervalo de "&amp;B352&amp;" días","")))</f>
        <v/>
      </c>
    </row>
    <row r="353" customFormat="false" ht="15" hidden="false" customHeight="false" outlineLevel="0" collapsed="false">
      <c r="A353" s="5" t="str">
        <f aca="false">IF(Stock_Diario!A353="","",Stock_Diario!A353)</f>
        <v/>
      </c>
      <c r="B353" s="4" t="str">
        <f aca="false">IF($A353="","",$A353-$A352)</f>
        <v/>
      </c>
      <c r="C353" s="24" t="str">
        <f aca="false">IF($A353="","",Stock_Diario!E353)</f>
        <v/>
      </c>
      <c r="D353" s="24" t="str">
        <f aca="false">IF($A353="","",IF(SUMIFS(Recepciones!$C$5:$C$2000,Recepciones!$B$5:$B$2000,Config!$A$23,Recepciones!$A$5:$A$2000,"&gt;"&amp;$A352,Recepciones!$A$5:$A$2000,"&lt;="&amp;$A353)&gt;0,SUMIFS(Recepciones!$C$5:$C$2000,Recepciones!$B$5:$B$2000,Config!$A$23,Recepciones!$A$5:$A$2000,"&gt;"&amp;$A352,Recepciones!$A$5:$A$2000,"&lt;="&amp;$A353),MAX(0,C353-C352)))</f>
        <v/>
      </c>
      <c r="E353" s="24" t="str">
        <f aca="false">IF($A353="","",MAX(0,C352+D353-C353))</f>
        <v/>
      </c>
      <c r="F353" s="24" t="str">
        <f aca="false">IF($A353="","",Stock_Diario!F353)</f>
        <v/>
      </c>
      <c r="G353" s="24" t="str">
        <f aca="false">IF($A353="","",IF(SUMIFS(Recepciones!$C$5:$C$2000,Recepciones!$B$5:$B$2000,Config!$A$24,Recepciones!$A$5:$A$2000,"&gt;"&amp;$A352,Recepciones!$A$5:$A$2000,"&lt;="&amp;$A353)&gt;0,SUMIFS(Recepciones!$C$5:$C$2000,Recepciones!$B$5:$B$2000,Config!$A$24,Recepciones!$A$5:$A$2000,"&gt;"&amp;$A352,Recepciones!$A$5:$A$2000,"&lt;="&amp;$A353),MAX(0,F353-F352)))</f>
        <v/>
      </c>
      <c r="H353" s="24" t="str">
        <f aca="false">IF($A353="","",MAX(0,F352+G353-F353))</f>
        <v/>
      </c>
      <c r="I353" s="24" t="str">
        <f aca="false">IF($A353="","",Stock_Diario!G353)</f>
        <v/>
      </c>
      <c r="J353" s="24" t="str">
        <f aca="false">IF($A353="","",IF(SUMIFS(Recepciones!$C$5:$C$2000,Recepciones!$B$5:$B$2000,Config!$A$25,Recepciones!$A$5:$A$2000,"&gt;"&amp;$A352,Recepciones!$A$5:$A$2000,"&lt;="&amp;$A353)&gt;0,SUMIFS(Recepciones!$C$5:$C$2000,Recepciones!$B$5:$B$2000,Config!$A$25,Recepciones!$A$5:$A$2000,"&gt;"&amp;$A352,Recepciones!$A$5:$A$2000,"&lt;="&amp;$A353),MAX(0,I353-I352)))</f>
        <v/>
      </c>
      <c r="K353" s="24" t="str">
        <f aca="false">IF($A353="","",MAX(0,I352+J353-I353))</f>
        <v/>
      </c>
      <c r="L353" s="24" t="str">
        <f aca="false">IF($A353="","",E353+H353+K353)</f>
        <v/>
      </c>
      <c r="M353" s="4" t="str">
        <f aca="false">IF($A353="","",IF(AND(D353+G353+J353&gt;0,SUMIFS(Recepciones!$C$5:$C$2000,Recepciones!$A$5:$A$2000,"&gt;"&amp;$A352,Recepciones!$A$5:$A$2000,"&lt;="&amp;$A353)=0),"Aumento de stock sin recepción registrada",IF(B353&gt;1,"Intervalo de "&amp;B353&amp;" días","")))</f>
        <v/>
      </c>
    </row>
    <row r="354" customFormat="false" ht="15" hidden="false" customHeight="false" outlineLevel="0" collapsed="false">
      <c r="A354" s="5" t="str">
        <f aca="false">IF(Stock_Diario!A354="","",Stock_Diario!A354)</f>
        <v/>
      </c>
      <c r="B354" s="4" t="str">
        <f aca="false">IF($A354="","",$A354-$A353)</f>
        <v/>
      </c>
      <c r="C354" s="24" t="str">
        <f aca="false">IF($A354="","",Stock_Diario!E354)</f>
        <v/>
      </c>
      <c r="D354" s="24" t="str">
        <f aca="false">IF($A354="","",IF(SUMIFS(Recepciones!$C$5:$C$2000,Recepciones!$B$5:$B$2000,Config!$A$23,Recepciones!$A$5:$A$2000,"&gt;"&amp;$A353,Recepciones!$A$5:$A$2000,"&lt;="&amp;$A354)&gt;0,SUMIFS(Recepciones!$C$5:$C$2000,Recepciones!$B$5:$B$2000,Config!$A$23,Recepciones!$A$5:$A$2000,"&gt;"&amp;$A353,Recepciones!$A$5:$A$2000,"&lt;="&amp;$A354),MAX(0,C354-C353)))</f>
        <v/>
      </c>
      <c r="E354" s="24" t="str">
        <f aca="false">IF($A354="","",MAX(0,C353+D354-C354))</f>
        <v/>
      </c>
      <c r="F354" s="24" t="str">
        <f aca="false">IF($A354="","",Stock_Diario!F354)</f>
        <v/>
      </c>
      <c r="G354" s="24" t="str">
        <f aca="false">IF($A354="","",IF(SUMIFS(Recepciones!$C$5:$C$2000,Recepciones!$B$5:$B$2000,Config!$A$24,Recepciones!$A$5:$A$2000,"&gt;"&amp;$A353,Recepciones!$A$5:$A$2000,"&lt;="&amp;$A354)&gt;0,SUMIFS(Recepciones!$C$5:$C$2000,Recepciones!$B$5:$B$2000,Config!$A$24,Recepciones!$A$5:$A$2000,"&gt;"&amp;$A353,Recepciones!$A$5:$A$2000,"&lt;="&amp;$A354),MAX(0,F354-F353)))</f>
        <v/>
      </c>
      <c r="H354" s="24" t="str">
        <f aca="false">IF($A354="","",MAX(0,F353+G354-F354))</f>
        <v/>
      </c>
      <c r="I354" s="24" t="str">
        <f aca="false">IF($A354="","",Stock_Diario!G354)</f>
        <v/>
      </c>
      <c r="J354" s="24" t="str">
        <f aca="false">IF($A354="","",IF(SUMIFS(Recepciones!$C$5:$C$2000,Recepciones!$B$5:$B$2000,Config!$A$25,Recepciones!$A$5:$A$2000,"&gt;"&amp;$A353,Recepciones!$A$5:$A$2000,"&lt;="&amp;$A354)&gt;0,SUMIFS(Recepciones!$C$5:$C$2000,Recepciones!$B$5:$B$2000,Config!$A$25,Recepciones!$A$5:$A$2000,"&gt;"&amp;$A353,Recepciones!$A$5:$A$2000,"&lt;="&amp;$A354),MAX(0,I354-I353)))</f>
        <v/>
      </c>
      <c r="K354" s="24" t="str">
        <f aca="false">IF($A354="","",MAX(0,I353+J354-I354))</f>
        <v/>
      </c>
      <c r="L354" s="24" t="str">
        <f aca="false">IF($A354="","",E354+H354+K354)</f>
        <v/>
      </c>
      <c r="M354" s="4" t="str">
        <f aca="false">IF($A354="","",IF(AND(D354+G354+J354&gt;0,SUMIFS(Recepciones!$C$5:$C$2000,Recepciones!$A$5:$A$2000,"&gt;"&amp;$A353,Recepciones!$A$5:$A$2000,"&lt;="&amp;$A354)=0),"Aumento de stock sin recepción registrada",IF(B354&gt;1,"Intervalo de "&amp;B354&amp;" días","")))</f>
        <v/>
      </c>
    </row>
    <row r="355" customFormat="false" ht="15" hidden="false" customHeight="false" outlineLevel="0" collapsed="false">
      <c r="A355" s="5" t="str">
        <f aca="false">IF(Stock_Diario!A355="","",Stock_Diario!A355)</f>
        <v/>
      </c>
      <c r="B355" s="4" t="str">
        <f aca="false">IF($A355="","",$A355-$A354)</f>
        <v/>
      </c>
      <c r="C355" s="24" t="str">
        <f aca="false">IF($A355="","",Stock_Diario!E355)</f>
        <v/>
      </c>
      <c r="D355" s="24" t="str">
        <f aca="false">IF($A355="","",IF(SUMIFS(Recepciones!$C$5:$C$2000,Recepciones!$B$5:$B$2000,Config!$A$23,Recepciones!$A$5:$A$2000,"&gt;"&amp;$A354,Recepciones!$A$5:$A$2000,"&lt;="&amp;$A355)&gt;0,SUMIFS(Recepciones!$C$5:$C$2000,Recepciones!$B$5:$B$2000,Config!$A$23,Recepciones!$A$5:$A$2000,"&gt;"&amp;$A354,Recepciones!$A$5:$A$2000,"&lt;="&amp;$A355),MAX(0,C355-C354)))</f>
        <v/>
      </c>
      <c r="E355" s="24" t="str">
        <f aca="false">IF($A355="","",MAX(0,C354+D355-C355))</f>
        <v/>
      </c>
      <c r="F355" s="24" t="str">
        <f aca="false">IF($A355="","",Stock_Diario!F355)</f>
        <v/>
      </c>
      <c r="G355" s="24" t="str">
        <f aca="false">IF($A355="","",IF(SUMIFS(Recepciones!$C$5:$C$2000,Recepciones!$B$5:$B$2000,Config!$A$24,Recepciones!$A$5:$A$2000,"&gt;"&amp;$A354,Recepciones!$A$5:$A$2000,"&lt;="&amp;$A355)&gt;0,SUMIFS(Recepciones!$C$5:$C$2000,Recepciones!$B$5:$B$2000,Config!$A$24,Recepciones!$A$5:$A$2000,"&gt;"&amp;$A354,Recepciones!$A$5:$A$2000,"&lt;="&amp;$A355),MAX(0,F355-F354)))</f>
        <v/>
      </c>
      <c r="H355" s="24" t="str">
        <f aca="false">IF($A355="","",MAX(0,F354+G355-F355))</f>
        <v/>
      </c>
      <c r="I355" s="24" t="str">
        <f aca="false">IF($A355="","",Stock_Diario!G355)</f>
        <v/>
      </c>
      <c r="J355" s="24" t="str">
        <f aca="false">IF($A355="","",IF(SUMIFS(Recepciones!$C$5:$C$2000,Recepciones!$B$5:$B$2000,Config!$A$25,Recepciones!$A$5:$A$2000,"&gt;"&amp;$A354,Recepciones!$A$5:$A$2000,"&lt;="&amp;$A355)&gt;0,SUMIFS(Recepciones!$C$5:$C$2000,Recepciones!$B$5:$B$2000,Config!$A$25,Recepciones!$A$5:$A$2000,"&gt;"&amp;$A354,Recepciones!$A$5:$A$2000,"&lt;="&amp;$A355),MAX(0,I355-I354)))</f>
        <v/>
      </c>
      <c r="K355" s="24" t="str">
        <f aca="false">IF($A355="","",MAX(0,I354+J355-I355))</f>
        <v/>
      </c>
      <c r="L355" s="24" t="str">
        <f aca="false">IF($A355="","",E355+H355+K355)</f>
        <v/>
      </c>
      <c r="M355" s="4" t="str">
        <f aca="false">IF($A355="","",IF(AND(D355+G355+J355&gt;0,SUMIFS(Recepciones!$C$5:$C$2000,Recepciones!$A$5:$A$2000,"&gt;"&amp;$A354,Recepciones!$A$5:$A$2000,"&lt;="&amp;$A355)=0),"Aumento de stock sin recepción registrada",IF(B355&gt;1,"Intervalo de "&amp;B355&amp;" días","")))</f>
        <v/>
      </c>
    </row>
    <row r="356" customFormat="false" ht="15" hidden="false" customHeight="false" outlineLevel="0" collapsed="false">
      <c r="A356" s="5" t="str">
        <f aca="false">IF(Stock_Diario!A356="","",Stock_Diario!A356)</f>
        <v/>
      </c>
      <c r="B356" s="4" t="str">
        <f aca="false">IF($A356="","",$A356-$A355)</f>
        <v/>
      </c>
      <c r="C356" s="24" t="str">
        <f aca="false">IF($A356="","",Stock_Diario!E356)</f>
        <v/>
      </c>
      <c r="D356" s="24" t="str">
        <f aca="false">IF($A356="","",IF(SUMIFS(Recepciones!$C$5:$C$2000,Recepciones!$B$5:$B$2000,Config!$A$23,Recepciones!$A$5:$A$2000,"&gt;"&amp;$A355,Recepciones!$A$5:$A$2000,"&lt;="&amp;$A356)&gt;0,SUMIFS(Recepciones!$C$5:$C$2000,Recepciones!$B$5:$B$2000,Config!$A$23,Recepciones!$A$5:$A$2000,"&gt;"&amp;$A355,Recepciones!$A$5:$A$2000,"&lt;="&amp;$A356),MAX(0,C356-C355)))</f>
        <v/>
      </c>
      <c r="E356" s="24" t="str">
        <f aca="false">IF($A356="","",MAX(0,C355+D356-C356))</f>
        <v/>
      </c>
      <c r="F356" s="24" t="str">
        <f aca="false">IF($A356="","",Stock_Diario!F356)</f>
        <v/>
      </c>
      <c r="G356" s="24" t="str">
        <f aca="false">IF($A356="","",IF(SUMIFS(Recepciones!$C$5:$C$2000,Recepciones!$B$5:$B$2000,Config!$A$24,Recepciones!$A$5:$A$2000,"&gt;"&amp;$A355,Recepciones!$A$5:$A$2000,"&lt;="&amp;$A356)&gt;0,SUMIFS(Recepciones!$C$5:$C$2000,Recepciones!$B$5:$B$2000,Config!$A$24,Recepciones!$A$5:$A$2000,"&gt;"&amp;$A355,Recepciones!$A$5:$A$2000,"&lt;="&amp;$A356),MAX(0,F356-F355)))</f>
        <v/>
      </c>
      <c r="H356" s="24" t="str">
        <f aca="false">IF($A356="","",MAX(0,F355+G356-F356))</f>
        <v/>
      </c>
      <c r="I356" s="24" t="str">
        <f aca="false">IF($A356="","",Stock_Diario!G356)</f>
        <v/>
      </c>
      <c r="J356" s="24" t="str">
        <f aca="false">IF($A356="","",IF(SUMIFS(Recepciones!$C$5:$C$2000,Recepciones!$B$5:$B$2000,Config!$A$25,Recepciones!$A$5:$A$2000,"&gt;"&amp;$A355,Recepciones!$A$5:$A$2000,"&lt;="&amp;$A356)&gt;0,SUMIFS(Recepciones!$C$5:$C$2000,Recepciones!$B$5:$B$2000,Config!$A$25,Recepciones!$A$5:$A$2000,"&gt;"&amp;$A355,Recepciones!$A$5:$A$2000,"&lt;="&amp;$A356),MAX(0,I356-I355)))</f>
        <v/>
      </c>
      <c r="K356" s="24" t="str">
        <f aca="false">IF($A356="","",MAX(0,I355+J356-I356))</f>
        <v/>
      </c>
      <c r="L356" s="24" t="str">
        <f aca="false">IF($A356="","",E356+H356+K356)</f>
        <v/>
      </c>
      <c r="M356" s="4" t="str">
        <f aca="false">IF($A356="","",IF(AND(D356+G356+J356&gt;0,SUMIFS(Recepciones!$C$5:$C$2000,Recepciones!$A$5:$A$2000,"&gt;"&amp;$A355,Recepciones!$A$5:$A$2000,"&lt;="&amp;$A356)=0),"Aumento de stock sin recepción registrada",IF(B356&gt;1,"Intervalo de "&amp;B356&amp;" días","")))</f>
        <v/>
      </c>
    </row>
    <row r="357" customFormat="false" ht="15" hidden="false" customHeight="false" outlineLevel="0" collapsed="false">
      <c r="A357" s="5" t="str">
        <f aca="false">IF(Stock_Diario!A357="","",Stock_Diario!A357)</f>
        <v/>
      </c>
      <c r="B357" s="4" t="str">
        <f aca="false">IF($A357="","",$A357-$A356)</f>
        <v/>
      </c>
      <c r="C357" s="24" t="str">
        <f aca="false">IF($A357="","",Stock_Diario!E357)</f>
        <v/>
      </c>
      <c r="D357" s="24" t="str">
        <f aca="false">IF($A357="","",IF(SUMIFS(Recepciones!$C$5:$C$2000,Recepciones!$B$5:$B$2000,Config!$A$23,Recepciones!$A$5:$A$2000,"&gt;"&amp;$A356,Recepciones!$A$5:$A$2000,"&lt;="&amp;$A357)&gt;0,SUMIFS(Recepciones!$C$5:$C$2000,Recepciones!$B$5:$B$2000,Config!$A$23,Recepciones!$A$5:$A$2000,"&gt;"&amp;$A356,Recepciones!$A$5:$A$2000,"&lt;="&amp;$A357),MAX(0,C357-C356)))</f>
        <v/>
      </c>
      <c r="E357" s="24" t="str">
        <f aca="false">IF($A357="","",MAX(0,C356+D357-C357))</f>
        <v/>
      </c>
      <c r="F357" s="24" t="str">
        <f aca="false">IF($A357="","",Stock_Diario!F357)</f>
        <v/>
      </c>
      <c r="G357" s="24" t="str">
        <f aca="false">IF($A357="","",IF(SUMIFS(Recepciones!$C$5:$C$2000,Recepciones!$B$5:$B$2000,Config!$A$24,Recepciones!$A$5:$A$2000,"&gt;"&amp;$A356,Recepciones!$A$5:$A$2000,"&lt;="&amp;$A357)&gt;0,SUMIFS(Recepciones!$C$5:$C$2000,Recepciones!$B$5:$B$2000,Config!$A$24,Recepciones!$A$5:$A$2000,"&gt;"&amp;$A356,Recepciones!$A$5:$A$2000,"&lt;="&amp;$A357),MAX(0,F357-F356)))</f>
        <v/>
      </c>
      <c r="H357" s="24" t="str">
        <f aca="false">IF($A357="","",MAX(0,F356+G357-F357))</f>
        <v/>
      </c>
      <c r="I357" s="24" t="str">
        <f aca="false">IF($A357="","",Stock_Diario!G357)</f>
        <v/>
      </c>
      <c r="J357" s="24" t="str">
        <f aca="false">IF($A357="","",IF(SUMIFS(Recepciones!$C$5:$C$2000,Recepciones!$B$5:$B$2000,Config!$A$25,Recepciones!$A$5:$A$2000,"&gt;"&amp;$A356,Recepciones!$A$5:$A$2000,"&lt;="&amp;$A357)&gt;0,SUMIFS(Recepciones!$C$5:$C$2000,Recepciones!$B$5:$B$2000,Config!$A$25,Recepciones!$A$5:$A$2000,"&gt;"&amp;$A356,Recepciones!$A$5:$A$2000,"&lt;="&amp;$A357),MAX(0,I357-I356)))</f>
        <v/>
      </c>
      <c r="K357" s="24" t="str">
        <f aca="false">IF($A357="","",MAX(0,I356+J357-I357))</f>
        <v/>
      </c>
      <c r="L357" s="24" t="str">
        <f aca="false">IF($A357="","",E357+H357+K357)</f>
        <v/>
      </c>
      <c r="M357" s="4" t="str">
        <f aca="false">IF($A357="","",IF(AND(D357+G357+J357&gt;0,SUMIFS(Recepciones!$C$5:$C$2000,Recepciones!$A$5:$A$2000,"&gt;"&amp;$A356,Recepciones!$A$5:$A$2000,"&lt;="&amp;$A357)=0),"Aumento de stock sin recepción registrada",IF(B357&gt;1,"Intervalo de "&amp;B357&amp;" días","")))</f>
        <v/>
      </c>
    </row>
    <row r="358" customFormat="false" ht="15" hidden="false" customHeight="false" outlineLevel="0" collapsed="false">
      <c r="A358" s="5" t="str">
        <f aca="false">IF(Stock_Diario!A358="","",Stock_Diario!A358)</f>
        <v/>
      </c>
      <c r="B358" s="4" t="str">
        <f aca="false">IF($A358="","",$A358-$A357)</f>
        <v/>
      </c>
      <c r="C358" s="24" t="str">
        <f aca="false">IF($A358="","",Stock_Diario!E358)</f>
        <v/>
      </c>
      <c r="D358" s="24" t="str">
        <f aca="false">IF($A358="","",IF(SUMIFS(Recepciones!$C$5:$C$2000,Recepciones!$B$5:$B$2000,Config!$A$23,Recepciones!$A$5:$A$2000,"&gt;"&amp;$A357,Recepciones!$A$5:$A$2000,"&lt;="&amp;$A358)&gt;0,SUMIFS(Recepciones!$C$5:$C$2000,Recepciones!$B$5:$B$2000,Config!$A$23,Recepciones!$A$5:$A$2000,"&gt;"&amp;$A357,Recepciones!$A$5:$A$2000,"&lt;="&amp;$A358),MAX(0,C358-C357)))</f>
        <v/>
      </c>
      <c r="E358" s="24" t="str">
        <f aca="false">IF($A358="","",MAX(0,C357+D358-C358))</f>
        <v/>
      </c>
      <c r="F358" s="24" t="str">
        <f aca="false">IF($A358="","",Stock_Diario!F358)</f>
        <v/>
      </c>
      <c r="G358" s="24" t="str">
        <f aca="false">IF($A358="","",IF(SUMIFS(Recepciones!$C$5:$C$2000,Recepciones!$B$5:$B$2000,Config!$A$24,Recepciones!$A$5:$A$2000,"&gt;"&amp;$A357,Recepciones!$A$5:$A$2000,"&lt;="&amp;$A358)&gt;0,SUMIFS(Recepciones!$C$5:$C$2000,Recepciones!$B$5:$B$2000,Config!$A$24,Recepciones!$A$5:$A$2000,"&gt;"&amp;$A357,Recepciones!$A$5:$A$2000,"&lt;="&amp;$A358),MAX(0,F358-F357)))</f>
        <v/>
      </c>
      <c r="H358" s="24" t="str">
        <f aca="false">IF($A358="","",MAX(0,F357+G358-F358))</f>
        <v/>
      </c>
      <c r="I358" s="24" t="str">
        <f aca="false">IF($A358="","",Stock_Diario!G358)</f>
        <v/>
      </c>
      <c r="J358" s="24" t="str">
        <f aca="false">IF($A358="","",IF(SUMIFS(Recepciones!$C$5:$C$2000,Recepciones!$B$5:$B$2000,Config!$A$25,Recepciones!$A$5:$A$2000,"&gt;"&amp;$A357,Recepciones!$A$5:$A$2000,"&lt;="&amp;$A358)&gt;0,SUMIFS(Recepciones!$C$5:$C$2000,Recepciones!$B$5:$B$2000,Config!$A$25,Recepciones!$A$5:$A$2000,"&gt;"&amp;$A357,Recepciones!$A$5:$A$2000,"&lt;="&amp;$A358),MAX(0,I358-I357)))</f>
        <v/>
      </c>
      <c r="K358" s="24" t="str">
        <f aca="false">IF($A358="","",MAX(0,I357+J358-I358))</f>
        <v/>
      </c>
      <c r="L358" s="24" t="str">
        <f aca="false">IF($A358="","",E358+H358+K358)</f>
        <v/>
      </c>
      <c r="M358" s="4" t="str">
        <f aca="false">IF($A358="","",IF(AND(D358+G358+J358&gt;0,SUMIFS(Recepciones!$C$5:$C$2000,Recepciones!$A$5:$A$2000,"&gt;"&amp;$A357,Recepciones!$A$5:$A$2000,"&lt;="&amp;$A358)=0),"Aumento de stock sin recepción registrada",IF(B358&gt;1,"Intervalo de "&amp;B358&amp;" días","")))</f>
        <v/>
      </c>
    </row>
    <row r="359" customFormat="false" ht="15" hidden="false" customHeight="false" outlineLevel="0" collapsed="false">
      <c r="A359" s="5" t="str">
        <f aca="false">IF(Stock_Diario!A359="","",Stock_Diario!A359)</f>
        <v/>
      </c>
      <c r="B359" s="4" t="str">
        <f aca="false">IF($A359="","",$A359-$A358)</f>
        <v/>
      </c>
      <c r="C359" s="24" t="str">
        <f aca="false">IF($A359="","",Stock_Diario!E359)</f>
        <v/>
      </c>
      <c r="D359" s="24" t="str">
        <f aca="false">IF($A359="","",IF(SUMIFS(Recepciones!$C$5:$C$2000,Recepciones!$B$5:$B$2000,Config!$A$23,Recepciones!$A$5:$A$2000,"&gt;"&amp;$A358,Recepciones!$A$5:$A$2000,"&lt;="&amp;$A359)&gt;0,SUMIFS(Recepciones!$C$5:$C$2000,Recepciones!$B$5:$B$2000,Config!$A$23,Recepciones!$A$5:$A$2000,"&gt;"&amp;$A358,Recepciones!$A$5:$A$2000,"&lt;="&amp;$A359),MAX(0,C359-C358)))</f>
        <v/>
      </c>
      <c r="E359" s="24" t="str">
        <f aca="false">IF($A359="","",MAX(0,C358+D359-C359))</f>
        <v/>
      </c>
      <c r="F359" s="24" t="str">
        <f aca="false">IF($A359="","",Stock_Diario!F359)</f>
        <v/>
      </c>
      <c r="G359" s="24" t="str">
        <f aca="false">IF($A359="","",IF(SUMIFS(Recepciones!$C$5:$C$2000,Recepciones!$B$5:$B$2000,Config!$A$24,Recepciones!$A$5:$A$2000,"&gt;"&amp;$A358,Recepciones!$A$5:$A$2000,"&lt;="&amp;$A359)&gt;0,SUMIFS(Recepciones!$C$5:$C$2000,Recepciones!$B$5:$B$2000,Config!$A$24,Recepciones!$A$5:$A$2000,"&gt;"&amp;$A358,Recepciones!$A$5:$A$2000,"&lt;="&amp;$A359),MAX(0,F359-F358)))</f>
        <v/>
      </c>
      <c r="H359" s="24" t="str">
        <f aca="false">IF($A359="","",MAX(0,F358+G359-F359))</f>
        <v/>
      </c>
      <c r="I359" s="24" t="str">
        <f aca="false">IF($A359="","",Stock_Diario!G359)</f>
        <v/>
      </c>
      <c r="J359" s="24" t="str">
        <f aca="false">IF($A359="","",IF(SUMIFS(Recepciones!$C$5:$C$2000,Recepciones!$B$5:$B$2000,Config!$A$25,Recepciones!$A$5:$A$2000,"&gt;"&amp;$A358,Recepciones!$A$5:$A$2000,"&lt;="&amp;$A359)&gt;0,SUMIFS(Recepciones!$C$5:$C$2000,Recepciones!$B$5:$B$2000,Config!$A$25,Recepciones!$A$5:$A$2000,"&gt;"&amp;$A358,Recepciones!$A$5:$A$2000,"&lt;="&amp;$A359),MAX(0,I359-I358)))</f>
        <v/>
      </c>
      <c r="K359" s="24" t="str">
        <f aca="false">IF($A359="","",MAX(0,I358+J359-I359))</f>
        <v/>
      </c>
      <c r="L359" s="24" t="str">
        <f aca="false">IF($A359="","",E359+H359+K359)</f>
        <v/>
      </c>
      <c r="M359" s="4" t="str">
        <f aca="false">IF($A359="","",IF(AND(D359+G359+J359&gt;0,SUMIFS(Recepciones!$C$5:$C$2000,Recepciones!$A$5:$A$2000,"&gt;"&amp;$A358,Recepciones!$A$5:$A$2000,"&lt;="&amp;$A359)=0),"Aumento de stock sin recepción registrada",IF(B359&gt;1,"Intervalo de "&amp;B359&amp;" días","")))</f>
        <v/>
      </c>
    </row>
    <row r="360" customFormat="false" ht="15" hidden="false" customHeight="false" outlineLevel="0" collapsed="false">
      <c r="A360" s="5" t="str">
        <f aca="false">IF(Stock_Diario!A360="","",Stock_Diario!A360)</f>
        <v/>
      </c>
      <c r="B360" s="4" t="str">
        <f aca="false">IF($A360="","",$A360-$A359)</f>
        <v/>
      </c>
      <c r="C360" s="24" t="str">
        <f aca="false">IF($A360="","",Stock_Diario!E360)</f>
        <v/>
      </c>
      <c r="D360" s="24" t="str">
        <f aca="false">IF($A360="","",IF(SUMIFS(Recepciones!$C$5:$C$2000,Recepciones!$B$5:$B$2000,Config!$A$23,Recepciones!$A$5:$A$2000,"&gt;"&amp;$A359,Recepciones!$A$5:$A$2000,"&lt;="&amp;$A360)&gt;0,SUMIFS(Recepciones!$C$5:$C$2000,Recepciones!$B$5:$B$2000,Config!$A$23,Recepciones!$A$5:$A$2000,"&gt;"&amp;$A359,Recepciones!$A$5:$A$2000,"&lt;="&amp;$A360),MAX(0,C360-C359)))</f>
        <v/>
      </c>
      <c r="E360" s="24" t="str">
        <f aca="false">IF($A360="","",MAX(0,C359+D360-C360))</f>
        <v/>
      </c>
      <c r="F360" s="24" t="str">
        <f aca="false">IF($A360="","",Stock_Diario!F360)</f>
        <v/>
      </c>
      <c r="G360" s="24" t="str">
        <f aca="false">IF($A360="","",IF(SUMIFS(Recepciones!$C$5:$C$2000,Recepciones!$B$5:$B$2000,Config!$A$24,Recepciones!$A$5:$A$2000,"&gt;"&amp;$A359,Recepciones!$A$5:$A$2000,"&lt;="&amp;$A360)&gt;0,SUMIFS(Recepciones!$C$5:$C$2000,Recepciones!$B$5:$B$2000,Config!$A$24,Recepciones!$A$5:$A$2000,"&gt;"&amp;$A359,Recepciones!$A$5:$A$2000,"&lt;="&amp;$A360),MAX(0,F360-F359)))</f>
        <v/>
      </c>
      <c r="H360" s="24" t="str">
        <f aca="false">IF($A360="","",MAX(0,F359+G360-F360))</f>
        <v/>
      </c>
      <c r="I360" s="24" t="str">
        <f aca="false">IF($A360="","",Stock_Diario!G360)</f>
        <v/>
      </c>
      <c r="J360" s="24" t="str">
        <f aca="false">IF($A360="","",IF(SUMIFS(Recepciones!$C$5:$C$2000,Recepciones!$B$5:$B$2000,Config!$A$25,Recepciones!$A$5:$A$2000,"&gt;"&amp;$A359,Recepciones!$A$5:$A$2000,"&lt;="&amp;$A360)&gt;0,SUMIFS(Recepciones!$C$5:$C$2000,Recepciones!$B$5:$B$2000,Config!$A$25,Recepciones!$A$5:$A$2000,"&gt;"&amp;$A359,Recepciones!$A$5:$A$2000,"&lt;="&amp;$A360),MAX(0,I360-I359)))</f>
        <v/>
      </c>
      <c r="K360" s="24" t="str">
        <f aca="false">IF($A360="","",MAX(0,I359+J360-I360))</f>
        <v/>
      </c>
      <c r="L360" s="24" t="str">
        <f aca="false">IF($A360="","",E360+H360+K360)</f>
        <v/>
      </c>
      <c r="M360" s="4" t="str">
        <f aca="false">IF($A360="","",IF(AND(D360+G360+J360&gt;0,SUMIFS(Recepciones!$C$5:$C$2000,Recepciones!$A$5:$A$2000,"&gt;"&amp;$A359,Recepciones!$A$5:$A$2000,"&lt;="&amp;$A360)=0),"Aumento de stock sin recepción registrada",IF(B360&gt;1,"Intervalo de "&amp;B360&amp;" días","")))</f>
        <v/>
      </c>
    </row>
    <row r="361" customFormat="false" ht="15" hidden="false" customHeight="false" outlineLevel="0" collapsed="false">
      <c r="A361" s="5" t="str">
        <f aca="false">IF(Stock_Diario!A361="","",Stock_Diario!A361)</f>
        <v/>
      </c>
      <c r="B361" s="4" t="str">
        <f aca="false">IF($A361="","",$A361-$A360)</f>
        <v/>
      </c>
      <c r="C361" s="24" t="str">
        <f aca="false">IF($A361="","",Stock_Diario!E361)</f>
        <v/>
      </c>
      <c r="D361" s="24" t="str">
        <f aca="false">IF($A361="","",IF(SUMIFS(Recepciones!$C$5:$C$2000,Recepciones!$B$5:$B$2000,Config!$A$23,Recepciones!$A$5:$A$2000,"&gt;"&amp;$A360,Recepciones!$A$5:$A$2000,"&lt;="&amp;$A361)&gt;0,SUMIFS(Recepciones!$C$5:$C$2000,Recepciones!$B$5:$B$2000,Config!$A$23,Recepciones!$A$5:$A$2000,"&gt;"&amp;$A360,Recepciones!$A$5:$A$2000,"&lt;="&amp;$A361),MAX(0,C361-C360)))</f>
        <v/>
      </c>
      <c r="E361" s="24" t="str">
        <f aca="false">IF($A361="","",MAX(0,C360+D361-C361))</f>
        <v/>
      </c>
      <c r="F361" s="24" t="str">
        <f aca="false">IF($A361="","",Stock_Diario!F361)</f>
        <v/>
      </c>
      <c r="G361" s="24" t="str">
        <f aca="false">IF($A361="","",IF(SUMIFS(Recepciones!$C$5:$C$2000,Recepciones!$B$5:$B$2000,Config!$A$24,Recepciones!$A$5:$A$2000,"&gt;"&amp;$A360,Recepciones!$A$5:$A$2000,"&lt;="&amp;$A361)&gt;0,SUMIFS(Recepciones!$C$5:$C$2000,Recepciones!$B$5:$B$2000,Config!$A$24,Recepciones!$A$5:$A$2000,"&gt;"&amp;$A360,Recepciones!$A$5:$A$2000,"&lt;="&amp;$A361),MAX(0,F361-F360)))</f>
        <v/>
      </c>
      <c r="H361" s="24" t="str">
        <f aca="false">IF($A361="","",MAX(0,F360+G361-F361))</f>
        <v/>
      </c>
      <c r="I361" s="24" t="str">
        <f aca="false">IF($A361="","",Stock_Diario!G361)</f>
        <v/>
      </c>
      <c r="J361" s="24" t="str">
        <f aca="false">IF($A361="","",IF(SUMIFS(Recepciones!$C$5:$C$2000,Recepciones!$B$5:$B$2000,Config!$A$25,Recepciones!$A$5:$A$2000,"&gt;"&amp;$A360,Recepciones!$A$5:$A$2000,"&lt;="&amp;$A361)&gt;0,SUMIFS(Recepciones!$C$5:$C$2000,Recepciones!$B$5:$B$2000,Config!$A$25,Recepciones!$A$5:$A$2000,"&gt;"&amp;$A360,Recepciones!$A$5:$A$2000,"&lt;="&amp;$A361),MAX(0,I361-I360)))</f>
        <v/>
      </c>
      <c r="K361" s="24" t="str">
        <f aca="false">IF($A361="","",MAX(0,I360+J361-I361))</f>
        <v/>
      </c>
      <c r="L361" s="24" t="str">
        <f aca="false">IF($A361="","",E361+H361+K361)</f>
        <v/>
      </c>
      <c r="M361" s="4" t="str">
        <f aca="false">IF($A361="","",IF(AND(D361+G361+J361&gt;0,SUMIFS(Recepciones!$C$5:$C$2000,Recepciones!$A$5:$A$2000,"&gt;"&amp;$A360,Recepciones!$A$5:$A$2000,"&lt;="&amp;$A361)=0),"Aumento de stock sin recepción registrada",IF(B361&gt;1,"Intervalo de "&amp;B361&amp;" días","")))</f>
        <v/>
      </c>
    </row>
    <row r="362" customFormat="false" ht="15" hidden="false" customHeight="false" outlineLevel="0" collapsed="false">
      <c r="A362" s="5" t="str">
        <f aca="false">IF(Stock_Diario!A362="","",Stock_Diario!A362)</f>
        <v/>
      </c>
      <c r="B362" s="4" t="str">
        <f aca="false">IF($A362="","",$A362-$A361)</f>
        <v/>
      </c>
      <c r="C362" s="24" t="str">
        <f aca="false">IF($A362="","",Stock_Diario!E362)</f>
        <v/>
      </c>
      <c r="D362" s="24" t="str">
        <f aca="false">IF($A362="","",IF(SUMIFS(Recepciones!$C$5:$C$2000,Recepciones!$B$5:$B$2000,Config!$A$23,Recepciones!$A$5:$A$2000,"&gt;"&amp;$A361,Recepciones!$A$5:$A$2000,"&lt;="&amp;$A362)&gt;0,SUMIFS(Recepciones!$C$5:$C$2000,Recepciones!$B$5:$B$2000,Config!$A$23,Recepciones!$A$5:$A$2000,"&gt;"&amp;$A361,Recepciones!$A$5:$A$2000,"&lt;="&amp;$A362),MAX(0,C362-C361)))</f>
        <v/>
      </c>
      <c r="E362" s="24" t="str">
        <f aca="false">IF($A362="","",MAX(0,C361+D362-C362))</f>
        <v/>
      </c>
      <c r="F362" s="24" t="str">
        <f aca="false">IF($A362="","",Stock_Diario!F362)</f>
        <v/>
      </c>
      <c r="G362" s="24" t="str">
        <f aca="false">IF($A362="","",IF(SUMIFS(Recepciones!$C$5:$C$2000,Recepciones!$B$5:$B$2000,Config!$A$24,Recepciones!$A$5:$A$2000,"&gt;"&amp;$A361,Recepciones!$A$5:$A$2000,"&lt;="&amp;$A362)&gt;0,SUMIFS(Recepciones!$C$5:$C$2000,Recepciones!$B$5:$B$2000,Config!$A$24,Recepciones!$A$5:$A$2000,"&gt;"&amp;$A361,Recepciones!$A$5:$A$2000,"&lt;="&amp;$A362),MAX(0,F362-F361)))</f>
        <v/>
      </c>
      <c r="H362" s="24" t="str">
        <f aca="false">IF($A362="","",MAX(0,F361+G362-F362))</f>
        <v/>
      </c>
      <c r="I362" s="24" t="str">
        <f aca="false">IF($A362="","",Stock_Diario!G362)</f>
        <v/>
      </c>
      <c r="J362" s="24" t="str">
        <f aca="false">IF($A362="","",IF(SUMIFS(Recepciones!$C$5:$C$2000,Recepciones!$B$5:$B$2000,Config!$A$25,Recepciones!$A$5:$A$2000,"&gt;"&amp;$A361,Recepciones!$A$5:$A$2000,"&lt;="&amp;$A362)&gt;0,SUMIFS(Recepciones!$C$5:$C$2000,Recepciones!$B$5:$B$2000,Config!$A$25,Recepciones!$A$5:$A$2000,"&gt;"&amp;$A361,Recepciones!$A$5:$A$2000,"&lt;="&amp;$A362),MAX(0,I362-I361)))</f>
        <v/>
      </c>
      <c r="K362" s="24" t="str">
        <f aca="false">IF($A362="","",MAX(0,I361+J362-I362))</f>
        <v/>
      </c>
      <c r="L362" s="24" t="str">
        <f aca="false">IF($A362="","",E362+H362+K362)</f>
        <v/>
      </c>
      <c r="M362" s="4" t="str">
        <f aca="false">IF($A362="","",IF(AND(D362+G362+J362&gt;0,SUMIFS(Recepciones!$C$5:$C$2000,Recepciones!$A$5:$A$2000,"&gt;"&amp;$A361,Recepciones!$A$5:$A$2000,"&lt;="&amp;$A362)=0),"Aumento de stock sin recepción registrada",IF(B362&gt;1,"Intervalo de "&amp;B362&amp;" días","")))</f>
        <v/>
      </c>
    </row>
    <row r="363" customFormat="false" ht="15" hidden="false" customHeight="false" outlineLevel="0" collapsed="false">
      <c r="A363" s="5" t="str">
        <f aca="false">IF(Stock_Diario!A363="","",Stock_Diario!A363)</f>
        <v/>
      </c>
      <c r="B363" s="4" t="str">
        <f aca="false">IF($A363="","",$A363-$A362)</f>
        <v/>
      </c>
      <c r="C363" s="24" t="str">
        <f aca="false">IF($A363="","",Stock_Diario!E363)</f>
        <v/>
      </c>
      <c r="D363" s="24" t="str">
        <f aca="false">IF($A363="","",IF(SUMIFS(Recepciones!$C$5:$C$2000,Recepciones!$B$5:$B$2000,Config!$A$23,Recepciones!$A$5:$A$2000,"&gt;"&amp;$A362,Recepciones!$A$5:$A$2000,"&lt;="&amp;$A363)&gt;0,SUMIFS(Recepciones!$C$5:$C$2000,Recepciones!$B$5:$B$2000,Config!$A$23,Recepciones!$A$5:$A$2000,"&gt;"&amp;$A362,Recepciones!$A$5:$A$2000,"&lt;="&amp;$A363),MAX(0,C363-C362)))</f>
        <v/>
      </c>
      <c r="E363" s="24" t="str">
        <f aca="false">IF($A363="","",MAX(0,C362+D363-C363))</f>
        <v/>
      </c>
      <c r="F363" s="24" t="str">
        <f aca="false">IF($A363="","",Stock_Diario!F363)</f>
        <v/>
      </c>
      <c r="G363" s="24" t="str">
        <f aca="false">IF($A363="","",IF(SUMIFS(Recepciones!$C$5:$C$2000,Recepciones!$B$5:$B$2000,Config!$A$24,Recepciones!$A$5:$A$2000,"&gt;"&amp;$A362,Recepciones!$A$5:$A$2000,"&lt;="&amp;$A363)&gt;0,SUMIFS(Recepciones!$C$5:$C$2000,Recepciones!$B$5:$B$2000,Config!$A$24,Recepciones!$A$5:$A$2000,"&gt;"&amp;$A362,Recepciones!$A$5:$A$2000,"&lt;="&amp;$A363),MAX(0,F363-F362)))</f>
        <v/>
      </c>
      <c r="H363" s="24" t="str">
        <f aca="false">IF($A363="","",MAX(0,F362+G363-F363))</f>
        <v/>
      </c>
      <c r="I363" s="24" t="str">
        <f aca="false">IF($A363="","",Stock_Diario!G363)</f>
        <v/>
      </c>
      <c r="J363" s="24" t="str">
        <f aca="false">IF($A363="","",IF(SUMIFS(Recepciones!$C$5:$C$2000,Recepciones!$B$5:$B$2000,Config!$A$25,Recepciones!$A$5:$A$2000,"&gt;"&amp;$A362,Recepciones!$A$5:$A$2000,"&lt;="&amp;$A363)&gt;0,SUMIFS(Recepciones!$C$5:$C$2000,Recepciones!$B$5:$B$2000,Config!$A$25,Recepciones!$A$5:$A$2000,"&gt;"&amp;$A362,Recepciones!$A$5:$A$2000,"&lt;="&amp;$A363),MAX(0,I363-I362)))</f>
        <v/>
      </c>
      <c r="K363" s="24" t="str">
        <f aca="false">IF($A363="","",MAX(0,I362+J363-I363))</f>
        <v/>
      </c>
      <c r="L363" s="24" t="str">
        <f aca="false">IF($A363="","",E363+H363+K363)</f>
        <v/>
      </c>
      <c r="M363" s="4" t="str">
        <f aca="false">IF($A363="","",IF(AND(D363+G363+J363&gt;0,SUMIFS(Recepciones!$C$5:$C$2000,Recepciones!$A$5:$A$2000,"&gt;"&amp;$A362,Recepciones!$A$5:$A$2000,"&lt;="&amp;$A363)=0),"Aumento de stock sin recepción registrada",IF(B363&gt;1,"Intervalo de "&amp;B363&amp;" días","")))</f>
        <v/>
      </c>
    </row>
    <row r="364" customFormat="false" ht="15" hidden="false" customHeight="false" outlineLevel="0" collapsed="false">
      <c r="A364" s="5" t="str">
        <f aca="false">IF(Stock_Diario!A364="","",Stock_Diario!A364)</f>
        <v/>
      </c>
      <c r="B364" s="4" t="str">
        <f aca="false">IF($A364="","",$A364-$A363)</f>
        <v/>
      </c>
      <c r="C364" s="24" t="str">
        <f aca="false">IF($A364="","",Stock_Diario!E364)</f>
        <v/>
      </c>
      <c r="D364" s="24" t="str">
        <f aca="false">IF($A364="","",IF(SUMIFS(Recepciones!$C$5:$C$2000,Recepciones!$B$5:$B$2000,Config!$A$23,Recepciones!$A$5:$A$2000,"&gt;"&amp;$A363,Recepciones!$A$5:$A$2000,"&lt;="&amp;$A364)&gt;0,SUMIFS(Recepciones!$C$5:$C$2000,Recepciones!$B$5:$B$2000,Config!$A$23,Recepciones!$A$5:$A$2000,"&gt;"&amp;$A363,Recepciones!$A$5:$A$2000,"&lt;="&amp;$A364),MAX(0,C364-C363)))</f>
        <v/>
      </c>
      <c r="E364" s="24" t="str">
        <f aca="false">IF($A364="","",MAX(0,C363+D364-C364))</f>
        <v/>
      </c>
      <c r="F364" s="24" t="str">
        <f aca="false">IF($A364="","",Stock_Diario!F364)</f>
        <v/>
      </c>
      <c r="G364" s="24" t="str">
        <f aca="false">IF($A364="","",IF(SUMIFS(Recepciones!$C$5:$C$2000,Recepciones!$B$5:$B$2000,Config!$A$24,Recepciones!$A$5:$A$2000,"&gt;"&amp;$A363,Recepciones!$A$5:$A$2000,"&lt;="&amp;$A364)&gt;0,SUMIFS(Recepciones!$C$5:$C$2000,Recepciones!$B$5:$B$2000,Config!$A$24,Recepciones!$A$5:$A$2000,"&gt;"&amp;$A363,Recepciones!$A$5:$A$2000,"&lt;="&amp;$A364),MAX(0,F364-F363)))</f>
        <v/>
      </c>
      <c r="H364" s="24" t="str">
        <f aca="false">IF($A364="","",MAX(0,F363+G364-F364))</f>
        <v/>
      </c>
      <c r="I364" s="24" t="str">
        <f aca="false">IF($A364="","",Stock_Diario!G364)</f>
        <v/>
      </c>
      <c r="J364" s="24" t="str">
        <f aca="false">IF($A364="","",IF(SUMIFS(Recepciones!$C$5:$C$2000,Recepciones!$B$5:$B$2000,Config!$A$25,Recepciones!$A$5:$A$2000,"&gt;"&amp;$A363,Recepciones!$A$5:$A$2000,"&lt;="&amp;$A364)&gt;0,SUMIFS(Recepciones!$C$5:$C$2000,Recepciones!$B$5:$B$2000,Config!$A$25,Recepciones!$A$5:$A$2000,"&gt;"&amp;$A363,Recepciones!$A$5:$A$2000,"&lt;="&amp;$A364),MAX(0,I364-I363)))</f>
        <v/>
      </c>
      <c r="K364" s="24" t="str">
        <f aca="false">IF($A364="","",MAX(0,I363+J364-I364))</f>
        <v/>
      </c>
      <c r="L364" s="24" t="str">
        <f aca="false">IF($A364="","",E364+H364+K364)</f>
        <v/>
      </c>
      <c r="M364" s="4" t="str">
        <f aca="false">IF($A364="","",IF(AND(D364+G364+J364&gt;0,SUMIFS(Recepciones!$C$5:$C$2000,Recepciones!$A$5:$A$2000,"&gt;"&amp;$A363,Recepciones!$A$5:$A$2000,"&lt;="&amp;$A364)=0),"Aumento de stock sin recepción registrada",IF(B364&gt;1,"Intervalo de "&amp;B364&amp;" días","")))</f>
        <v/>
      </c>
    </row>
    <row r="365" customFormat="false" ht="15" hidden="false" customHeight="false" outlineLevel="0" collapsed="false">
      <c r="A365" s="5" t="str">
        <f aca="false">IF(Stock_Diario!A365="","",Stock_Diario!A365)</f>
        <v/>
      </c>
      <c r="B365" s="4" t="str">
        <f aca="false">IF($A365="","",$A365-$A364)</f>
        <v/>
      </c>
      <c r="C365" s="24" t="str">
        <f aca="false">IF($A365="","",Stock_Diario!E365)</f>
        <v/>
      </c>
      <c r="D365" s="24" t="str">
        <f aca="false">IF($A365="","",IF(SUMIFS(Recepciones!$C$5:$C$2000,Recepciones!$B$5:$B$2000,Config!$A$23,Recepciones!$A$5:$A$2000,"&gt;"&amp;$A364,Recepciones!$A$5:$A$2000,"&lt;="&amp;$A365)&gt;0,SUMIFS(Recepciones!$C$5:$C$2000,Recepciones!$B$5:$B$2000,Config!$A$23,Recepciones!$A$5:$A$2000,"&gt;"&amp;$A364,Recepciones!$A$5:$A$2000,"&lt;="&amp;$A365),MAX(0,C365-C364)))</f>
        <v/>
      </c>
      <c r="E365" s="24" t="str">
        <f aca="false">IF($A365="","",MAX(0,C364+D365-C365))</f>
        <v/>
      </c>
      <c r="F365" s="24" t="str">
        <f aca="false">IF($A365="","",Stock_Diario!F365)</f>
        <v/>
      </c>
      <c r="G365" s="24" t="str">
        <f aca="false">IF($A365="","",IF(SUMIFS(Recepciones!$C$5:$C$2000,Recepciones!$B$5:$B$2000,Config!$A$24,Recepciones!$A$5:$A$2000,"&gt;"&amp;$A364,Recepciones!$A$5:$A$2000,"&lt;="&amp;$A365)&gt;0,SUMIFS(Recepciones!$C$5:$C$2000,Recepciones!$B$5:$B$2000,Config!$A$24,Recepciones!$A$5:$A$2000,"&gt;"&amp;$A364,Recepciones!$A$5:$A$2000,"&lt;="&amp;$A365),MAX(0,F365-F364)))</f>
        <v/>
      </c>
      <c r="H365" s="24" t="str">
        <f aca="false">IF($A365="","",MAX(0,F364+G365-F365))</f>
        <v/>
      </c>
      <c r="I365" s="24" t="str">
        <f aca="false">IF($A365="","",Stock_Diario!G365)</f>
        <v/>
      </c>
      <c r="J365" s="24" t="str">
        <f aca="false">IF($A365="","",IF(SUMIFS(Recepciones!$C$5:$C$2000,Recepciones!$B$5:$B$2000,Config!$A$25,Recepciones!$A$5:$A$2000,"&gt;"&amp;$A364,Recepciones!$A$5:$A$2000,"&lt;="&amp;$A365)&gt;0,SUMIFS(Recepciones!$C$5:$C$2000,Recepciones!$B$5:$B$2000,Config!$A$25,Recepciones!$A$5:$A$2000,"&gt;"&amp;$A364,Recepciones!$A$5:$A$2000,"&lt;="&amp;$A365),MAX(0,I365-I364)))</f>
        <v/>
      </c>
      <c r="K365" s="24" t="str">
        <f aca="false">IF($A365="","",MAX(0,I364+J365-I365))</f>
        <v/>
      </c>
      <c r="L365" s="24" t="str">
        <f aca="false">IF($A365="","",E365+H365+K365)</f>
        <v/>
      </c>
      <c r="M365" s="4" t="str">
        <f aca="false">IF($A365="","",IF(AND(D365+G365+J365&gt;0,SUMIFS(Recepciones!$C$5:$C$2000,Recepciones!$A$5:$A$2000,"&gt;"&amp;$A364,Recepciones!$A$5:$A$2000,"&lt;="&amp;$A365)=0),"Aumento de stock sin recepción registrada",IF(B365&gt;1,"Intervalo de "&amp;B365&amp;" días","")))</f>
        <v/>
      </c>
    </row>
    <row r="366" customFormat="false" ht="15" hidden="false" customHeight="false" outlineLevel="0" collapsed="false">
      <c r="A366" s="5" t="str">
        <f aca="false">IF(Stock_Diario!A366="","",Stock_Diario!A366)</f>
        <v/>
      </c>
      <c r="B366" s="4" t="str">
        <f aca="false">IF($A366="","",$A366-$A365)</f>
        <v/>
      </c>
      <c r="C366" s="24" t="str">
        <f aca="false">IF($A366="","",Stock_Diario!E366)</f>
        <v/>
      </c>
      <c r="D366" s="24" t="str">
        <f aca="false">IF($A366="","",IF(SUMIFS(Recepciones!$C$5:$C$2000,Recepciones!$B$5:$B$2000,Config!$A$23,Recepciones!$A$5:$A$2000,"&gt;"&amp;$A365,Recepciones!$A$5:$A$2000,"&lt;="&amp;$A366)&gt;0,SUMIFS(Recepciones!$C$5:$C$2000,Recepciones!$B$5:$B$2000,Config!$A$23,Recepciones!$A$5:$A$2000,"&gt;"&amp;$A365,Recepciones!$A$5:$A$2000,"&lt;="&amp;$A366),MAX(0,C366-C365)))</f>
        <v/>
      </c>
      <c r="E366" s="24" t="str">
        <f aca="false">IF($A366="","",MAX(0,C365+D366-C366))</f>
        <v/>
      </c>
      <c r="F366" s="24" t="str">
        <f aca="false">IF($A366="","",Stock_Diario!F366)</f>
        <v/>
      </c>
      <c r="G366" s="24" t="str">
        <f aca="false">IF($A366="","",IF(SUMIFS(Recepciones!$C$5:$C$2000,Recepciones!$B$5:$B$2000,Config!$A$24,Recepciones!$A$5:$A$2000,"&gt;"&amp;$A365,Recepciones!$A$5:$A$2000,"&lt;="&amp;$A366)&gt;0,SUMIFS(Recepciones!$C$5:$C$2000,Recepciones!$B$5:$B$2000,Config!$A$24,Recepciones!$A$5:$A$2000,"&gt;"&amp;$A365,Recepciones!$A$5:$A$2000,"&lt;="&amp;$A366),MAX(0,F366-F365)))</f>
        <v/>
      </c>
      <c r="H366" s="24" t="str">
        <f aca="false">IF($A366="","",MAX(0,F365+G366-F366))</f>
        <v/>
      </c>
      <c r="I366" s="24" t="str">
        <f aca="false">IF($A366="","",Stock_Diario!G366)</f>
        <v/>
      </c>
      <c r="J366" s="24" t="str">
        <f aca="false">IF($A366="","",IF(SUMIFS(Recepciones!$C$5:$C$2000,Recepciones!$B$5:$B$2000,Config!$A$25,Recepciones!$A$5:$A$2000,"&gt;"&amp;$A365,Recepciones!$A$5:$A$2000,"&lt;="&amp;$A366)&gt;0,SUMIFS(Recepciones!$C$5:$C$2000,Recepciones!$B$5:$B$2000,Config!$A$25,Recepciones!$A$5:$A$2000,"&gt;"&amp;$A365,Recepciones!$A$5:$A$2000,"&lt;="&amp;$A366),MAX(0,I366-I365)))</f>
        <v/>
      </c>
      <c r="K366" s="24" t="str">
        <f aca="false">IF($A366="","",MAX(0,I365+J366-I366))</f>
        <v/>
      </c>
      <c r="L366" s="24" t="str">
        <f aca="false">IF($A366="","",E366+H366+K366)</f>
        <v/>
      </c>
      <c r="M366" s="4" t="str">
        <f aca="false">IF($A366="","",IF(AND(D366+G366+J366&gt;0,SUMIFS(Recepciones!$C$5:$C$2000,Recepciones!$A$5:$A$2000,"&gt;"&amp;$A365,Recepciones!$A$5:$A$2000,"&lt;="&amp;$A366)=0),"Aumento de stock sin recepción registrada",IF(B366&gt;1,"Intervalo de "&amp;B366&amp;" días","")))</f>
        <v/>
      </c>
    </row>
    <row r="367" customFormat="false" ht="15" hidden="false" customHeight="false" outlineLevel="0" collapsed="false">
      <c r="A367" s="5" t="str">
        <f aca="false">IF(Stock_Diario!A367="","",Stock_Diario!A367)</f>
        <v/>
      </c>
      <c r="B367" s="4" t="str">
        <f aca="false">IF($A367="","",$A367-$A366)</f>
        <v/>
      </c>
      <c r="C367" s="24" t="str">
        <f aca="false">IF($A367="","",Stock_Diario!E367)</f>
        <v/>
      </c>
      <c r="D367" s="24" t="str">
        <f aca="false">IF($A367="","",IF(SUMIFS(Recepciones!$C$5:$C$2000,Recepciones!$B$5:$B$2000,Config!$A$23,Recepciones!$A$5:$A$2000,"&gt;"&amp;$A366,Recepciones!$A$5:$A$2000,"&lt;="&amp;$A367)&gt;0,SUMIFS(Recepciones!$C$5:$C$2000,Recepciones!$B$5:$B$2000,Config!$A$23,Recepciones!$A$5:$A$2000,"&gt;"&amp;$A366,Recepciones!$A$5:$A$2000,"&lt;="&amp;$A367),MAX(0,C367-C366)))</f>
        <v/>
      </c>
      <c r="E367" s="24" t="str">
        <f aca="false">IF($A367="","",MAX(0,C366+D367-C367))</f>
        <v/>
      </c>
      <c r="F367" s="24" t="str">
        <f aca="false">IF($A367="","",Stock_Diario!F367)</f>
        <v/>
      </c>
      <c r="G367" s="24" t="str">
        <f aca="false">IF($A367="","",IF(SUMIFS(Recepciones!$C$5:$C$2000,Recepciones!$B$5:$B$2000,Config!$A$24,Recepciones!$A$5:$A$2000,"&gt;"&amp;$A366,Recepciones!$A$5:$A$2000,"&lt;="&amp;$A367)&gt;0,SUMIFS(Recepciones!$C$5:$C$2000,Recepciones!$B$5:$B$2000,Config!$A$24,Recepciones!$A$5:$A$2000,"&gt;"&amp;$A366,Recepciones!$A$5:$A$2000,"&lt;="&amp;$A367),MAX(0,F367-F366)))</f>
        <v/>
      </c>
      <c r="H367" s="24" t="str">
        <f aca="false">IF($A367="","",MAX(0,F366+G367-F367))</f>
        <v/>
      </c>
      <c r="I367" s="24" t="str">
        <f aca="false">IF($A367="","",Stock_Diario!G367)</f>
        <v/>
      </c>
      <c r="J367" s="24" t="str">
        <f aca="false">IF($A367="","",IF(SUMIFS(Recepciones!$C$5:$C$2000,Recepciones!$B$5:$B$2000,Config!$A$25,Recepciones!$A$5:$A$2000,"&gt;"&amp;$A366,Recepciones!$A$5:$A$2000,"&lt;="&amp;$A367)&gt;0,SUMIFS(Recepciones!$C$5:$C$2000,Recepciones!$B$5:$B$2000,Config!$A$25,Recepciones!$A$5:$A$2000,"&gt;"&amp;$A366,Recepciones!$A$5:$A$2000,"&lt;="&amp;$A367),MAX(0,I367-I366)))</f>
        <v/>
      </c>
      <c r="K367" s="24" t="str">
        <f aca="false">IF($A367="","",MAX(0,I366+J367-I367))</f>
        <v/>
      </c>
      <c r="L367" s="24" t="str">
        <f aca="false">IF($A367="","",E367+H367+K367)</f>
        <v/>
      </c>
      <c r="M367" s="4" t="str">
        <f aca="false">IF($A367="","",IF(AND(D367+G367+J367&gt;0,SUMIFS(Recepciones!$C$5:$C$2000,Recepciones!$A$5:$A$2000,"&gt;"&amp;$A366,Recepciones!$A$5:$A$2000,"&lt;="&amp;$A367)=0),"Aumento de stock sin recepción registrada",IF(B367&gt;1,"Intervalo de "&amp;B367&amp;" días","")))</f>
        <v/>
      </c>
    </row>
    <row r="368" customFormat="false" ht="15" hidden="false" customHeight="false" outlineLevel="0" collapsed="false">
      <c r="A368" s="5" t="str">
        <f aca="false">IF(Stock_Diario!A368="","",Stock_Diario!A368)</f>
        <v/>
      </c>
      <c r="B368" s="4" t="str">
        <f aca="false">IF($A368="","",$A368-$A367)</f>
        <v/>
      </c>
      <c r="C368" s="24" t="str">
        <f aca="false">IF($A368="","",Stock_Diario!E368)</f>
        <v/>
      </c>
      <c r="D368" s="24" t="str">
        <f aca="false">IF($A368="","",IF(SUMIFS(Recepciones!$C$5:$C$2000,Recepciones!$B$5:$B$2000,Config!$A$23,Recepciones!$A$5:$A$2000,"&gt;"&amp;$A367,Recepciones!$A$5:$A$2000,"&lt;="&amp;$A368)&gt;0,SUMIFS(Recepciones!$C$5:$C$2000,Recepciones!$B$5:$B$2000,Config!$A$23,Recepciones!$A$5:$A$2000,"&gt;"&amp;$A367,Recepciones!$A$5:$A$2000,"&lt;="&amp;$A368),MAX(0,C368-C367)))</f>
        <v/>
      </c>
      <c r="E368" s="24" t="str">
        <f aca="false">IF($A368="","",MAX(0,C367+D368-C368))</f>
        <v/>
      </c>
      <c r="F368" s="24" t="str">
        <f aca="false">IF($A368="","",Stock_Diario!F368)</f>
        <v/>
      </c>
      <c r="G368" s="24" t="str">
        <f aca="false">IF($A368="","",IF(SUMIFS(Recepciones!$C$5:$C$2000,Recepciones!$B$5:$B$2000,Config!$A$24,Recepciones!$A$5:$A$2000,"&gt;"&amp;$A367,Recepciones!$A$5:$A$2000,"&lt;="&amp;$A368)&gt;0,SUMIFS(Recepciones!$C$5:$C$2000,Recepciones!$B$5:$B$2000,Config!$A$24,Recepciones!$A$5:$A$2000,"&gt;"&amp;$A367,Recepciones!$A$5:$A$2000,"&lt;="&amp;$A368),MAX(0,F368-F367)))</f>
        <v/>
      </c>
      <c r="H368" s="24" t="str">
        <f aca="false">IF($A368="","",MAX(0,F367+G368-F368))</f>
        <v/>
      </c>
      <c r="I368" s="24" t="str">
        <f aca="false">IF($A368="","",Stock_Diario!G368)</f>
        <v/>
      </c>
      <c r="J368" s="24" t="str">
        <f aca="false">IF($A368="","",IF(SUMIFS(Recepciones!$C$5:$C$2000,Recepciones!$B$5:$B$2000,Config!$A$25,Recepciones!$A$5:$A$2000,"&gt;"&amp;$A367,Recepciones!$A$5:$A$2000,"&lt;="&amp;$A368)&gt;0,SUMIFS(Recepciones!$C$5:$C$2000,Recepciones!$B$5:$B$2000,Config!$A$25,Recepciones!$A$5:$A$2000,"&gt;"&amp;$A367,Recepciones!$A$5:$A$2000,"&lt;="&amp;$A368),MAX(0,I368-I367)))</f>
        <v/>
      </c>
      <c r="K368" s="24" t="str">
        <f aca="false">IF($A368="","",MAX(0,I367+J368-I368))</f>
        <v/>
      </c>
      <c r="L368" s="24" t="str">
        <f aca="false">IF($A368="","",E368+H368+K368)</f>
        <v/>
      </c>
      <c r="M368" s="4" t="str">
        <f aca="false">IF($A368="","",IF(AND(D368+G368+J368&gt;0,SUMIFS(Recepciones!$C$5:$C$2000,Recepciones!$A$5:$A$2000,"&gt;"&amp;$A367,Recepciones!$A$5:$A$2000,"&lt;="&amp;$A368)=0),"Aumento de stock sin recepción registrada",IF(B368&gt;1,"Intervalo de "&amp;B368&amp;" días","")))</f>
        <v/>
      </c>
    </row>
    <row r="369" customFormat="false" ht="15" hidden="false" customHeight="false" outlineLevel="0" collapsed="false">
      <c r="A369" s="5" t="str">
        <f aca="false">IF(Stock_Diario!A369="","",Stock_Diario!A369)</f>
        <v/>
      </c>
      <c r="B369" s="4" t="str">
        <f aca="false">IF($A369="","",$A369-$A368)</f>
        <v/>
      </c>
      <c r="C369" s="24" t="str">
        <f aca="false">IF($A369="","",Stock_Diario!E369)</f>
        <v/>
      </c>
      <c r="D369" s="24" t="str">
        <f aca="false">IF($A369="","",IF(SUMIFS(Recepciones!$C$5:$C$2000,Recepciones!$B$5:$B$2000,Config!$A$23,Recepciones!$A$5:$A$2000,"&gt;"&amp;$A368,Recepciones!$A$5:$A$2000,"&lt;="&amp;$A369)&gt;0,SUMIFS(Recepciones!$C$5:$C$2000,Recepciones!$B$5:$B$2000,Config!$A$23,Recepciones!$A$5:$A$2000,"&gt;"&amp;$A368,Recepciones!$A$5:$A$2000,"&lt;="&amp;$A369),MAX(0,C369-C368)))</f>
        <v/>
      </c>
      <c r="E369" s="24" t="str">
        <f aca="false">IF($A369="","",MAX(0,C368+D369-C369))</f>
        <v/>
      </c>
      <c r="F369" s="24" t="str">
        <f aca="false">IF($A369="","",Stock_Diario!F369)</f>
        <v/>
      </c>
      <c r="G369" s="24" t="str">
        <f aca="false">IF($A369="","",IF(SUMIFS(Recepciones!$C$5:$C$2000,Recepciones!$B$5:$B$2000,Config!$A$24,Recepciones!$A$5:$A$2000,"&gt;"&amp;$A368,Recepciones!$A$5:$A$2000,"&lt;="&amp;$A369)&gt;0,SUMIFS(Recepciones!$C$5:$C$2000,Recepciones!$B$5:$B$2000,Config!$A$24,Recepciones!$A$5:$A$2000,"&gt;"&amp;$A368,Recepciones!$A$5:$A$2000,"&lt;="&amp;$A369),MAX(0,F369-F368)))</f>
        <v/>
      </c>
      <c r="H369" s="24" t="str">
        <f aca="false">IF($A369="","",MAX(0,F368+G369-F369))</f>
        <v/>
      </c>
      <c r="I369" s="24" t="str">
        <f aca="false">IF($A369="","",Stock_Diario!G369)</f>
        <v/>
      </c>
      <c r="J369" s="24" t="str">
        <f aca="false">IF($A369="","",IF(SUMIFS(Recepciones!$C$5:$C$2000,Recepciones!$B$5:$B$2000,Config!$A$25,Recepciones!$A$5:$A$2000,"&gt;"&amp;$A368,Recepciones!$A$5:$A$2000,"&lt;="&amp;$A369)&gt;0,SUMIFS(Recepciones!$C$5:$C$2000,Recepciones!$B$5:$B$2000,Config!$A$25,Recepciones!$A$5:$A$2000,"&gt;"&amp;$A368,Recepciones!$A$5:$A$2000,"&lt;="&amp;$A369),MAX(0,I369-I368)))</f>
        <v/>
      </c>
      <c r="K369" s="24" t="str">
        <f aca="false">IF($A369="","",MAX(0,I368+J369-I369))</f>
        <v/>
      </c>
      <c r="L369" s="24" t="str">
        <f aca="false">IF($A369="","",E369+H369+K369)</f>
        <v/>
      </c>
      <c r="M369" s="4" t="str">
        <f aca="false">IF($A369="","",IF(AND(D369+G369+J369&gt;0,SUMIFS(Recepciones!$C$5:$C$2000,Recepciones!$A$5:$A$2000,"&gt;"&amp;$A368,Recepciones!$A$5:$A$2000,"&lt;="&amp;$A369)=0),"Aumento de stock sin recepción registrada",IF(B369&gt;1,"Intervalo de "&amp;B369&amp;" días","")))</f>
        <v/>
      </c>
    </row>
    <row r="370" customFormat="false" ht="15" hidden="false" customHeight="false" outlineLevel="0" collapsed="false">
      <c r="A370" s="5" t="str">
        <f aca="false">IF(Stock_Diario!A370="","",Stock_Diario!A370)</f>
        <v/>
      </c>
      <c r="B370" s="4" t="str">
        <f aca="false">IF($A370="","",$A370-$A369)</f>
        <v/>
      </c>
      <c r="C370" s="24" t="str">
        <f aca="false">IF($A370="","",Stock_Diario!E370)</f>
        <v/>
      </c>
      <c r="D370" s="24" t="str">
        <f aca="false">IF($A370="","",IF(SUMIFS(Recepciones!$C$5:$C$2000,Recepciones!$B$5:$B$2000,Config!$A$23,Recepciones!$A$5:$A$2000,"&gt;"&amp;$A369,Recepciones!$A$5:$A$2000,"&lt;="&amp;$A370)&gt;0,SUMIFS(Recepciones!$C$5:$C$2000,Recepciones!$B$5:$B$2000,Config!$A$23,Recepciones!$A$5:$A$2000,"&gt;"&amp;$A369,Recepciones!$A$5:$A$2000,"&lt;="&amp;$A370),MAX(0,C370-C369)))</f>
        <v/>
      </c>
      <c r="E370" s="24" t="str">
        <f aca="false">IF($A370="","",MAX(0,C369+D370-C370))</f>
        <v/>
      </c>
      <c r="F370" s="24" t="str">
        <f aca="false">IF($A370="","",Stock_Diario!F370)</f>
        <v/>
      </c>
      <c r="G370" s="24" t="str">
        <f aca="false">IF($A370="","",IF(SUMIFS(Recepciones!$C$5:$C$2000,Recepciones!$B$5:$B$2000,Config!$A$24,Recepciones!$A$5:$A$2000,"&gt;"&amp;$A369,Recepciones!$A$5:$A$2000,"&lt;="&amp;$A370)&gt;0,SUMIFS(Recepciones!$C$5:$C$2000,Recepciones!$B$5:$B$2000,Config!$A$24,Recepciones!$A$5:$A$2000,"&gt;"&amp;$A369,Recepciones!$A$5:$A$2000,"&lt;="&amp;$A370),MAX(0,F370-F369)))</f>
        <v/>
      </c>
      <c r="H370" s="24" t="str">
        <f aca="false">IF($A370="","",MAX(0,F369+G370-F370))</f>
        <v/>
      </c>
      <c r="I370" s="24" t="str">
        <f aca="false">IF($A370="","",Stock_Diario!G370)</f>
        <v/>
      </c>
      <c r="J370" s="24" t="str">
        <f aca="false">IF($A370="","",IF(SUMIFS(Recepciones!$C$5:$C$2000,Recepciones!$B$5:$B$2000,Config!$A$25,Recepciones!$A$5:$A$2000,"&gt;"&amp;$A369,Recepciones!$A$5:$A$2000,"&lt;="&amp;$A370)&gt;0,SUMIFS(Recepciones!$C$5:$C$2000,Recepciones!$B$5:$B$2000,Config!$A$25,Recepciones!$A$5:$A$2000,"&gt;"&amp;$A369,Recepciones!$A$5:$A$2000,"&lt;="&amp;$A370),MAX(0,I370-I369)))</f>
        <v/>
      </c>
      <c r="K370" s="24" t="str">
        <f aca="false">IF($A370="","",MAX(0,I369+J370-I370))</f>
        <v/>
      </c>
      <c r="L370" s="24" t="str">
        <f aca="false">IF($A370="","",E370+H370+K370)</f>
        <v/>
      </c>
      <c r="M370" s="4" t="str">
        <f aca="false">IF($A370="","",IF(AND(D370+G370+J370&gt;0,SUMIFS(Recepciones!$C$5:$C$2000,Recepciones!$A$5:$A$2000,"&gt;"&amp;$A369,Recepciones!$A$5:$A$2000,"&lt;="&amp;$A370)=0),"Aumento de stock sin recepción registrada",IF(B370&gt;1,"Intervalo de "&amp;B370&amp;" días","")))</f>
        <v/>
      </c>
    </row>
    <row r="371" customFormat="false" ht="15" hidden="false" customHeight="false" outlineLevel="0" collapsed="false">
      <c r="A371" s="5" t="str">
        <f aca="false">IF(Stock_Diario!A371="","",Stock_Diario!A371)</f>
        <v/>
      </c>
      <c r="B371" s="4" t="str">
        <f aca="false">IF($A371="","",$A371-$A370)</f>
        <v/>
      </c>
      <c r="C371" s="24" t="str">
        <f aca="false">IF($A371="","",Stock_Diario!E371)</f>
        <v/>
      </c>
      <c r="D371" s="24" t="str">
        <f aca="false">IF($A371="","",IF(SUMIFS(Recepciones!$C$5:$C$2000,Recepciones!$B$5:$B$2000,Config!$A$23,Recepciones!$A$5:$A$2000,"&gt;"&amp;$A370,Recepciones!$A$5:$A$2000,"&lt;="&amp;$A371)&gt;0,SUMIFS(Recepciones!$C$5:$C$2000,Recepciones!$B$5:$B$2000,Config!$A$23,Recepciones!$A$5:$A$2000,"&gt;"&amp;$A370,Recepciones!$A$5:$A$2000,"&lt;="&amp;$A371),MAX(0,C371-C370)))</f>
        <v/>
      </c>
      <c r="E371" s="24" t="str">
        <f aca="false">IF($A371="","",MAX(0,C370+D371-C371))</f>
        <v/>
      </c>
      <c r="F371" s="24" t="str">
        <f aca="false">IF($A371="","",Stock_Diario!F371)</f>
        <v/>
      </c>
      <c r="G371" s="24" t="str">
        <f aca="false">IF($A371="","",IF(SUMIFS(Recepciones!$C$5:$C$2000,Recepciones!$B$5:$B$2000,Config!$A$24,Recepciones!$A$5:$A$2000,"&gt;"&amp;$A370,Recepciones!$A$5:$A$2000,"&lt;="&amp;$A371)&gt;0,SUMIFS(Recepciones!$C$5:$C$2000,Recepciones!$B$5:$B$2000,Config!$A$24,Recepciones!$A$5:$A$2000,"&gt;"&amp;$A370,Recepciones!$A$5:$A$2000,"&lt;="&amp;$A371),MAX(0,F371-F370)))</f>
        <v/>
      </c>
      <c r="H371" s="24" t="str">
        <f aca="false">IF($A371="","",MAX(0,F370+G371-F371))</f>
        <v/>
      </c>
      <c r="I371" s="24" t="str">
        <f aca="false">IF($A371="","",Stock_Diario!G371)</f>
        <v/>
      </c>
      <c r="J371" s="24" t="str">
        <f aca="false">IF($A371="","",IF(SUMIFS(Recepciones!$C$5:$C$2000,Recepciones!$B$5:$B$2000,Config!$A$25,Recepciones!$A$5:$A$2000,"&gt;"&amp;$A370,Recepciones!$A$5:$A$2000,"&lt;="&amp;$A371)&gt;0,SUMIFS(Recepciones!$C$5:$C$2000,Recepciones!$B$5:$B$2000,Config!$A$25,Recepciones!$A$5:$A$2000,"&gt;"&amp;$A370,Recepciones!$A$5:$A$2000,"&lt;="&amp;$A371),MAX(0,I371-I370)))</f>
        <v/>
      </c>
      <c r="K371" s="24" t="str">
        <f aca="false">IF($A371="","",MAX(0,I370+J371-I371))</f>
        <v/>
      </c>
      <c r="L371" s="24" t="str">
        <f aca="false">IF($A371="","",E371+H371+K371)</f>
        <v/>
      </c>
      <c r="M371" s="4" t="str">
        <f aca="false">IF($A371="","",IF(AND(D371+G371+J371&gt;0,SUMIFS(Recepciones!$C$5:$C$2000,Recepciones!$A$5:$A$2000,"&gt;"&amp;$A370,Recepciones!$A$5:$A$2000,"&lt;="&amp;$A371)=0),"Aumento de stock sin recepción registrada",IF(B371&gt;1,"Intervalo de "&amp;B371&amp;" días","")))</f>
        <v/>
      </c>
    </row>
    <row r="372" customFormat="false" ht="15" hidden="false" customHeight="false" outlineLevel="0" collapsed="false">
      <c r="A372" s="5" t="str">
        <f aca="false">IF(Stock_Diario!A372="","",Stock_Diario!A372)</f>
        <v/>
      </c>
      <c r="B372" s="4" t="str">
        <f aca="false">IF($A372="","",$A372-$A371)</f>
        <v/>
      </c>
      <c r="C372" s="24" t="str">
        <f aca="false">IF($A372="","",Stock_Diario!E372)</f>
        <v/>
      </c>
      <c r="D372" s="24" t="str">
        <f aca="false">IF($A372="","",IF(SUMIFS(Recepciones!$C$5:$C$2000,Recepciones!$B$5:$B$2000,Config!$A$23,Recepciones!$A$5:$A$2000,"&gt;"&amp;$A371,Recepciones!$A$5:$A$2000,"&lt;="&amp;$A372)&gt;0,SUMIFS(Recepciones!$C$5:$C$2000,Recepciones!$B$5:$B$2000,Config!$A$23,Recepciones!$A$5:$A$2000,"&gt;"&amp;$A371,Recepciones!$A$5:$A$2000,"&lt;="&amp;$A372),MAX(0,C372-C371)))</f>
        <v/>
      </c>
      <c r="E372" s="24" t="str">
        <f aca="false">IF($A372="","",MAX(0,C371+D372-C372))</f>
        <v/>
      </c>
      <c r="F372" s="24" t="str">
        <f aca="false">IF($A372="","",Stock_Diario!F372)</f>
        <v/>
      </c>
      <c r="G372" s="24" t="str">
        <f aca="false">IF($A372="","",IF(SUMIFS(Recepciones!$C$5:$C$2000,Recepciones!$B$5:$B$2000,Config!$A$24,Recepciones!$A$5:$A$2000,"&gt;"&amp;$A371,Recepciones!$A$5:$A$2000,"&lt;="&amp;$A372)&gt;0,SUMIFS(Recepciones!$C$5:$C$2000,Recepciones!$B$5:$B$2000,Config!$A$24,Recepciones!$A$5:$A$2000,"&gt;"&amp;$A371,Recepciones!$A$5:$A$2000,"&lt;="&amp;$A372),MAX(0,F372-F371)))</f>
        <v/>
      </c>
      <c r="H372" s="24" t="str">
        <f aca="false">IF($A372="","",MAX(0,F371+G372-F372))</f>
        <v/>
      </c>
      <c r="I372" s="24" t="str">
        <f aca="false">IF($A372="","",Stock_Diario!G372)</f>
        <v/>
      </c>
      <c r="J372" s="24" t="str">
        <f aca="false">IF($A372="","",IF(SUMIFS(Recepciones!$C$5:$C$2000,Recepciones!$B$5:$B$2000,Config!$A$25,Recepciones!$A$5:$A$2000,"&gt;"&amp;$A371,Recepciones!$A$5:$A$2000,"&lt;="&amp;$A372)&gt;0,SUMIFS(Recepciones!$C$5:$C$2000,Recepciones!$B$5:$B$2000,Config!$A$25,Recepciones!$A$5:$A$2000,"&gt;"&amp;$A371,Recepciones!$A$5:$A$2000,"&lt;="&amp;$A372),MAX(0,I372-I371)))</f>
        <v/>
      </c>
      <c r="K372" s="24" t="str">
        <f aca="false">IF($A372="","",MAX(0,I371+J372-I372))</f>
        <v/>
      </c>
      <c r="L372" s="24" t="str">
        <f aca="false">IF($A372="","",E372+H372+K372)</f>
        <v/>
      </c>
      <c r="M372" s="4" t="str">
        <f aca="false">IF($A372="","",IF(AND(D372+G372+J372&gt;0,SUMIFS(Recepciones!$C$5:$C$2000,Recepciones!$A$5:$A$2000,"&gt;"&amp;$A371,Recepciones!$A$5:$A$2000,"&lt;="&amp;$A372)=0),"Aumento de stock sin recepción registrada",IF(B372&gt;1,"Intervalo de "&amp;B372&amp;" días","")))</f>
        <v/>
      </c>
    </row>
    <row r="373" customFormat="false" ht="15" hidden="false" customHeight="false" outlineLevel="0" collapsed="false">
      <c r="A373" s="5" t="str">
        <f aca="false">IF(Stock_Diario!A373="","",Stock_Diario!A373)</f>
        <v/>
      </c>
      <c r="B373" s="4" t="str">
        <f aca="false">IF($A373="","",$A373-$A372)</f>
        <v/>
      </c>
      <c r="C373" s="24" t="str">
        <f aca="false">IF($A373="","",Stock_Diario!E373)</f>
        <v/>
      </c>
      <c r="D373" s="24" t="str">
        <f aca="false">IF($A373="","",IF(SUMIFS(Recepciones!$C$5:$C$2000,Recepciones!$B$5:$B$2000,Config!$A$23,Recepciones!$A$5:$A$2000,"&gt;"&amp;$A372,Recepciones!$A$5:$A$2000,"&lt;="&amp;$A373)&gt;0,SUMIFS(Recepciones!$C$5:$C$2000,Recepciones!$B$5:$B$2000,Config!$A$23,Recepciones!$A$5:$A$2000,"&gt;"&amp;$A372,Recepciones!$A$5:$A$2000,"&lt;="&amp;$A373),MAX(0,C373-C372)))</f>
        <v/>
      </c>
      <c r="E373" s="24" t="str">
        <f aca="false">IF($A373="","",MAX(0,C372+D373-C373))</f>
        <v/>
      </c>
      <c r="F373" s="24" t="str">
        <f aca="false">IF($A373="","",Stock_Diario!F373)</f>
        <v/>
      </c>
      <c r="G373" s="24" t="str">
        <f aca="false">IF($A373="","",IF(SUMIFS(Recepciones!$C$5:$C$2000,Recepciones!$B$5:$B$2000,Config!$A$24,Recepciones!$A$5:$A$2000,"&gt;"&amp;$A372,Recepciones!$A$5:$A$2000,"&lt;="&amp;$A373)&gt;0,SUMIFS(Recepciones!$C$5:$C$2000,Recepciones!$B$5:$B$2000,Config!$A$24,Recepciones!$A$5:$A$2000,"&gt;"&amp;$A372,Recepciones!$A$5:$A$2000,"&lt;="&amp;$A373),MAX(0,F373-F372)))</f>
        <v/>
      </c>
      <c r="H373" s="24" t="str">
        <f aca="false">IF($A373="","",MAX(0,F372+G373-F373))</f>
        <v/>
      </c>
      <c r="I373" s="24" t="str">
        <f aca="false">IF($A373="","",Stock_Diario!G373)</f>
        <v/>
      </c>
      <c r="J373" s="24" t="str">
        <f aca="false">IF($A373="","",IF(SUMIFS(Recepciones!$C$5:$C$2000,Recepciones!$B$5:$B$2000,Config!$A$25,Recepciones!$A$5:$A$2000,"&gt;"&amp;$A372,Recepciones!$A$5:$A$2000,"&lt;="&amp;$A373)&gt;0,SUMIFS(Recepciones!$C$5:$C$2000,Recepciones!$B$5:$B$2000,Config!$A$25,Recepciones!$A$5:$A$2000,"&gt;"&amp;$A372,Recepciones!$A$5:$A$2000,"&lt;="&amp;$A373),MAX(0,I373-I372)))</f>
        <v/>
      </c>
      <c r="K373" s="24" t="str">
        <f aca="false">IF($A373="","",MAX(0,I372+J373-I373))</f>
        <v/>
      </c>
      <c r="L373" s="24" t="str">
        <f aca="false">IF($A373="","",E373+H373+K373)</f>
        <v/>
      </c>
      <c r="M373" s="4" t="str">
        <f aca="false">IF($A373="","",IF(AND(D373+G373+J373&gt;0,SUMIFS(Recepciones!$C$5:$C$2000,Recepciones!$A$5:$A$2000,"&gt;"&amp;$A372,Recepciones!$A$5:$A$2000,"&lt;="&amp;$A373)=0),"Aumento de stock sin recepción registrada",IF(B373&gt;1,"Intervalo de "&amp;B373&amp;" días","")))</f>
        <v/>
      </c>
    </row>
    <row r="374" customFormat="false" ht="15" hidden="false" customHeight="false" outlineLevel="0" collapsed="false">
      <c r="A374" s="5" t="str">
        <f aca="false">IF(Stock_Diario!A374="","",Stock_Diario!A374)</f>
        <v/>
      </c>
      <c r="B374" s="4" t="str">
        <f aca="false">IF($A374="","",$A374-$A373)</f>
        <v/>
      </c>
      <c r="C374" s="24" t="str">
        <f aca="false">IF($A374="","",Stock_Diario!E374)</f>
        <v/>
      </c>
      <c r="D374" s="24" t="str">
        <f aca="false">IF($A374="","",IF(SUMIFS(Recepciones!$C$5:$C$2000,Recepciones!$B$5:$B$2000,Config!$A$23,Recepciones!$A$5:$A$2000,"&gt;"&amp;$A373,Recepciones!$A$5:$A$2000,"&lt;="&amp;$A374)&gt;0,SUMIFS(Recepciones!$C$5:$C$2000,Recepciones!$B$5:$B$2000,Config!$A$23,Recepciones!$A$5:$A$2000,"&gt;"&amp;$A373,Recepciones!$A$5:$A$2000,"&lt;="&amp;$A374),MAX(0,C374-C373)))</f>
        <v/>
      </c>
      <c r="E374" s="24" t="str">
        <f aca="false">IF($A374="","",MAX(0,C373+D374-C374))</f>
        <v/>
      </c>
      <c r="F374" s="24" t="str">
        <f aca="false">IF($A374="","",Stock_Diario!F374)</f>
        <v/>
      </c>
      <c r="G374" s="24" t="str">
        <f aca="false">IF($A374="","",IF(SUMIFS(Recepciones!$C$5:$C$2000,Recepciones!$B$5:$B$2000,Config!$A$24,Recepciones!$A$5:$A$2000,"&gt;"&amp;$A373,Recepciones!$A$5:$A$2000,"&lt;="&amp;$A374)&gt;0,SUMIFS(Recepciones!$C$5:$C$2000,Recepciones!$B$5:$B$2000,Config!$A$24,Recepciones!$A$5:$A$2000,"&gt;"&amp;$A373,Recepciones!$A$5:$A$2000,"&lt;="&amp;$A374),MAX(0,F374-F373)))</f>
        <v/>
      </c>
      <c r="H374" s="24" t="str">
        <f aca="false">IF($A374="","",MAX(0,F373+G374-F374))</f>
        <v/>
      </c>
      <c r="I374" s="24" t="str">
        <f aca="false">IF($A374="","",Stock_Diario!G374)</f>
        <v/>
      </c>
      <c r="J374" s="24" t="str">
        <f aca="false">IF($A374="","",IF(SUMIFS(Recepciones!$C$5:$C$2000,Recepciones!$B$5:$B$2000,Config!$A$25,Recepciones!$A$5:$A$2000,"&gt;"&amp;$A373,Recepciones!$A$5:$A$2000,"&lt;="&amp;$A374)&gt;0,SUMIFS(Recepciones!$C$5:$C$2000,Recepciones!$B$5:$B$2000,Config!$A$25,Recepciones!$A$5:$A$2000,"&gt;"&amp;$A373,Recepciones!$A$5:$A$2000,"&lt;="&amp;$A374),MAX(0,I374-I373)))</f>
        <v/>
      </c>
      <c r="K374" s="24" t="str">
        <f aca="false">IF($A374="","",MAX(0,I373+J374-I374))</f>
        <v/>
      </c>
      <c r="L374" s="24" t="str">
        <f aca="false">IF($A374="","",E374+H374+K374)</f>
        <v/>
      </c>
      <c r="M374" s="4" t="str">
        <f aca="false">IF($A374="","",IF(AND(D374+G374+J374&gt;0,SUMIFS(Recepciones!$C$5:$C$2000,Recepciones!$A$5:$A$2000,"&gt;"&amp;$A373,Recepciones!$A$5:$A$2000,"&lt;="&amp;$A374)=0),"Aumento de stock sin recepción registrada",IF(B374&gt;1,"Intervalo de "&amp;B374&amp;" días","")))</f>
        <v/>
      </c>
    </row>
    <row r="375" customFormat="false" ht="15" hidden="false" customHeight="false" outlineLevel="0" collapsed="false">
      <c r="A375" s="5" t="str">
        <f aca="false">IF(Stock_Diario!A375="","",Stock_Diario!A375)</f>
        <v/>
      </c>
      <c r="B375" s="4" t="str">
        <f aca="false">IF($A375="","",$A375-$A374)</f>
        <v/>
      </c>
      <c r="C375" s="24" t="str">
        <f aca="false">IF($A375="","",Stock_Diario!E375)</f>
        <v/>
      </c>
      <c r="D375" s="24" t="str">
        <f aca="false">IF($A375="","",IF(SUMIFS(Recepciones!$C$5:$C$2000,Recepciones!$B$5:$B$2000,Config!$A$23,Recepciones!$A$5:$A$2000,"&gt;"&amp;$A374,Recepciones!$A$5:$A$2000,"&lt;="&amp;$A375)&gt;0,SUMIFS(Recepciones!$C$5:$C$2000,Recepciones!$B$5:$B$2000,Config!$A$23,Recepciones!$A$5:$A$2000,"&gt;"&amp;$A374,Recepciones!$A$5:$A$2000,"&lt;="&amp;$A375),MAX(0,C375-C374)))</f>
        <v/>
      </c>
      <c r="E375" s="24" t="str">
        <f aca="false">IF($A375="","",MAX(0,C374+D375-C375))</f>
        <v/>
      </c>
      <c r="F375" s="24" t="str">
        <f aca="false">IF($A375="","",Stock_Diario!F375)</f>
        <v/>
      </c>
      <c r="G375" s="24" t="str">
        <f aca="false">IF($A375="","",IF(SUMIFS(Recepciones!$C$5:$C$2000,Recepciones!$B$5:$B$2000,Config!$A$24,Recepciones!$A$5:$A$2000,"&gt;"&amp;$A374,Recepciones!$A$5:$A$2000,"&lt;="&amp;$A375)&gt;0,SUMIFS(Recepciones!$C$5:$C$2000,Recepciones!$B$5:$B$2000,Config!$A$24,Recepciones!$A$5:$A$2000,"&gt;"&amp;$A374,Recepciones!$A$5:$A$2000,"&lt;="&amp;$A375),MAX(0,F375-F374)))</f>
        <v/>
      </c>
      <c r="H375" s="24" t="str">
        <f aca="false">IF($A375="","",MAX(0,F374+G375-F375))</f>
        <v/>
      </c>
      <c r="I375" s="24" t="str">
        <f aca="false">IF($A375="","",Stock_Diario!G375)</f>
        <v/>
      </c>
      <c r="J375" s="24" t="str">
        <f aca="false">IF($A375="","",IF(SUMIFS(Recepciones!$C$5:$C$2000,Recepciones!$B$5:$B$2000,Config!$A$25,Recepciones!$A$5:$A$2000,"&gt;"&amp;$A374,Recepciones!$A$5:$A$2000,"&lt;="&amp;$A375)&gt;0,SUMIFS(Recepciones!$C$5:$C$2000,Recepciones!$B$5:$B$2000,Config!$A$25,Recepciones!$A$5:$A$2000,"&gt;"&amp;$A374,Recepciones!$A$5:$A$2000,"&lt;="&amp;$A375),MAX(0,I375-I374)))</f>
        <v/>
      </c>
      <c r="K375" s="24" t="str">
        <f aca="false">IF($A375="","",MAX(0,I374+J375-I375))</f>
        <v/>
      </c>
      <c r="L375" s="24" t="str">
        <f aca="false">IF($A375="","",E375+H375+K375)</f>
        <v/>
      </c>
      <c r="M375" s="4" t="str">
        <f aca="false">IF($A375="","",IF(AND(D375+G375+J375&gt;0,SUMIFS(Recepciones!$C$5:$C$2000,Recepciones!$A$5:$A$2000,"&gt;"&amp;$A374,Recepciones!$A$5:$A$2000,"&lt;="&amp;$A375)=0),"Aumento de stock sin recepción registrada",IF(B375&gt;1,"Intervalo de "&amp;B375&amp;" días","")))</f>
        <v/>
      </c>
    </row>
    <row r="376" customFormat="false" ht="15" hidden="false" customHeight="false" outlineLevel="0" collapsed="false">
      <c r="A376" s="5" t="str">
        <f aca="false">IF(Stock_Diario!A376="","",Stock_Diario!A376)</f>
        <v/>
      </c>
      <c r="B376" s="4" t="str">
        <f aca="false">IF($A376="","",$A376-$A375)</f>
        <v/>
      </c>
      <c r="C376" s="24" t="str">
        <f aca="false">IF($A376="","",Stock_Diario!E376)</f>
        <v/>
      </c>
      <c r="D376" s="24" t="str">
        <f aca="false">IF($A376="","",IF(SUMIFS(Recepciones!$C$5:$C$2000,Recepciones!$B$5:$B$2000,Config!$A$23,Recepciones!$A$5:$A$2000,"&gt;"&amp;$A375,Recepciones!$A$5:$A$2000,"&lt;="&amp;$A376)&gt;0,SUMIFS(Recepciones!$C$5:$C$2000,Recepciones!$B$5:$B$2000,Config!$A$23,Recepciones!$A$5:$A$2000,"&gt;"&amp;$A375,Recepciones!$A$5:$A$2000,"&lt;="&amp;$A376),MAX(0,C376-C375)))</f>
        <v/>
      </c>
      <c r="E376" s="24" t="str">
        <f aca="false">IF($A376="","",MAX(0,C375+D376-C376))</f>
        <v/>
      </c>
      <c r="F376" s="24" t="str">
        <f aca="false">IF($A376="","",Stock_Diario!F376)</f>
        <v/>
      </c>
      <c r="G376" s="24" t="str">
        <f aca="false">IF($A376="","",IF(SUMIFS(Recepciones!$C$5:$C$2000,Recepciones!$B$5:$B$2000,Config!$A$24,Recepciones!$A$5:$A$2000,"&gt;"&amp;$A375,Recepciones!$A$5:$A$2000,"&lt;="&amp;$A376)&gt;0,SUMIFS(Recepciones!$C$5:$C$2000,Recepciones!$B$5:$B$2000,Config!$A$24,Recepciones!$A$5:$A$2000,"&gt;"&amp;$A375,Recepciones!$A$5:$A$2000,"&lt;="&amp;$A376),MAX(0,F376-F375)))</f>
        <v/>
      </c>
      <c r="H376" s="24" t="str">
        <f aca="false">IF($A376="","",MAX(0,F375+G376-F376))</f>
        <v/>
      </c>
      <c r="I376" s="24" t="str">
        <f aca="false">IF($A376="","",Stock_Diario!G376)</f>
        <v/>
      </c>
      <c r="J376" s="24" t="str">
        <f aca="false">IF($A376="","",IF(SUMIFS(Recepciones!$C$5:$C$2000,Recepciones!$B$5:$B$2000,Config!$A$25,Recepciones!$A$5:$A$2000,"&gt;"&amp;$A375,Recepciones!$A$5:$A$2000,"&lt;="&amp;$A376)&gt;0,SUMIFS(Recepciones!$C$5:$C$2000,Recepciones!$B$5:$B$2000,Config!$A$25,Recepciones!$A$5:$A$2000,"&gt;"&amp;$A375,Recepciones!$A$5:$A$2000,"&lt;="&amp;$A376),MAX(0,I376-I375)))</f>
        <v/>
      </c>
      <c r="K376" s="24" t="str">
        <f aca="false">IF($A376="","",MAX(0,I375+J376-I376))</f>
        <v/>
      </c>
      <c r="L376" s="24" t="str">
        <f aca="false">IF($A376="","",E376+H376+K376)</f>
        <v/>
      </c>
      <c r="M376" s="4" t="str">
        <f aca="false">IF($A376="","",IF(AND(D376+G376+J376&gt;0,SUMIFS(Recepciones!$C$5:$C$2000,Recepciones!$A$5:$A$2000,"&gt;"&amp;$A375,Recepciones!$A$5:$A$2000,"&lt;="&amp;$A376)=0),"Aumento de stock sin recepción registrada",IF(B376&gt;1,"Intervalo de "&amp;B376&amp;" días","")))</f>
        <v/>
      </c>
    </row>
    <row r="377" customFormat="false" ht="15" hidden="false" customHeight="false" outlineLevel="0" collapsed="false">
      <c r="A377" s="5" t="str">
        <f aca="false">IF(Stock_Diario!A377="","",Stock_Diario!A377)</f>
        <v/>
      </c>
      <c r="B377" s="4" t="str">
        <f aca="false">IF($A377="","",$A377-$A376)</f>
        <v/>
      </c>
      <c r="C377" s="24" t="str">
        <f aca="false">IF($A377="","",Stock_Diario!E377)</f>
        <v/>
      </c>
      <c r="D377" s="24" t="str">
        <f aca="false">IF($A377="","",IF(SUMIFS(Recepciones!$C$5:$C$2000,Recepciones!$B$5:$B$2000,Config!$A$23,Recepciones!$A$5:$A$2000,"&gt;"&amp;$A376,Recepciones!$A$5:$A$2000,"&lt;="&amp;$A377)&gt;0,SUMIFS(Recepciones!$C$5:$C$2000,Recepciones!$B$5:$B$2000,Config!$A$23,Recepciones!$A$5:$A$2000,"&gt;"&amp;$A376,Recepciones!$A$5:$A$2000,"&lt;="&amp;$A377),MAX(0,C377-C376)))</f>
        <v/>
      </c>
      <c r="E377" s="24" t="str">
        <f aca="false">IF($A377="","",MAX(0,C376+D377-C377))</f>
        <v/>
      </c>
      <c r="F377" s="24" t="str">
        <f aca="false">IF($A377="","",Stock_Diario!F377)</f>
        <v/>
      </c>
      <c r="G377" s="24" t="str">
        <f aca="false">IF($A377="","",IF(SUMIFS(Recepciones!$C$5:$C$2000,Recepciones!$B$5:$B$2000,Config!$A$24,Recepciones!$A$5:$A$2000,"&gt;"&amp;$A376,Recepciones!$A$5:$A$2000,"&lt;="&amp;$A377)&gt;0,SUMIFS(Recepciones!$C$5:$C$2000,Recepciones!$B$5:$B$2000,Config!$A$24,Recepciones!$A$5:$A$2000,"&gt;"&amp;$A376,Recepciones!$A$5:$A$2000,"&lt;="&amp;$A377),MAX(0,F377-F376)))</f>
        <v/>
      </c>
      <c r="H377" s="24" t="str">
        <f aca="false">IF($A377="","",MAX(0,F376+G377-F377))</f>
        <v/>
      </c>
      <c r="I377" s="24" t="str">
        <f aca="false">IF($A377="","",Stock_Diario!G377)</f>
        <v/>
      </c>
      <c r="J377" s="24" t="str">
        <f aca="false">IF($A377="","",IF(SUMIFS(Recepciones!$C$5:$C$2000,Recepciones!$B$5:$B$2000,Config!$A$25,Recepciones!$A$5:$A$2000,"&gt;"&amp;$A376,Recepciones!$A$5:$A$2000,"&lt;="&amp;$A377)&gt;0,SUMIFS(Recepciones!$C$5:$C$2000,Recepciones!$B$5:$B$2000,Config!$A$25,Recepciones!$A$5:$A$2000,"&gt;"&amp;$A376,Recepciones!$A$5:$A$2000,"&lt;="&amp;$A377),MAX(0,I377-I376)))</f>
        <v/>
      </c>
      <c r="K377" s="24" t="str">
        <f aca="false">IF($A377="","",MAX(0,I376+J377-I377))</f>
        <v/>
      </c>
      <c r="L377" s="24" t="str">
        <f aca="false">IF($A377="","",E377+H377+K377)</f>
        <v/>
      </c>
      <c r="M377" s="4" t="str">
        <f aca="false">IF($A377="","",IF(AND(D377+G377+J377&gt;0,SUMIFS(Recepciones!$C$5:$C$2000,Recepciones!$A$5:$A$2000,"&gt;"&amp;$A376,Recepciones!$A$5:$A$2000,"&lt;="&amp;$A377)=0),"Aumento de stock sin recepción registrada",IF(B377&gt;1,"Intervalo de "&amp;B377&amp;" días","")))</f>
        <v/>
      </c>
    </row>
    <row r="378" customFormat="false" ht="15" hidden="false" customHeight="false" outlineLevel="0" collapsed="false">
      <c r="A378" s="5" t="str">
        <f aca="false">IF(Stock_Diario!A378="","",Stock_Diario!A378)</f>
        <v/>
      </c>
      <c r="B378" s="4" t="str">
        <f aca="false">IF($A378="","",$A378-$A377)</f>
        <v/>
      </c>
      <c r="C378" s="24" t="str">
        <f aca="false">IF($A378="","",Stock_Diario!E378)</f>
        <v/>
      </c>
      <c r="D378" s="24" t="str">
        <f aca="false">IF($A378="","",IF(SUMIFS(Recepciones!$C$5:$C$2000,Recepciones!$B$5:$B$2000,Config!$A$23,Recepciones!$A$5:$A$2000,"&gt;"&amp;$A377,Recepciones!$A$5:$A$2000,"&lt;="&amp;$A378)&gt;0,SUMIFS(Recepciones!$C$5:$C$2000,Recepciones!$B$5:$B$2000,Config!$A$23,Recepciones!$A$5:$A$2000,"&gt;"&amp;$A377,Recepciones!$A$5:$A$2000,"&lt;="&amp;$A378),MAX(0,C378-C377)))</f>
        <v/>
      </c>
      <c r="E378" s="24" t="str">
        <f aca="false">IF($A378="","",MAX(0,C377+D378-C378))</f>
        <v/>
      </c>
      <c r="F378" s="24" t="str">
        <f aca="false">IF($A378="","",Stock_Diario!F378)</f>
        <v/>
      </c>
      <c r="G378" s="24" t="str">
        <f aca="false">IF($A378="","",IF(SUMIFS(Recepciones!$C$5:$C$2000,Recepciones!$B$5:$B$2000,Config!$A$24,Recepciones!$A$5:$A$2000,"&gt;"&amp;$A377,Recepciones!$A$5:$A$2000,"&lt;="&amp;$A378)&gt;0,SUMIFS(Recepciones!$C$5:$C$2000,Recepciones!$B$5:$B$2000,Config!$A$24,Recepciones!$A$5:$A$2000,"&gt;"&amp;$A377,Recepciones!$A$5:$A$2000,"&lt;="&amp;$A378),MAX(0,F378-F377)))</f>
        <v/>
      </c>
      <c r="H378" s="24" t="str">
        <f aca="false">IF($A378="","",MAX(0,F377+G378-F378))</f>
        <v/>
      </c>
      <c r="I378" s="24" t="str">
        <f aca="false">IF($A378="","",Stock_Diario!G378)</f>
        <v/>
      </c>
      <c r="J378" s="24" t="str">
        <f aca="false">IF($A378="","",IF(SUMIFS(Recepciones!$C$5:$C$2000,Recepciones!$B$5:$B$2000,Config!$A$25,Recepciones!$A$5:$A$2000,"&gt;"&amp;$A377,Recepciones!$A$5:$A$2000,"&lt;="&amp;$A378)&gt;0,SUMIFS(Recepciones!$C$5:$C$2000,Recepciones!$B$5:$B$2000,Config!$A$25,Recepciones!$A$5:$A$2000,"&gt;"&amp;$A377,Recepciones!$A$5:$A$2000,"&lt;="&amp;$A378),MAX(0,I378-I377)))</f>
        <v/>
      </c>
      <c r="K378" s="24" t="str">
        <f aca="false">IF($A378="","",MAX(0,I377+J378-I378))</f>
        <v/>
      </c>
      <c r="L378" s="24" t="str">
        <f aca="false">IF($A378="","",E378+H378+K378)</f>
        <v/>
      </c>
      <c r="M378" s="4" t="str">
        <f aca="false">IF($A378="","",IF(AND(D378+G378+J378&gt;0,SUMIFS(Recepciones!$C$5:$C$2000,Recepciones!$A$5:$A$2000,"&gt;"&amp;$A377,Recepciones!$A$5:$A$2000,"&lt;="&amp;$A378)=0),"Aumento de stock sin recepción registrada",IF(B378&gt;1,"Intervalo de "&amp;B378&amp;" días","")))</f>
        <v/>
      </c>
    </row>
    <row r="379" customFormat="false" ht="15" hidden="false" customHeight="false" outlineLevel="0" collapsed="false">
      <c r="A379" s="5" t="str">
        <f aca="false">IF(Stock_Diario!A379="","",Stock_Diario!A379)</f>
        <v/>
      </c>
      <c r="B379" s="4" t="str">
        <f aca="false">IF($A379="","",$A379-$A378)</f>
        <v/>
      </c>
      <c r="C379" s="24" t="str">
        <f aca="false">IF($A379="","",Stock_Diario!E379)</f>
        <v/>
      </c>
      <c r="D379" s="24" t="str">
        <f aca="false">IF($A379="","",IF(SUMIFS(Recepciones!$C$5:$C$2000,Recepciones!$B$5:$B$2000,Config!$A$23,Recepciones!$A$5:$A$2000,"&gt;"&amp;$A378,Recepciones!$A$5:$A$2000,"&lt;="&amp;$A379)&gt;0,SUMIFS(Recepciones!$C$5:$C$2000,Recepciones!$B$5:$B$2000,Config!$A$23,Recepciones!$A$5:$A$2000,"&gt;"&amp;$A378,Recepciones!$A$5:$A$2000,"&lt;="&amp;$A379),MAX(0,C379-C378)))</f>
        <v/>
      </c>
      <c r="E379" s="24" t="str">
        <f aca="false">IF($A379="","",MAX(0,C378+D379-C379))</f>
        <v/>
      </c>
      <c r="F379" s="24" t="str">
        <f aca="false">IF($A379="","",Stock_Diario!F379)</f>
        <v/>
      </c>
      <c r="G379" s="24" t="str">
        <f aca="false">IF($A379="","",IF(SUMIFS(Recepciones!$C$5:$C$2000,Recepciones!$B$5:$B$2000,Config!$A$24,Recepciones!$A$5:$A$2000,"&gt;"&amp;$A378,Recepciones!$A$5:$A$2000,"&lt;="&amp;$A379)&gt;0,SUMIFS(Recepciones!$C$5:$C$2000,Recepciones!$B$5:$B$2000,Config!$A$24,Recepciones!$A$5:$A$2000,"&gt;"&amp;$A378,Recepciones!$A$5:$A$2000,"&lt;="&amp;$A379),MAX(0,F379-F378)))</f>
        <v/>
      </c>
      <c r="H379" s="24" t="str">
        <f aca="false">IF($A379="","",MAX(0,F378+G379-F379))</f>
        <v/>
      </c>
      <c r="I379" s="24" t="str">
        <f aca="false">IF($A379="","",Stock_Diario!G379)</f>
        <v/>
      </c>
      <c r="J379" s="24" t="str">
        <f aca="false">IF($A379="","",IF(SUMIFS(Recepciones!$C$5:$C$2000,Recepciones!$B$5:$B$2000,Config!$A$25,Recepciones!$A$5:$A$2000,"&gt;"&amp;$A378,Recepciones!$A$5:$A$2000,"&lt;="&amp;$A379)&gt;0,SUMIFS(Recepciones!$C$5:$C$2000,Recepciones!$B$5:$B$2000,Config!$A$25,Recepciones!$A$5:$A$2000,"&gt;"&amp;$A378,Recepciones!$A$5:$A$2000,"&lt;="&amp;$A379),MAX(0,I379-I378)))</f>
        <v/>
      </c>
      <c r="K379" s="24" t="str">
        <f aca="false">IF($A379="","",MAX(0,I378+J379-I379))</f>
        <v/>
      </c>
      <c r="L379" s="24" t="str">
        <f aca="false">IF($A379="","",E379+H379+K379)</f>
        <v/>
      </c>
      <c r="M379" s="4" t="str">
        <f aca="false">IF($A379="","",IF(AND(D379+G379+J379&gt;0,SUMIFS(Recepciones!$C$5:$C$2000,Recepciones!$A$5:$A$2000,"&gt;"&amp;$A378,Recepciones!$A$5:$A$2000,"&lt;="&amp;$A379)=0),"Aumento de stock sin recepción registrada",IF(B379&gt;1,"Intervalo de "&amp;B379&amp;" días","")))</f>
        <v/>
      </c>
    </row>
    <row r="380" customFormat="false" ht="15" hidden="false" customHeight="false" outlineLevel="0" collapsed="false">
      <c r="A380" s="5" t="str">
        <f aca="false">IF(Stock_Diario!A380="","",Stock_Diario!A380)</f>
        <v/>
      </c>
      <c r="B380" s="4" t="str">
        <f aca="false">IF($A380="","",$A380-$A379)</f>
        <v/>
      </c>
      <c r="C380" s="24" t="str">
        <f aca="false">IF($A380="","",Stock_Diario!E380)</f>
        <v/>
      </c>
      <c r="D380" s="24" t="str">
        <f aca="false">IF($A380="","",IF(SUMIFS(Recepciones!$C$5:$C$2000,Recepciones!$B$5:$B$2000,Config!$A$23,Recepciones!$A$5:$A$2000,"&gt;"&amp;$A379,Recepciones!$A$5:$A$2000,"&lt;="&amp;$A380)&gt;0,SUMIFS(Recepciones!$C$5:$C$2000,Recepciones!$B$5:$B$2000,Config!$A$23,Recepciones!$A$5:$A$2000,"&gt;"&amp;$A379,Recepciones!$A$5:$A$2000,"&lt;="&amp;$A380),MAX(0,C380-C379)))</f>
        <v/>
      </c>
      <c r="E380" s="24" t="str">
        <f aca="false">IF($A380="","",MAX(0,C379+D380-C380))</f>
        <v/>
      </c>
      <c r="F380" s="24" t="str">
        <f aca="false">IF($A380="","",Stock_Diario!F380)</f>
        <v/>
      </c>
      <c r="G380" s="24" t="str">
        <f aca="false">IF($A380="","",IF(SUMIFS(Recepciones!$C$5:$C$2000,Recepciones!$B$5:$B$2000,Config!$A$24,Recepciones!$A$5:$A$2000,"&gt;"&amp;$A379,Recepciones!$A$5:$A$2000,"&lt;="&amp;$A380)&gt;0,SUMIFS(Recepciones!$C$5:$C$2000,Recepciones!$B$5:$B$2000,Config!$A$24,Recepciones!$A$5:$A$2000,"&gt;"&amp;$A379,Recepciones!$A$5:$A$2000,"&lt;="&amp;$A380),MAX(0,F380-F379)))</f>
        <v/>
      </c>
      <c r="H380" s="24" t="str">
        <f aca="false">IF($A380="","",MAX(0,F379+G380-F380))</f>
        <v/>
      </c>
      <c r="I380" s="24" t="str">
        <f aca="false">IF($A380="","",Stock_Diario!G380)</f>
        <v/>
      </c>
      <c r="J380" s="24" t="str">
        <f aca="false">IF($A380="","",IF(SUMIFS(Recepciones!$C$5:$C$2000,Recepciones!$B$5:$B$2000,Config!$A$25,Recepciones!$A$5:$A$2000,"&gt;"&amp;$A379,Recepciones!$A$5:$A$2000,"&lt;="&amp;$A380)&gt;0,SUMIFS(Recepciones!$C$5:$C$2000,Recepciones!$B$5:$B$2000,Config!$A$25,Recepciones!$A$5:$A$2000,"&gt;"&amp;$A379,Recepciones!$A$5:$A$2000,"&lt;="&amp;$A380),MAX(0,I380-I379)))</f>
        <v/>
      </c>
      <c r="K380" s="24" t="str">
        <f aca="false">IF($A380="","",MAX(0,I379+J380-I380))</f>
        <v/>
      </c>
      <c r="L380" s="24" t="str">
        <f aca="false">IF($A380="","",E380+H380+K380)</f>
        <v/>
      </c>
      <c r="M380" s="4" t="str">
        <f aca="false">IF($A380="","",IF(AND(D380+G380+J380&gt;0,SUMIFS(Recepciones!$C$5:$C$2000,Recepciones!$A$5:$A$2000,"&gt;"&amp;$A379,Recepciones!$A$5:$A$2000,"&lt;="&amp;$A380)=0),"Aumento de stock sin recepción registrada",IF(B380&gt;1,"Intervalo de "&amp;B380&amp;" días","")))</f>
        <v/>
      </c>
    </row>
    <row r="381" customFormat="false" ht="15" hidden="false" customHeight="false" outlineLevel="0" collapsed="false">
      <c r="A381" s="5" t="str">
        <f aca="false">IF(Stock_Diario!A381="","",Stock_Diario!A381)</f>
        <v/>
      </c>
      <c r="B381" s="4" t="str">
        <f aca="false">IF($A381="","",$A381-$A380)</f>
        <v/>
      </c>
      <c r="C381" s="24" t="str">
        <f aca="false">IF($A381="","",Stock_Diario!E381)</f>
        <v/>
      </c>
      <c r="D381" s="24" t="str">
        <f aca="false">IF($A381="","",IF(SUMIFS(Recepciones!$C$5:$C$2000,Recepciones!$B$5:$B$2000,Config!$A$23,Recepciones!$A$5:$A$2000,"&gt;"&amp;$A380,Recepciones!$A$5:$A$2000,"&lt;="&amp;$A381)&gt;0,SUMIFS(Recepciones!$C$5:$C$2000,Recepciones!$B$5:$B$2000,Config!$A$23,Recepciones!$A$5:$A$2000,"&gt;"&amp;$A380,Recepciones!$A$5:$A$2000,"&lt;="&amp;$A381),MAX(0,C381-C380)))</f>
        <v/>
      </c>
      <c r="E381" s="24" t="str">
        <f aca="false">IF($A381="","",MAX(0,C380+D381-C381))</f>
        <v/>
      </c>
      <c r="F381" s="24" t="str">
        <f aca="false">IF($A381="","",Stock_Diario!F381)</f>
        <v/>
      </c>
      <c r="G381" s="24" t="str">
        <f aca="false">IF($A381="","",IF(SUMIFS(Recepciones!$C$5:$C$2000,Recepciones!$B$5:$B$2000,Config!$A$24,Recepciones!$A$5:$A$2000,"&gt;"&amp;$A380,Recepciones!$A$5:$A$2000,"&lt;="&amp;$A381)&gt;0,SUMIFS(Recepciones!$C$5:$C$2000,Recepciones!$B$5:$B$2000,Config!$A$24,Recepciones!$A$5:$A$2000,"&gt;"&amp;$A380,Recepciones!$A$5:$A$2000,"&lt;="&amp;$A381),MAX(0,F381-F380)))</f>
        <v/>
      </c>
      <c r="H381" s="24" t="str">
        <f aca="false">IF($A381="","",MAX(0,F380+G381-F381))</f>
        <v/>
      </c>
      <c r="I381" s="24" t="str">
        <f aca="false">IF($A381="","",Stock_Diario!G381)</f>
        <v/>
      </c>
      <c r="J381" s="24" t="str">
        <f aca="false">IF($A381="","",IF(SUMIFS(Recepciones!$C$5:$C$2000,Recepciones!$B$5:$B$2000,Config!$A$25,Recepciones!$A$5:$A$2000,"&gt;"&amp;$A380,Recepciones!$A$5:$A$2000,"&lt;="&amp;$A381)&gt;0,SUMIFS(Recepciones!$C$5:$C$2000,Recepciones!$B$5:$B$2000,Config!$A$25,Recepciones!$A$5:$A$2000,"&gt;"&amp;$A380,Recepciones!$A$5:$A$2000,"&lt;="&amp;$A381),MAX(0,I381-I380)))</f>
        <v/>
      </c>
      <c r="K381" s="24" t="str">
        <f aca="false">IF($A381="","",MAX(0,I380+J381-I381))</f>
        <v/>
      </c>
      <c r="L381" s="24" t="str">
        <f aca="false">IF($A381="","",E381+H381+K381)</f>
        <v/>
      </c>
      <c r="M381" s="4" t="str">
        <f aca="false">IF($A381="","",IF(AND(D381+G381+J381&gt;0,SUMIFS(Recepciones!$C$5:$C$2000,Recepciones!$A$5:$A$2000,"&gt;"&amp;$A380,Recepciones!$A$5:$A$2000,"&lt;="&amp;$A381)=0),"Aumento de stock sin recepción registrada",IF(B381&gt;1,"Intervalo de "&amp;B381&amp;" días","")))</f>
        <v/>
      </c>
    </row>
    <row r="382" customFormat="false" ht="15" hidden="false" customHeight="false" outlineLevel="0" collapsed="false">
      <c r="A382" s="5" t="str">
        <f aca="false">IF(Stock_Diario!A382="","",Stock_Diario!A382)</f>
        <v/>
      </c>
      <c r="B382" s="4" t="str">
        <f aca="false">IF($A382="","",$A382-$A381)</f>
        <v/>
      </c>
      <c r="C382" s="24" t="str">
        <f aca="false">IF($A382="","",Stock_Diario!E382)</f>
        <v/>
      </c>
      <c r="D382" s="24" t="str">
        <f aca="false">IF($A382="","",IF(SUMIFS(Recepciones!$C$5:$C$2000,Recepciones!$B$5:$B$2000,Config!$A$23,Recepciones!$A$5:$A$2000,"&gt;"&amp;$A381,Recepciones!$A$5:$A$2000,"&lt;="&amp;$A382)&gt;0,SUMIFS(Recepciones!$C$5:$C$2000,Recepciones!$B$5:$B$2000,Config!$A$23,Recepciones!$A$5:$A$2000,"&gt;"&amp;$A381,Recepciones!$A$5:$A$2000,"&lt;="&amp;$A382),MAX(0,C382-C381)))</f>
        <v/>
      </c>
      <c r="E382" s="24" t="str">
        <f aca="false">IF($A382="","",MAX(0,C381+D382-C382))</f>
        <v/>
      </c>
      <c r="F382" s="24" t="str">
        <f aca="false">IF($A382="","",Stock_Diario!F382)</f>
        <v/>
      </c>
      <c r="G382" s="24" t="str">
        <f aca="false">IF($A382="","",IF(SUMIFS(Recepciones!$C$5:$C$2000,Recepciones!$B$5:$B$2000,Config!$A$24,Recepciones!$A$5:$A$2000,"&gt;"&amp;$A381,Recepciones!$A$5:$A$2000,"&lt;="&amp;$A382)&gt;0,SUMIFS(Recepciones!$C$5:$C$2000,Recepciones!$B$5:$B$2000,Config!$A$24,Recepciones!$A$5:$A$2000,"&gt;"&amp;$A381,Recepciones!$A$5:$A$2000,"&lt;="&amp;$A382),MAX(0,F382-F381)))</f>
        <v/>
      </c>
      <c r="H382" s="24" t="str">
        <f aca="false">IF($A382="","",MAX(0,F381+G382-F382))</f>
        <v/>
      </c>
      <c r="I382" s="24" t="str">
        <f aca="false">IF($A382="","",Stock_Diario!G382)</f>
        <v/>
      </c>
      <c r="J382" s="24" t="str">
        <f aca="false">IF($A382="","",IF(SUMIFS(Recepciones!$C$5:$C$2000,Recepciones!$B$5:$B$2000,Config!$A$25,Recepciones!$A$5:$A$2000,"&gt;"&amp;$A381,Recepciones!$A$5:$A$2000,"&lt;="&amp;$A382)&gt;0,SUMIFS(Recepciones!$C$5:$C$2000,Recepciones!$B$5:$B$2000,Config!$A$25,Recepciones!$A$5:$A$2000,"&gt;"&amp;$A381,Recepciones!$A$5:$A$2000,"&lt;="&amp;$A382),MAX(0,I382-I381)))</f>
        <v/>
      </c>
      <c r="K382" s="24" t="str">
        <f aca="false">IF($A382="","",MAX(0,I381+J382-I382))</f>
        <v/>
      </c>
      <c r="L382" s="24" t="str">
        <f aca="false">IF($A382="","",E382+H382+K382)</f>
        <v/>
      </c>
      <c r="M382" s="4" t="str">
        <f aca="false">IF($A382="","",IF(AND(D382+G382+J382&gt;0,SUMIFS(Recepciones!$C$5:$C$2000,Recepciones!$A$5:$A$2000,"&gt;"&amp;$A381,Recepciones!$A$5:$A$2000,"&lt;="&amp;$A382)=0),"Aumento de stock sin recepción registrada",IF(B382&gt;1,"Intervalo de "&amp;B382&amp;" días","")))</f>
        <v/>
      </c>
    </row>
    <row r="383" customFormat="false" ht="15" hidden="false" customHeight="false" outlineLevel="0" collapsed="false">
      <c r="A383" s="5" t="str">
        <f aca="false">IF(Stock_Diario!A383="","",Stock_Diario!A383)</f>
        <v/>
      </c>
      <c r="B383" s="4" t="str">
        <f aca="false">IF($A383="","",$A383-$A382)</f>
        <v/>
      </c>
      <c r="C383" s="24" t="str">
        <f aca="false">IF($A383="","",Stock_Diario!E383)</f>
        <v/>
      </c>
      <c r="D383" s="24" t="str">
        <f aca="false">IF($A383="","",IF(SUMIFS(Recepciones!$C$5:$C$2000,Recepciones!$B$5:$B$2000,Config!$A$23,Recepciones!$A$5:$A$2000,"&gt;"&amp;$A382,Recepciones!$A$5:$A$2000,"&lt;="&amp;$A383)&gt;0,SUMIFS(Recepciones!$C$5:$C$2000,Recepciones!$B$5:$B$2000,Config!$A$23,Recepciones!$A$5:$A$2000,"&gt;"&amp;$A382,Recepciones!$A$5:$A$2000,"&lt;="&amp;$A383),MAX(0,C383-C382)))</f>
        <v/>
      </c>
      <c r="E383" s="24" t="str">
        <f aca="false">IF($A383="","",MAX(0,C382+D383-C383))</f>
        <v/>
      </c>
      <c r="F383" s="24" t="str">
        <f aca="false">IF($A383="","",Stock_Diario!F383)</f>
        <v/>
      </c>
      <c r="G383" s="24" t="str">
        <f aca="false">IF($A383="","",IF(SUMIFS(Recepciones!$C$5:$C$2000,Recepciones!$B$5:$B$2000,Config!$A$24,Recepciones!$A$5:$A$2000,"&gt;"&amp;$A382,Recepciones!$A$5:$A$2000,"&lt;="&amp;$A383)&gt;0,SUMIFS(Recepciones!$C$5:$C$2000,Recepciones!$B$5:$B$2000,Config!$A$24,Recepciones!$A$5:$A$2000,"&gt;"&amp;$A382,Recepciones!$A$5:$A$2000,"&lt;="&amp;$A383),MAX(0,F383-F382)))</f>
        <v/>
      </c>
      <c r="H383" s="24" t="str">
        <f aca="false">IF($A383="","",MAX(0,F382+G383-F383))</f>
        <v/>
      </c>
      <c r="I383" s="24" t="str">
        <f aca="false">IF($A383="","",Stock_Diario!G383)</f>
        <v/>
      </c>
      <c r="J383" s="24" t="str">
        <f aca="false">IF($A383="","",IF(SUMIFS(Recepciones!$C$5:$C$2000,Recepciones!$B$5:$B$2000,Config!$A$25,Recepciones!$A$5:$A$2000,"&gt;"&amp;$A382,Recepciones!$A$5:$A$2000,"&lt;="&amp;$A383)&gt;0,SUMIFS(Recepciones!$C$5:$C$2000,Recepciones!$B$5:$B$2000,Config!$A$25,Recepciones!$A$5:$A$2000,"&gt;"&amp;$A382,Recepciones!$A$5:$A$2000,"&lt;="&amp;$A383),MAX(0,I383-I382)))</f>
        <v/>
      </c>
      <c r="K383" s="24" t="str">
        <f aca="false">IF($A383="","",MAX(0,I382+J383-I383))</f>
        <v/>
      </c>
      <c r="L383" s="24" t="str">
        <f aca="false">IF($A383="","",E383+H383+K383)</f>
        <v/>
      </c>
      <c r="M383" s="4" t="str">
        <f aca="false">IF($A383="","",IF(AND(D383+G383+J383&gt;0,SUMIFS(Recepciones!$C$5:$C$2000,Recepciones!$A$5:$A$2000,"&gt;"&amp;$A382,Recepciones!$A$5:$A$2000,"&lt;="&amp;$A383)=0),"Aumento de stock sin recepción registrada",IF(B383&gt;1,"Intervalo de "&amp;B383&amp;" días","")))</f>
        <v/>
      </c>
    </row>
    <row r="384" customFormat="false" ht="15" hidden="false" customHeight="false" outlineLevel="0" collapsed="false">
      <c r="A384" s="5" t="str">
        <f aca="false">IF(Stock_Diario!A384="","",Stock_Diario!A384)</f>
        <v/>
      </c>
      <c r="B384" s="4" t="str">
        <f aca="false">IF($A384="","",$A384-$A383)</f>
        <v/>
      </c>
      <c r="C384" s="24" t="str">
        <f aca="false">IF($A384="","",Stock_Diario!E384)</f>
        <v/>
      </c>
      <c r="D384" s="24" t="str">
        <f aca="false">IF($A384="","",IF(SUMIFS(Recepciones!$C$5:$C$2000,Recepciones!$B$5:$B$2000,Config!$A$23,Recepciones!$A$5:$A$2000,"&gt;"&amp;$A383,Recepciones!$A$5:$A$2000,"&lt;="&amp;$A384)&gt;0,SUMIFS(Recepciones!$C$5:$C$2000,Recepciones!$B$5:$B$2000,Config!$A$23,Recepciones!$A$5:$A$2000,"&gt;"&amp;$A383,Recepciones!$A$5:$A$2000,"&lt;="&amp;$A384),MAX(0,C384-C383)))</f>
        <v/>
      </c>
      <c r="E384" s="24" t="str">
        <f aca="false">IF($A384="","",MAX(0,C383+D384-C384))</f>
        <v/>
      </c>
      <c r="F384" s="24" t="str">
        <f aca="false">IF($A384="","",Stock_Diario!F384)</f>
        <v/>
      </c>
      <c r="G384" s="24" t="str">
        <f aca="false">IF($A384="","",IF(SUMIFS(Recepciones!$C$5:$C$2000,Recepciones!$B$5:$B$2000,Config!$A$24,Recepciones!$A$5:$A$2000,"&gt;"&amp;$A383,Recepciones!$A$5:$A$2000,"&lt;="&amp;$A384)&gt;0,SUMIFS(Recepciones!$C$5:$C$2000,Recepciones!$B$5:$B$2000,Config!$A$24,Recepciones!$A$5:$A$2000,"&gt;"&amp;$A383,Recepciones!$A$5:$A$2000,"&lt;="&amp;$A384),MAX(0,F384-F383)))</f>
        <v/>
      </c>
      <c r="H384" s="24" t="str">
        <f aca="false">IF($A384="","",MAX(0,F383+G384-F384))</f>
        <v/>
      </c>
      <c r="I384" s="24" t="str">
        <f aca="false">IF($A384="","",Stock_Diario!G384)</f>
        <v/>
      </c>
      <c r="J384" s="24" t="str">
        <f aca="false">IF($A384="","",IF(SUMIFS(Recepciones!$C$5:$C$2000,Recepciones!$B$5:$B$2000,Config!$A$25,Recepciones!$A$5:$A$2000,"&gt;"&amp;$A383,Recepciones!$A$5:$A$2000,"&lt;="&amp;$A384)&gt;0,SUMIFS(Recepciones!$C$5:$C$2000,Recepciones!$B$5:$B$2000,Config!$A$25,Recepciones!$A$5:$A$2000,"&gt;"&amp;$A383,Recepciones!$A$5:$A$2000,"&lt;="&amp;$A384),MAX(0,I384-I383)))</f>
        <v/>
      </c>
      <c r="K384" s="24" t="str">
        <f aca="false">IF($A384="","",MAX(0,I383+J384-I384))</f>
        <v/>
      </c>
      <c r="L384" s="24" t="str">
        <f aca="false">IF($A384="","",E384+H384+K384)</f>
        <v/>
      </c>
      <c r="M384" s="4" t="str">
        <f aca="false">IF($A384="","",IF(AND(D384+G384+J384&gt;0,SUMIFS(Recepciones!$C$5:$C$2000,Recepciones!$A$5:$A$2000,"&gt;"&amp;$A383,Recepciones!$A$5:$A$2000,"&lt;="&amp;$A384)=0),"Aumento de stock sin recepción registrada",IF(B384&gt;1,"Intervalo de "&amp;B384&amp;" días","")))</f>
        <v/>
      </c>
    </row>
    <row r="385" customFormat="false" ht="15" hidden="false" customHeight="false" outlineLevel="0" collapsed="false">
      <c r="A385" s="5" t="str">
        <f aca="false">IF(Stock_Diario!A385="","",Stock_Diario!A385)</f>
        <v/>
      </c>
      <c r="B385" s="4" t="str">
        <f aca="false">IF($A385="","",$A385-$A384)</f>
        <v/>
      </c>
      <c r="C385" s="24" t="str">
        <f aca="false">IF($A385="","",Stock_Diario!E385)</f>
        <v/>
      </c>
      <c r="D385" s="24" t="str">
        <f aca="false">IF($A385="","",IF(SUMIFS(Recepciones!$C$5:$C$2000,Recepciones!$B$5:$B$2000,Config!$A$23,Recepciones!$A$5:$A$2000,"&gt;"&amp;$A384,Recepciones!$A$5:$A$2000,"&lt;="&amp;$A385)&gt;0,SUMIFS(Recepciones!$C$5:$C$2000,Recepciones!$B$5:$B$2000,Config!$A$23,Recepciones!$A$5:$A$2000,"&gt;"&amp;$A384,Recepciones!$A$5:$A$2000,"&lt;="&amp;$A385),MAX(0,C385-C384)))</f>
        <v/>
      </c>
      <c r="E385" s="24" t="str">
        <f aca="false">IF($A385="","",MAX(0,C384+D385-C385))</f>
        <v/>
      </c>
      <c r="F385" s="24" t="str">
        <f aca="false">IF($A385="","",Stock_Diario!F385)</f>
        <v/>
      </c>
      <c r="G385" s="24" t="str">
        <f aca="false">IF($A385="","",IF(SUMIFS(Recepciones!$C$5:$C$2000,Recepciones!$B$5:$B$2000,Config!$A$24,Recepciones!$A$5:$A$2000,"&gt;"&amp;$A384,Recepciones!$A$5:$A$2000,"&lt;="&amp;$A385)&gt;0,SUMIFS(Recepciones!$C$5:$C$2000,Recepciones!$B$5:$B$2000,Config!$A$24,Recepciones!$A$5:$A$2000,"&gt;"&amp;$A384,Recepciones!$A$5:$A$2000,"&lt;="&amp;$A385),MAX(0,F385-F384)))</f>
        <v/>
      </c>
      <c r="H385" s="24" t="str">
        <f aca="false">IF($A385="","",MAX(0,F384+G385-F385))</f>
        <v/>
      </c>
      <c r="I385" s="24" t="str">
        <f aca="false">IF($A385="","",Stock_Diario!G385)</f>
        <v/>
      </c>
      <c r="J385" s="24" t="str">
        <f aca="false">IF($A385="","",IF(SUMIFS(Recepciones!$C$5:$C$2000,Recepciones!$B$5:$B$2000,Config!$A$25,Recepciones!$A$5:$A$2000,"&gt;"&amp;$A384,Recepciones!$A$5:$A$2000,"&lt;="&amp;$A385)&gt;0,SUMIFS(Recepciones!$C$5:$C$2000,Recepciones!$B$5:$B$2000,Config!$A$25,Recepciones!$A$5:$A$2000,"&gt;"&amp;$A384,Recepciones!$A$5:$A$2000,"&lt;="&amp;$A385),MAX(0,I385-I384)))</f>
        <v/>
      </c>
      <c r="K385" s="24" t="str">
        <f aca="false">IF($A385="","",MAX(0,I384+J385-I385))</f>
        <v/>
      </c>
      <c r="L385" s="24" t="str">
        <f aca="false">IF($A385="","",E385+H385+K385)</f>
        <v/>
      </c>
      <c r="M385" s="4" t="str">
        <f aca="false">IF($A385="","",IF(AND(D385+G385+J385&gt;0,SUMIFS(Recepciones!$C$5:$C$2000,Recepciones!$A$5:$A$2000,"&gt;"&amp;$A384,Recepciones!$A$5:$A$2000,"&lt;="&amp;$A385)=0),"Aumento de stock sin recepción registrada",IF(B385&gt;1,"Intervalo de "&amp;B385&amp;" días","")))</f>
        <v/>
      </c>
    </row>
    <row r="386" customFormat="false" ht="15" hidden="false" customHeight="false" outlineLevel="0" collapsed="false">
      <c r="A386" s="5" t="str">
        <f aca="false">IF(Stock_Diario!A386="","",Stock_Diario!A386)</f>
        <v/>
      </c>
      <c r="B386" s="4" t="str">
        <f aca="false">IF($A386="","",$A386-$A385)</f>
        <v/>
      </c>
      <c r="C386" s="24" t="str">
        <f aca="false">IF($A386="","",Stock_Diario!E386)</f>
        <v/>
      </c>
      <c r="D386" s="24" t="str">
        <f aca="false">IF($A386="","",IF(SUMIFS(Recepciones!$C$5:$C$2000,Recepciones!$B$5:$B$2000,Config!$A$23,Recepciones!$A$5:$A$2000,"&gt;"&amp;$A385,Recepciones!$A$5:$A$2000,"&lt;="&amp;$A386)&gt;0,SUMIFS(Recepciones!$C$5:$C$2000,Recepciones!$B$5:$B$2000,Config!$A$23,Recepciones!$A$5:$A$2000,"&gt;"&amp;$A385,Recepciones!$A$5:$A$2000,"&lt;="&amp;$A386),MAX(0,C386-C385)))</f>
        <v/>
      </c>
      <c r="E386" s="24" t="str">
        <f aca="false">IF($A386="","",MAX(0,C385+D386-C386))</f>
        <v/>
      </c>
      <c r="F386" s="24" t="str">
        <f aca="false">IF($A386="","",Stock_Diario!F386)</f>
        <v/>
      </c>
      <c r="G386" s="24" t="str">
        <f aca="false">IF($A386="","",IF(SUMIFS(Recepciones!$C$5:$C$2000,Recepciones!$B$5:$B$2000,Config!$A$24,Recepciones!$A$5:$A$2000,"&gt;"&amp;$A385,Recepciones!$A$5:$A$2000,"&lt;="&amp;$A386)&gt;0,SUMIFS(Recepciones!$C$5:$C$2000,Recepciones!$B$5:$B$2000,Config!$A$24,Recepciones!$A$5:$A$2000,"&gt;"&amp;$A385,Recepciones!$A$5:$A$2000,"&lt;="&amp;$A386),MAX(0,F386-F385)))</f>
        <v/>
      </c>
      <c r="H386" s="24" t="str">
        <f aca="false">IF($A386="","",MAX(0,F385+G386-F386))</f>
        <v/>
      </c>
      <c r="I386" s="24" t="str">
        <f aca="false">IF($A386="","",Stock_Diario!G386)</f>
        <v/>
      </c>
      <c r="J386" s="24" t="str">
        <f aca="false">IF($A386="","",IF(SUMIFS(Recepciones!$C$5:$C$2000,Recepciones!$B$5:$B$2000,Config!$A$25,Recepciones!$A$5:$A$2000,"&gt;"&amp;$A385,Recepciones!$A$5:$A$2000,"&lt;="&amp;$A386)&gt;0,SUMIFS(Recepciones!$C$5:$C$2000,Recepciones!$B$5:$B$2000,Config!$A$25,Recepciones!$A$5:$A$2000,"&gt;"&amp;$A385,Recepciones!$A$5:$A$2000,"&lt;="&amp;$A386),MAX(0,I386-I385)))</f>
        <v/>
      </c>
      <c r="K386" s="24" t="str">
        <f aca="false">IF($A386="","",MAX(0,I385+J386-I386))</f>
        <v/>
      </c>
      <c r="L386" s="24" t="str">
        <f aca="false">IF($A386="","",E386+H386+K386)</f>
        <v/>
      </c>
      <c r="M386" s="4" t="str">
        <f aca="false">IF($A386="","",IF(AND(D386+G386+J386&gt;0,SUMIFS(Recepciones!$C$5:$C$2000,Recepciones!$A$5:$A$2000,"&gt;"&amp;$A385,Recepciones!$A$5:$A$2000,"&lt;="&amp;$A386)=0),"Aumento de stock sin recepción registrada",IF(B386&gt;1,"Intervalo de "&amp;B386&amp;" días","")))</f>
        <v/>
      </c>
    </row>
    <row r="387" customFormat="false" ht="15" hidden="false" customHeight="false" outlineLevel="0" collapsed="false">
      <c r="A387" s="5" t="str">
        <f aca="false">IF(Stock_Diario!A387="","",Stock_Diario!A387)</f>
        <v/>
      </c>
      <c r="B387" s="4" t="str">
        <f aca="false">IF($A387="","",$A387-$A386)</f>
        <v/>
      </c>
      <c r="C387" s="24" t="str">
        <f aca="false">IF($A387="","",Stock_Diario!E387)</f>
        <v/>
      </c>
      <c r="D387" s="24" t="str">
        <f aca="false">IF($A387="","",IF(SUMIFS(Recepciones!$C$5:$C$2000,Recepciones!$B$5:$B$2000,Config!$A$23,Recepciones!$A$5:$A$2000,"&gt;"&amp;$A386,Recepciones!$A$5:$A$2000,"&lt;="&amp;$A387)&gt;0,SUMIFS(Recepciones!$C$5:$C$2000,Recepciones!$B$5:$B$2000,Config!$A$23,Recepciones!$A$5:$A$2000,"&gt;"&amp;$A386,Recepciones!$A$5:$A$2000,"&lt;="&amp;$A387),MAX(0,C387-C386)))</f>
        <v/>
      </c>
      <c r="E387" s="24" t="str">
        <f aca="false">IF($A387="","",MAX(0,C386+D387-C387))</f>
        <v/>
      </c>
      <c r="F387" s="24" t="str">
        <f aca="false">IF($A387="","",Stock_Diario!F387)</f>
        <v/>
      </c>
      <c r="G387" s="24" t="str">
        <f aca="false">IF($A387="","",IF(SUMIFS(Recepciones!$C$5:$C$2000,Recepciones!$B$5:$B$2000,Config!$A$24,Recepciones!$A$5:$A$2000,"&gt;"&amp;$A386,Recepciones!$A$5:$A$2000,"&lt;="&amp;$A387)&gt;0,SUMIFS(Recepciones!$C$5:$C$2000,Recepciones!$B$5:$B$2000,Config!$A$24,Recepciones!$A$5:$A$2000,"&gt;"&amp;$A386,Recepciones!$A$5:$A$2000,"&lt;="&amp;$A387),MAX(0,F387-F386)))</f>
        <v/>
      </c>
      <c r="H387" s="24" t="str">
        <f aca="false">IF($A387="","",MAX(0,F386+G387-F387))</f>
        <v/>
      </c>
      <c r="I387" s="24" t="str">
        <f aca="false">IF($A387="","",Stock_Diario!G387)</f>
        <v/>
      </c>
      <c r="J387" s="24" t="str">
        <f aca="false">IF($A387="","",IF(SUMIFS(Recepciones!$C$5:$C$2000,Recepciones!$B$5:$B$2000,Config!$A$25,Recepciones!$A$5:$A$2000,"&gt;"&amp;$A386,Recepciones!$A$5:$A$2000,"&lt;="&amp;$A387)&gt;0,SUMIFS(Recepciones!$C$5:$C$2000,Recepciones!$B$5:$B$2000,Config!$A$25,Recepciones!$A$5:$A$2000,"&gt;"&amp;$A386,Recepciones!$A$5:$A$2000,"&lt;="&amp;$A387),MAX(0,I387-I386)))</f>
        <v/>
      </c>
      <c r="K387" s="24" t="str">
        <f aca="false">IF($A387="","",MAX(0,I386+J387-I387))</f>
        <v/>
      </c>
      <c r="L387" s="24" t="str">
        <f aca="false">IF($A387="","",E387+H387+K387)</f>
        <v/>
      </c>
      <c r="M387" s="4" t="str">
        <f aca="false">IF($A387="","",IF(AND(D387+G387+J387&gt;0,SUMIFS(Recepciones!$C$5:$C$2000,Recepciones!$A$5:$A$2000,"&gt;"&amp;$A386,Recepciones!$A$5:$A$2000,"&lt;="&amp;$A387)=0),"Aumento de stock sin recepción registrada",IF(B387&gt;1,"Intervalo de "&amp;B387&amp;" días","")))</f>
        <v/>
      </c>
    </row>
    <row r="388" customFormat="false" ht="15" hidden="false" customHeight="false" outlineLevel="0" collapsed="false">
      <c r="A388" s="5" t="str">
        <f aca="false">IF(Stock_Diario!A388="","",Stock_Diario!A388)</f>
        <v/>
      </c>
      <c r="B388" s="4" t="str">
        <f aca="false">IF($A388="","",$A388-$A387)</f>
        <v/>
      </c>
      <c r="C388" s="24" t="str">
        <f aca="false">IF($A388="","",Stock_Diario!E388)</f>
        <v/>
      </c>
      <c r="D388" s="24" t="str">
        <f aca="false">IF($A388="","",IF(SUMIFS(Recepciones!$C$5:$C$2000,Recepciones!$B$5:$B$2000,Config!$A$23,Recepciones!$A$5:$A$2000,"&gt;"&amp;$A387,Recepciones!$A$5:$A$2000,"&lt;="&amp;$A388)&gt;0,SUMIFS(Recepciones!$C$5:$C$2000,Recepciones!$B$5:$B$2000,Config!$A$23,Recepciones!$A$5:$A$2000,"&gt;"&amp;$A387,Recepciones!$A$5:$A$2000,"&lt;="&amp;$A388),MAX(0,C388-C387)))</f>
        <v/>
      </c>
      <c r="E388" s="24" t="str">
        <f aca="false">IF($A388="","",MAX(0,C387+D388-C388))</f>
        <v/>
      </c>
      <c r="F388" s="24" t="str">
        <f aca="false">IF($A388="","",Stock_Diario!F388)</f>
        <v/>
      </c>
      <c r="G388" s="24" t="str">
        <f aca="false">IF($A388="","",IF(SUMIFS(Recepciones!$C$5:$C$2000,Recepciones!$B$5:$B$2000,Config!$A$24,Recepciones!$A$5:$A$2000,"&gt;"&amp;$A387,Recepciones!$A$5:$A$2000,"&lt;="&amp;$A388)&gt;0,SUMIFS(Recepciones!$C$5:$C$2000,Recepciones!$B$5:$B$2000,Config!$A$24,Recepciones!$A$5:$A$2000,"&gt;"&amp;$A387,Recepciones!$A$5:$A$2000,"&lt;="&amp;$A388),MAX(0,F388-F387)))</f>
        <v/>
      </c>
      <c r="H388" s="24" t="str">
        <f aca="false">IF($A388="","",MAX(0,F387+G388-F388))</f>
        <v/>
      </c>
      <c r="I388" s="24" t="str">
        <f aca="false">IF($A388="","",Stock_Diario!G388)</f>
        <v/>
      </c>
      <c r="J388" s="24" t="str">
        <f aca="false">IF($A388="","",IF(SUMIFS(Recepciones!$C$5:$C$2000,Recepciones!$B$5:$B$2000,Config!$A$25,Recepciones!$A$5:$A$2000,"&gt;"&amp;$A387,Recepciones!$A$5:$A$2000,"&lt;="&amp;$A388)&gt;0,SUMIFS(Recepciones!$C$5:$C$2000,Recepciones!$B$5:$B$2000,Config!$A$25,Recepciones!$A$5:$A$2000,"&gt;"&amp;$A387,Recepciones!$A$5:$A$2000,"&lt;="&amp;$A388),MAX(0,I388-I387)))</f>
        <v/>
      </c>
      <c r="K388" s="24" t="str">
        <f aca="false">IF($A388="","",MAX(0,I387+J388-I388))</f>
        <v/>
      </c>
      <c r="L388" s="24" t="str">
        <f aca="false">IF($A388="","",E388+H388+K388)</f>
        <v/>
      </c>
      <c r="M388" s="4" t="str">
        <f aca="false">IF($A388="","",IF(AND(D388+G388+J388&gt;0,SUMIFS(Recepciones!$C$5:$C$2000,Recepciones!$A$5:$A$2000,"&gt;"&amp;$A387,Recepciones!$A$5:$A$2000,"&lt;="&amp;$A388)=0),"Aumento de stock sin recepción registrada",IF(B388&gt;1,"Intervalo de "&amp;B388&amp;" días","")))</f>
        <v/>
      </c>
    </row>
    <row r="389" customFormat="false" ht="15" hidden="false" customHeight="false" outlineLevel="0" collapsed="false">
      <c r="A389" s="5" t="str">
        <f aca="false">IF(Stock_Diario!A389="","",Stock_Diario!A389)</f>
        <v/>
      </c>
      <c r="B389" s="4" t="str">
        <f aca="false">IF($A389="","",$A389-$A388)</f>
        <v/>
      </c>
      <c r="C389" s="24" t="str">
        <f aca="false">IF($A389="","",Stock_Diario!E389)</f>
        <v/>
      </c>
      <c r="D389" s="24" t="str">
        <f aca="false">IF($A389="","",IF(SUMIFS(Recepciones!$C$5:$C$2000,Recepciones!$B$5:$B$2000,Config!$A$23,Recepciones!$A$5:$A$2000,"&gt;"&amp;$A388,Recepciones!$A$5:$A$2000,"&lt;="&amp;$A389)&gt;0,SUMIFS(Recepciones!$C$5:$C$2000,Recepciones!$B$5:$B$2000,Config!$A$23,Recepciones!$A$5:$A$2000,"&gt;"&amp;$A388,Recepciones!$A$5:$A$2000,"&lt;="&amp;$A389),MAX(0,C389-C388)))</f>
        <v/>
      </c>
      <c r="E389" s="24" t="str">
        <f aca="false">IF($A389="","",MAX(0,C388+D389-C389))</f>
        <v/>
      </c>
      <c r="F389" s="24" t="str">
        <f aca="false">IF($A389="","",Stock_Diario!F389)</f>
        <v/>
      </c>
      <c r="G389" s="24" t="str">
        <f aca="false">IF($A389="","",IF(SUMIFS(Recepciones!$C$5:$C$2000,Recepciones!$B$5:$B$2000,Config!$A$24,Recepciones!$A$5:$A$2000,"&gt;"&amp;$A388,Recepciones!$A$5:$A$2000,"&lt;="&amp;$A389)&gt;0,SUMIFS(Recepciones!$C$5:$C$2000,Recepciones!$B$5:$B$2000,Config!$A$24,Recepciones!$A$5:$A$2000,"&gt;"&amp;$A388,Recepciones!$A$5:$A$2000,"&lt;="&amp;$A389),MAX(0,F389-F388)))</f>
        <v/>
      </c>
      <c r="H389" s="24" t="str">
        <f aca="false">IF($A389="","",MAX(0,F388+G389-F389))</f>
        <v/>
      </c>
      <c r="I389" s="24" t="str">
        <f aca="false">IF($A389="","",Stock_Diario!G389)</f>
        <v/>
      </c>
      <c r="J389" s="24" t="str">
        <f aca="false">IF($A389="","",IF(SUMIFS(Recepciones!$C$5:$C$2000,Recepciones!$B$5:$B$2000,Config!$A$25,Recepciones!$A$5:$A$2000,"&gt;"&amp;$A388,Recepciones!$A$5:$A$2000,"&lt;="&amp;$A389)&gt;0,SUMIFS(Recepciones!$C$5:$C$2000,Recepciones!$B$5:$B$2000,Config!$A$25,Recepciones!$A$5:$A$2000,"&gt;"&amp;$A388,Recepciones!$A$5:$A$2000,"&lt;="&amp;$A389),MAX(0,I389-I388)))</f>
        <v/>
      </c>
      <c r="K389" s="24" t="str">
        <f aca="false">IF($A389="","",MAX(0,I388+J389-I389))</f>
        <v/>
      </c>
      <c r="L389" s="24" t="str">
        <f aca="false">IF($A389="","",E389+H389+K389)</f>
        <v/>
      </c>
      <c r="M389" s="4" t="str">
        <f aca="false">IF($A389="","",IF(AND(D389+G389+J389&gt;0,SUMIFS(Recepciones!$C$5:$C$2000,Recepciones!$A$5:$A$2000,"&gt;"&amp;$A388,Recepciones!$A$5:$A$2000,"&lt;="&amp;$A389)=0),"Aumento de stock sin recepción registrada",IF(B389&gt;1,"Intervalo de "&amp;B389&amp;" días","")))</f>
        <v/>
      </c>
    </row>
    <row r="390" customFormat="false" ht="15" hidden="false" customHeight="false" outlineLevel="0" collapsed="false">
      <c r="A390" s="5" t="str">
        <f aca="false">IF(Stock_Diario!A390="","",Stock_Diario!A390)</f>
        <v/>
      </c>
      <c r="B390" s="4" t="str">
        <f aca="false">IF($A390="","",$A390-$A389)</f>
        <v/>
      </c>
      <c r="C390" s="24" t="str">
        <f aca="false">IF($A390="","",Stock_Diario!E390)</f>
        <v/>
      </c>
      <c r="D390" s="24" t="str">
        <f aca="false">IF($A390="","",IF(SUMIFS(Recepciones!$C$5:$C$2000,Recepciones!$B$5:$B$2000,Config!$A$23,Recepciones!$A$5:$A$2000,"&gt;"&amp;$A389,Recepciones!$A$5:$A$2000,"&lt;="&amp;$A390)&gt;0,SUMIFS(Recepciones!$C$5:$C$2000,Recepciones!$B$5:$B$2000,Config!$A$23,Recepciones!$A$5:$A$2000,"&gt;"&amp;$A389,Recepciones!$A$5:$A$2000,"&lt;="&amp;$A390),MAX(0,C390-C389)))</f>
        <v/>
      </c>
      <c r="E390" s="24" t="str">
        <f aca="false">IF($A390="","",MAX(0,C389+D390-C390))</f>
        <v/>
      </c>
      <c r="F390" s="24" t="str">
        <f aca="false">IF($A390="","",Stock_Diario!F390)</f>
        <v/>
      </c>
      <c r="G390" s="24" t="str">
        <f aca="false">IF($A390="","",IF(SUMIFS(Recepciones!$C$5:$C$2000,Recepciones!$B$5:$B$2000,Config!$A$24,Recepciones!$A$5:$A$2000,"&gt;"&amp;$A389,Recepciones!$A$5:$A$2000,"&lt;="&amp;$A390)&gt;0,SUMIFS(Recepciones!$C$5:$C$2000,Recepciones!$B$5:$B$2000,Config!$A$24,Recepciones!$A$5:$A$2000,"&gt;"&amp;$A389,Recepciones!$A$5:$A$2000,"&lt;="&amp;$A390),MAX(0,F390-F389)))</f>
        <v/>
      </c>
      <c r="H390" s="24" t="str">
        <f aca="false">IF($A390="","",MAX(0,F389+G390-F390))</f>
        <v/>
      </c>
      <c r="I390" s="24" t="str">
        <f aca="false">IF($A390="","",Stock_Diario!G390)</f>
        <v/>
      </c>
      <c r="J390" s="24" t="str">
        <f aca="false">IF($A390="","",IF(SUMIFS(Recepciones!$C$5:$C$2000,Recepciones!$B$5:$B$2000,Config!$A$25,Recepciones!$A$5:$A$2000,"&gt;"&amp;$A389,Recepciones!$A$5:$A$2000,"&lt;="&amp;$A390)&gt;0,SUMIFS(Recepciones!$C$5:$C$2000,Recepciones!$B$5:$B$2000,Config!$A$25,Recepciones!$A$5:$A$2000,"&gt;"&amp;$A389,Recepciones!$A$5:$A$2000,"&lt;="&amp;$A390),MAX(0,I390-I389)))</f>
        <v/>
      </c>
      <c r="K390" s="24" t="str">
        <f aca="false">IF($A390="","",MAX(0,I389+J390-I390))</f>
        <v/>
      </c>
      <c r="L390" s="24" t="str">
        <f aca="false">IF($A390="","",E390+H390+K390)</f>
        <v/>
      </c>
      <c r="M390" s="4" t="str">
        <f aca="false">IF($A390="","",IF(AND(D390+G390+J390&gt;0,SUMIFS(Recepciones!$C$5:$C$2000,Recepciones!$A$5:$A$2000,"&gt;"&amp;$A389,Recepciones!$A$5:$A$2000,"&lt;="&amp;$A390)=0),"Aumento de stock sin recepción registrada",IF(B390&gt;1,"Intervalo de "&amp;B390&amp;" días","")))</f>
        <v/>
      </c>
    </row>
    <row r="391" customFormat="false" ht="15" hidden="false" customHeight="false" outlineLevel="0" collapsed="false">
      <c r="A391" s="5" t="str">
        <f aca="false">IF(Stock_Diario!A391="","",Stock_Diario!A391)</f>
        <v/>
      </c>
      <c r="B391" s="4" t="str">
        <f aca="false">IF($A391="","",$A391-$A390)</f>
        <v/>
      </c>
      <c r="C391" s="24" t="str">
        <f aca="false">IF($A391="","",Stock_Diario!E391)</f>
        <v/>
      </c>
      <c r="D391" s="24" t="str">
        <f aca="false">IF($A391="","",IF(SUMIFS(Recepciones!$C$5:$C$2000,Recepciones!$B$5:$B$2000,Config!$A$23,Recepciones!$A$5:$A$2000,"&gt;"&amp;$A390,Recepciones!$A$5:$A$2000,"&lt;="&amp;$A391)&gt;0,SUMIFS(Recepciones!$C$5:$C$2000,Recepciones!$B$5:$B$2000,Config!$A$23,Recepciones!$A$5:$A$2000,"&gt;"&amp;$A390,Recepciones!$A$5:$A$2000,"&lt;="&amp;$A391),MAX(0,C391-C390)))</f>
        <v/>
      </c>
      <c r="E391" s="24" t="str">
        <f aca="false">IF($A391="","",MAX(0,C390+D391-C391))</f>
        <v/>
      </c>
      <c r="F391" s="24" t="str">
        <f aca="false">IF($A391="","",Stock_Diario!F391)</f>
        <v/>
      </c>
      <c r="G391" s="24" t="str">
        <f aca="false">IF($A391="","",IF(SUMIFS(Recepciones!$C$5:$C$2000,Recepciones!$B$5:$B$2000,Config!$A$24,Recepciones!$A$5:$A$2000,"&gt;"&amp;$A390,Recepciones!$A$5:$A$2000,"&lt;="&amp;$A391)&gt;0,SUMIFS(Recepciones!$C$5:$C$2000,Recepciones!$B$5:$B$2000,Config!$A$24,Recepciones!$A$5:$A$2000,"&gt;"&amp;$A390,Recepciones!$A$5:$A$2000,"&lt;="&amp;$A391),MAX(0,F391-F390)))</f>
        <v/>
      </c>
      <c r="H391" s="24" t="str">
        <f aca="false">IF($A391="","",MAX(0,F390+G391-F391))</f>
        <v/>
      </c>
      <c r="I391" s="24" t="str">
        <f aca="false">IF($A391="","",Stock_Diario!G391)</f>
        <v/>
      </c>
      <c r="J391" s="24" t="str">
        <f aca="false">IF($A391="","",IF(SUMIFS(Recepciones!$C$5:$C$2000,Recepciones!$B$5:$B$2000,Config!$A$25,Recepciones!$A$5:$A$2000,"&gt;"&amp;$A390,Recepciones!$A$5:$A$2000,"&lt;="&amp;$A391)&gt;0,SUMIFS(Recepciones!$C$5:$C$2000,Recepciones!$B$5:$B$2000,Config!$A$25,Recepciones!$A$5:$A$2000,"&gt;"&amp;$A390,Recepciones!$A$5:$A$2000,"&lt;="&amp;$A391),MAX(0,I391-I390)))</f>
        <v/>
      </c>
      <c r="K391" s="24" t="str">
        <f aca="false">IF($A391="","",MAX(0,I390+J391-I391))</f>
        <v/>
      </c>
      <c r="L391" s="24" t="str">
        <f aca="false">IF($A391="","",E391+H391+K391)</f>
        <v/>
      </c>
      <c r="M391" s="4" t="str">
        <f aca="false">IF($A391="","",IF(AND(D391+G391+J391&gt;0,SUMIFS(Recepciones!$C$5:$C$2000,Recepciones!$A$5:$A$2000,"&gt;"&amp;$A390,Recepciones!$A$5:$A$2000,"&lt;="&amp;$A391)=0),"Aumento de stock sin recepción registrada",IF(B391&gt;1,"Intervalo de "&amp;B391&amp;" días","")))</f>
        <v/>
      </c>
    </row>
    <row r="392" customFormat="false" ht="15" hidden="false" customHeight="false" outlineLevel="0" collapsed="false">
      <c r="A392" s="5" t="str">
        <f aca="false">IF(Stock_Diario!A392="","",Stock_Diario!A392)</f>
        <v/>
      </c>
      <c r="B392" s="4" t="str">
        <f aca="false">IF($A392="","",$A392-$A391)</f>
        <v/>
      </c>
      <c r="C392" s="24" t="str">
        <f aca="false">IF($A392="","",Stock_Diario!E392)</f>
        <v/>
      </c>
      <c r="D392" s="24" t="str">
        <f aca="false">IF($A392="","",IF(SUMIFS(Recepciones!$C$5:$C$2000,Recepciones!$B$5:$B$2000,Config!$A$23,Recepciones!$A$5:$A$2000,"&gt;"&amp;$A391,Recepciones!$A$5:$A$2000,"&lt;="&amp;$A392)&gt;0,SUMIFS(Recepciones!$C$5:$C$2000,Recepciones!$B$5:$B$2000,Config!$A$23,Recepciones!$A$5:$A$2000,"&gt;"&amp;$A391,Recepciones!$A$5:$A$2000,"&lt;="&amp;$A392),MAX(0,C392-C391)))</f>
        <v/>
      </c>
      <c r="E392" s="24" t="str">
        <f aca="false">IF($A392="","",MAX(0,C391+D392-C392))</f>
        <v/>
      </c>
      <c r="F392" s="24" t="str">
        <f aca="false">IF($A392="","",Stock_Diario!F392)</f>
        <v/>
      </c>
      <c r="G392" s="24" t="str">
        <f aca="false">IF($A392="","",IF(SUMIFS(Recepciones!$C$5:$C$2000,Recepciones!$B$5:$B$2000,Config!$A$24,Recepciones!$A$5:$A$2000,"&gt;"&amp;$A391,Recepciones!$A$5:$A$2000,"&lt;="&amp;$A392)&gt;0,SUMIFS(Recepciones!$C$5:$C$2000,Recepciones!$B$5:$B$2000,Config!$A$24,Recepciones!$A$5:$A$2000,"&gt;"&amp;$A391,Recepciones!$A$5:$A$2000,"&lt;="&amp;$A392),MAX(0,F392-F391)))</f>
        <v/>
      </c>
      <c r="H392" s="24" t="str">
        <f aca="false">IF($A392="","",MAX(0,F391+G392-F392))</f>
        <v/>
      </c>
      <c r="I392" s="24" t="str">
        <f aca="false">IF($A392="","",Stock_Diario!G392)</f>
        <v/>
      </c>
      <c r="J392" s="24" t="str">
        <f aca="false">IF($A392="","",IF(SUMIFS(Recepciones!$C$5:$C$2000,Recepciones!$B$5:$B$2000,Config!$A$25,Recepciones!$A$5:$A$2000,"&gt;"&amp;$A391,Recepciones!$A$5:$A$2000,"&lt;="&amp;$A392)&gt;0,SUMIFS(Recepciones!$C$5:$C$2000,Recepciones!$B$5:$B$2000,Config!$A$25,Recepciones!$A$5:$A$2000,"&gt;"&amp;$A391,Recepciones!$A$5:$A$2000,"&lt;="&amp;$A392),MAX(0,I392-I391)))</f>
        <v/>
      </c>
      <c r="K392" s="24" t="str">
        <f aca="false">IF($A392="","",MAX(0,I391+J392-I392))</f>
        <v/>
      </c>
      <c r="L392" s="24" t="str">
        <f aca="false">IF($A392="","",E392+H392+K392)</f>
        <v/>
      </c>
      <c r="M392" s="4" t="str">
        <f aca="false">IF($A392="","",IF(AND(D392+G392+J392&gt;0,SUMIFS(Recepciones!$C$5:$C$2000,Recepciones!$A$5:$A$2000,"&gt;"&amp;$A391,Recepciones!$A$5:$A$2000,"&lt;="&amp;$A392)=0),"Aumento de stock sin recepción registrada",IF(B392&gt;1,"Intervalo de "&amp;B392&amp;" días","")))</f>
        <v/>
      </c>
    </row>
    <row r="393" customFormat="false" ht="15" hidden="false" customHeight="false" outlineLevel="0" collapsed="false">
      <c r="A393" s="5" t="str">
        <f aca="false">IF(Stock_Diario!A393="","",Stock_Diario!A393)</f>
        <v/>
      </c>
      <c r="B393" s="4" t="str">
        <f aca="false">IF($A393="","",$A393-$A392)</f>
        <v/>
      </c>
      <c r="C393" s="24" t="str">
        <f aca="false">IF($A393="","",Stock_Diario!E393)</f>
        <v/>
      </c>
      <c r="D393" s="24" t="str">
        <f aca="false">IF($A393="","",IF(SUMIFS(Recepciones!$C$5:$C$2000,Recepciones!$B$5:$B$2000,Config!$A$23,Recepciones!$A$5:$A$2000,"&gt;"&amp;$A392,Recepciones!$A$5:$A$2000,"&lt;="&amp;$A393)&gt;0,SUMIFS(Recepciones!$C$5:$C$2000,Recepciones!$B$5:$B$2000,Config!$A$23,Recepciones!$A$5:$A$2000,"&gt;"&amp;$A392,Recepciones!$A$5:$A$2000,"&lt;="&amp;$A393),MAX(0,C393-C392)))</f>
        <v/>
      </c>
      <c r="E393" s="24" t="str">
        <f aca="false">IF($A393="","",MAX(0,C392+D393-C393))</f>
        <v/>
      </c>
      <c r="F393" s="24" t="str">
        <f aca="false">IF($A393="","",Stock_Diario!F393)</f>
        <v/>
      </c>
      <c r="G393" s="24" t="str">
        <f aca="false">IF($A393="","",IF(SUMIFS(Recepciones!$C$5:$C$2000,Recepciones!$B$5:$B$2000,Config!$A$24,Recepciones!$A$5:$A$2000,"&gt;"&amp;$A392,Recepciones!$A$5:$A$2000,"&lt;="&amp;$A393)&gt;0,SUMIFS(Recepciones!$C$5:$C$2000,Recepciones!$B$5:$B$2000,Config!$A$24,Recepciones!$A$5:$A$2000,"&gt;"&amp;$A392,Recepciones!$A$5:$A$2000,"&lt;="&amp;$A393),MAX(0,F393-F392)))</f>
        <v/>
      </c>
      <c r="H393" s="24" t="str">
        <f aca="false">IF($A393="","",MAX(0,F392+G393-F393))</f>
        <v/>
      </c>
      <c r="I393" s="24" t="str">
        <f aca="false">IF($A393="","",Stock_Diario!G393)</f>
        <v/>
      </c>
      <c r="J393" s="24" t="str">
        <f aca="false">IF($A393="","",IF(SUMIFS(Recepciones!$C$5:$C$2000,Recepciones!$B$5:$B$2000,Config!$A$25,Recepciones!$A$5:$A$2000,"&gt;"&amp;$A392,Recepciones!$A$5:$A$2000,"&lt;="&amp;$A393)&gt;0,SUMIFS(Recepciones!$C$5:$C$2000,Recepciones!$B$5:$B$2000,Config!$A$25,Recepciones!$A$5:$A$2000,"&gt;"&amp;$A392,Recepciones!$A$5:$A$2000,"&lt;="&amp;$A393),MAX(0,I393-I392)))</f>
        <v/>
      </c>
      <c r="K393" s="24" t="str">
        <f aca="false">IF($A393="","",MAX(0,I392+J393-I393))</f>
        <v/>
      </c>
      <c r="L393" s="24" t="str">
        <f aca="false">IF($A393="","",E393+H393+K393)</f>
        <v/>
      </c>
      <c r="M393" s="4" t="str">
        <f aca="false">IF($A393="","",IF(AND(D393+G393+J393&gt;0,SUMIFS(Recepciones!$C$5:$C$2000,Recepciones!$A$5:$A$2000,"&gt;"&amp;$A392,Recepciones!$A$5:$A$2000,"&lt;="&amp;$A393)=0),"Aumento de stock sin recepción registrada",IF(B393&gt;1,"Intervalo de "&amp;B393&amp;" días","")))</f>
        <v/>
      </c>
    </row>
    <row r="394" customFormat="false" ht="15" hidden="false" customHeight="false" outlineLevel="0" collapsed="false">
      <c r="A394" s="5" t="str">
        <f aca="false">IF(Stock_Diario!A394="","",Stock_Diario!A394)</f>
        <v/>
      </c>
      <c r="B394" s="4" t="str">
        <f aca="false">IF($A394="","",$A394-$A393)</f>
        <v/>
      </c>
      <c r="C394" s="24" t="str">
        <f aca="false">IF($A394="","",Stock_Diario!E394)</f>
        <v/>
      </c>
      <c r="D394" s="24" t="str">
        <f aca="false">IF($A394="","",IF(SUMIFS(Recepciones!$C$5:$C$2000,Recepciones!$B$5:$B$2000,Config!$A$23,Recepciones!$A$5:$A$2000,"&gt;"&amp;$A393,Recepciones!$A$5:$A$2000,"&lt;="&amp;$A394)&gt;0,SUMIFS(Recepciones!$C$5:$C$2000,Recepciones!$B$5:$B$2000,Config!$A$23,Recepciones!$A$5:$A$2000,"&gt;"&amp;$A393,Recepciones!$A$5:$A$2000,"&lt;="&amp;$A394),MAX(0,C394-C393)))</f>
        <v/>
      </c>
      <c r="E394" s="24" t="str">
        <f aca="false">IF($A394="","",MAX(0,C393+D394-C394))</f>
        <v/>
      </c>
      <c r="F394" s="24" t="str">
        <f aca="false">IF($A394="","",Stock_Diario!F394)</f>
        <v/>
      </c>
      <c r="G394" s="24" t="str">
        <f aca="false">IF($A394="","",IF(SUMIFS(Recepciones!$C$5:$C$2000,Recepciones!$B$5:$B$2000,Config!$A$24,Recepciones!$A$5:$A$2000,"&gt;"&amp;$A393,Recepciones!$A$5:$A$2000,"&lt;="&amp;$A394)&gt;0,SUMIFS(Recepciones!$C$5:$C$2000,Recepciones!$B$5:$B$2000,Config!$A$24,Recepciones!$A$5:$A$2000,"&gt;"&amp;$A393,Recepciones!$A$5:$A$2000,"&lt;="&amp;$A394),MAX(0,F394-F393)))</f>
        <v/>
      </c>
      <c r="H394" s="24" t="str">
        <f aca="false">IF($A394="","",MAX(0,F393+G394-F394))</f>
        <v/>
      </c>
      <c r="I394" s="24" t="str">
        <f aca="false">IF($A394="","",Stock_Diario!G394)</f>
        <v/>
      </c>
      <c r="J394" s="24" t="str">
        <f aca="false">IF($A394="","",IF(SUMIFS(Recepciones!$C$5:$C$2000,Recepciones!$B$5:$B$2000,Config!$A$25,Recepciones!$A$5:$A$2000,"&gt;"&amp;$A393,Recepciones!$A$5:$A$2000,"&lt;="&amp;$A394)&gt;0,SUMIFS(Recepciones!$C$5:$C$2000,Recepciones!$B$5:$B$2000,Config!$A$25,Recepciones!$A$5:$A$2000,"&gt;"&amp;$A393,Recepciones!$A$5:$A$2000,"&lt;="&amp;$A394),MAX(0,I394-I393)))</f>
        <v/>
      </c>
      <c r="K394" s="24" t="str">
        <f aca="false">IF($A394="","",MAX(0,I393+J394-I394))</f>
        <v/>
      </c>
      <c r="L394" s="24" t="str">
        <f aca="false">IF($A394="","",E394+H394+K394)</f>
        <v/>
      </c>
      <c r="M394" s="4" t="str">
        <f aca="false">IF($A394="","",IF(AND(D394+G394+J394&gt;0,SUMIFS(Recepciones!$C$5:$C$2000,Recepciones!$A$5:$A$2000,"&gt;"&amp;$A393,Recepciones!$A$5:$A$2000,"&lt;="&amp;$A394)=0),"Aumento de stock sin recepción registrada",IF(B394&gt;1,"Intervalo de "&amp;B394&amp;" días","")))</f>
        <v/>
      </c>
    </row>
    <row r="395" customFormat="false" ht="15" hidden="false" customHeight="false" outlineLevel="0" collapsed="false">
      <c r="A395" s="5" t="str">
        <f aca="false">IF(Stock_Diario!A395="","",Stock_Diario!A395)</f>
        <v/>
      </c>
      <c r="B395" s="4" t="str">
        <f aca="false">IF($A395="","",$A395-$A394)</f>
        <v/>
      </c>
      <c r="C395" s="24" t="str">
        <f aca="false">IF($A395="","",Stock_Diario!E395)</f>
        <v/>
      </c>
      <c r="D395" s="24" t="str">
        <f aca="false">IF($A395="","",IF(SUMIFS(Recepciones!$C$5:$C$2000,Recepciones!$B$5:$B$2000,Config!$A$23,Recepciones!$A$5:$A$2000,"&gt;"&amp;$A394,Recepciones!$A$5:$A$2000,"&lt;="&amp;$A395)&gt;0,SUMIFS(Recepciones!$C$5:$C$2000,Recepciones!$B$5:$B$2000,Config!$A$23,Recepciones!$A$5:$A$2000,"&gt;"&amp;$A394,Recepciones!$A$5:$A$2000,"&lt;="&amp;$A395),MAX(0,C395-C394)))</f>
        <v/>
      </c>
      <c r="E395" s="24" t="str">
        <f aca="false">IF($A395="","",MAX(0,C394+D395-C395))</f>
        <v/>
      </c>
      <c r="F395" s="24" t="str">
        <f aca="false">IF($A395="","",Stock_Diario!F395)</f>
        <v/>
      </c>
      <c r="G395" s="24" t="str">
        <f aca="false">IF($A395="","",IF(SUMIFS(Recepciones!$C$5:$C$2000,Recepciones!$B$5:$B$2000,Config!$A$24,Recepciones!$A$5:$A$2000,"&gt;"&amp;$A394,Recepciones!$A$5:$A$2000,"&lt;="&amp;$A395)&gt;0,SUMIFS(Recepciones!$C$5:$C$2000,Recepciones!$B$5:$B$2000,Config!$A$24,Recepciones!$A$5:$A$2000,"&gt;"&amp;$A394,Recepciones!$A$5:$A$2000,"&lt;="&amp;$A395),MAX(0,F395-F394)))</f>
        <v/>
      </c>
      <c r="H395" s="24" t="str">
        <f aca="false">IF($A395="","",MAX(0,F394+G395-F395))</f>
        <v/>
      </c>
      <c r="I395" s="24" t="str">
        <f aca="false">IF($A395="","",Stock_Diario!G395)</f>
        <v/>
      </c>
      <c r="J395" s="24" t="str">
        <f aca="false">IF($A395="","",IF(SUMIFS(Recepciones!$C$5:$C$2000,Recepciones!$B$5:$B$2000,Config!$A$25,Recepciones!$A$5:$A$2000,"&gt;"&amp;$A394,Recepciones!$A$5:$A$2000,"&lt;="&amp;$A395)&gt;0,SUMIFS(Recepciones!$C$5:$C$2000,Recepciones!$B$5:$B$2000,Config!$A$25,Recepciones!$A$5:$A$2000,"&gt;"&amp;$A394,Recepciones!$A$5:$A$2000,"&lt;="&amp;$A395),MAX(0,I395-I394)))</f>
        <v/>
      </c>
      <c r="K395" s="24" t="str">
        <f aca="false">IF($A395="","",MAX(0,I394+J395-I395))</f>
        <v/>
      </c>
      <c r="L395" s="24" t="str">
        <f aca="false">IF($A395="","",E395+H395+K395)</f>
        <v/>
      </c>
      <c r="M395" s="4" t="str">
        <f aca="false">IF($A395="","",IF(AND(D395+G395+J395&gt;0,SUMIFS(Recepciones!$C$5:$C$2000,Recepciones!$A$5:$A$2000,"&gt;"&amp;$A394,Recepciones!$A$5:$A$2000,"&lt;="&amp;$A395)=0),"Aumento de stock sin recepción registrada",IF(B395&gt;1,"Intervalo de "&amp;B395&amp;" días","")))</f>
        <v/>
      </c>
    </row>
    <row r="396" customFormat="false" ht="15" hidden="false" customHeight="false" outlineLevel="0" collapsed="false">
      <c r="A396" s="5" t="str">
        <f aca="false">IF(Stock_Diario!A396="","",Stock_Diario!A396)</f>
        <v/>
      </c>
      <c r="B396" s="4" t="str">
        <f aca="false">IF($A396="","",$A396-$A395)</f>
        <v/>
      </c>
      <c r="C396" s="24" t="str">
        <f aca="false">IF($A396="","",Stock_Diario!E396)</f>
        <v/>
      </c>
      <c r="D396" s="24" t="str">
        <f aca="false">IF($A396="","",IF(SUMIFS(Recepciones!$C$5:$C$2000,Recepciones!$B$5:$B$2000,Config!$A$23,Recepciones!$A$5:$A$2000,"&gt;"&amp;$A395,Recepciones!$A$5:$A$2000,"&lt;="&amp;$A396)&gt;0,SUMIFS(Recepciones!$C$5:$C$2000,Recepciones!$B$5:$B$2000,Config!$A$23,Recepciones!$A$5:$A$2000,"&gt;"&amp;$A395,Recepciones!$A$5:$A$2000,"&lt;="&amp;$A396),MAX(0,C396-C395)))</f>
        <v/>
      </c>
      <c r="E396" s="24" t="str">
        <f aca="false">IF($A396="","",MAX(0,C395+D396-C396))</f>
        <v/>
      </c>
      <c r="F396" s="24" t="str">
        <f aca="false">IF($A396="","",Stock_Diario!F396)</f>
        <v/>
      </c>
      <c r="G396" s="24" t="str">
        <f aca="false">IF($A396="","",IF(SUMIFS(Recepciones!$C$5:$C$2000,Recepciones!$B$5:$B$2000,Config!$A$24,Recepciones!$A$5:$A$2000,"&gt;"&amp;$A395,Recepciones!$A$5:$A$2000,"&lt;="&amp;$A396)&gt;0,SUMIFS(Recepciones!$C$5:$C$2000,Recepciones!$B$5:$B$2000,Config!$A$24,Recepciones!$A$5:$A$2000,"&gt;"&amp;$A395,Recepciones!$A$5:$A$2000,"&lt;="&amp;$A396),MAX(0,F396-F395)))</f>
        <v/>
      </c>
      <c r="H396" s="24" t="str">
        <f aca="false">IF($A396="","",MAX(0,F395+G396-F396))</f>
        <v/>
      </c>
      <c r="I396" s="24" t="str">
        <f aca="false">IF($A396="","",Stock_Diario!G396)</f>
        <v/>
      </c>
      <c r="J396" s="24" t="str">
        <f aca="false">IF($A396="","",IF(SUMIFS(Recepciones!$C$5:$C$2000,Recepciones!$B$5:$B$2000,Config!$A$25,Recepciones!$A$5:$A$2000,"&gt;"&amp;$A395,Recepciones!$A$5:$A$2000,"&lt;="&amp;$A396)&gt;0,SUMIFS(Recepciones!$C$5:$C$2000,Recepciones!$B$5:$B$2000,Config!$A$25,Recepciones!$A$5:$A$2000,"&gt;"&amp;$A395,Recepciones!$A$5:$A$2000,"&lt;="&amp;$A396),MAX(0,I396-I395)))</f>
        <v/>
      </c>
      <c r="K396" s="24" t="str">
        <f aca="false">IF($A396="","",MAX(0,I395+J396-I396))</f>
        <v/>
      </c>
      <c r="L396" s="24" t="str">
        <f aca="false">IF($A396="","",E396+H396+K396)</f>
        <v/>
      </c>
      <c r="M396" s="4" t="str">
        <f aca="false">IF($A396="","",IF(AND(D396+G396+J396&gt;0,SUMIFS(Recepciones!$C$5:$C$2000,Recepciones!$A$5:$A$2000,"&gt;"&amp;$A395,Recepciones!$A$5:$A$2000,"&lt;="&amp;$A396)=0),"Aumento de stock sin recepción registrada",IF(B396&gt;1,"Intervalo de "&amp;B396&amp;" días","")))</f>
        <v/>
      </c>
    </row>
    <row r="397" customFormat="false" ht="15" hidden="false" customHeight="false" outlineLevel="0" collapsed="false">
      <c r="A397" s="5" t="str">
        <f aca="false">IF(Stock_Diario!A397="","",Stock_Diario!A397)</f>
        <v/>
      </c>
      <c r="B397" s="4" t="str">
        <f aca="false">IF($A397="","",$A397-$A396)</f>
        <v/>
      </c>
      <c r="C397" s="24" t="str">
        <f aca="false">IF($A397="","",Stock_Diario!E397)</f>
        <v/>
      </c>
      <c r="D397" s="24" t="str">
        <f aca="false">IF($A397="","",IF(SUMIFS(Recepciones!$C$5:$C$2000,Recepciones!$B$5:$B$2000,Config!$A$23,Recepciones!$A$5:$A$2000,"&gt;"&amp;$A396,Recepciones!$A$5:$A$2000,"&lt;="&amp;$A397)&gt;0,SUMIFS(Recepciones!$C$5:$C$2000,Recepciones!$B$5:$B$2000,Config!$A$23,Recepciones!$A$5:$A$2000,"&gt;"&amp;$A396,Recepciones!$A$5:$A$2000,"&lt;="&amp;$A397),MAX(0,C397-C396)))</f>
        <v/>
      </c>
      <c r="E397" s="24" t="str">
        <f aca="false">IF($A397="","",MAX(0,C396+D397-C397))</f>
        <v/>
      </c>
      <c r="F397" s="24" t="str">
        <f aca="false">IF($A397="","",Stock_Diario!F397)</f>
        <v/>
      </c>
      <c r="G397" s="24" t="str">
        <f aca="false">IF($A397="","",IF(SUMIFS(Recepciones!$C$5:$C$2000,Recepciones!$B$5:$B$2000,Config!$A$24,Recepciones!$A$5:$A$2000,"&gt;"&amp;$A396,Recepciones!$A$5:$A$2000,"&lt;="&amp;$A397)&gt;0,SUMIFS(Recepciones!$C$5:$C$2000,Recepciones!$B$5:$B$2000,Config!$A$24,Recepciones!$A$5:$A$2000,"&gt;"&amp;$A396,Recepciones!$A$5:$A$2000,"&lt;="&amp;$A397),MAX(0,F397-F396)))</f>
        <v/>
      </c>
      <c r="H397" s="24" t="str">
        <f aca="false">IF($A397="","",MAX(0,F396+G397-F397))</f>
        <v/>
      </c>
      <c r="I397" s="24" t="str">
        <f aca="false">IF($A397="","",Stock_Diario!G397)</f>
        <v/>
      </c>
      <c r="J397" s="24" t="str">
        <f aca="false">IF($A397="","",IF(SUMIFS(Recepciones!$C$5:$C$2000,Recepciones!$B$5:$B$2000,Config!$A$25,Recepciones!$A$5:$A$2000,"&gt;"&amp;$A396,Recepciones!$A$5:$A$2000,"&lt;="&amp;$A397)&gt;0,SUMIFS(Recepciones!$C$5:$C$2000,Recepciones!$B$5:$B$2000,Config!$A$25,Recepciones!$A$5:$A$2000,"&gt;"&amp;$A396,Recepciones!$A$5:$A$2000,"&lt;="&amp;$A397),MAX(0,I397-I396)))</f>
        <v/>
      </c>
      <c r="K397" s="24" t="str">
        <f aca="false">IF($A397="","",MAX(0,I396+J397-I397))</f>
        <v/>
      </c>
      <c r="L397" s="24" t="str">
        <f aca="false">IF($A397="","",E397+H397+K397)</f>
        <v/>
      </c>
      <c r="M397" s="4" t="str">
        <f aca="false">IF($A397="","",IF(AND(D397+G397+J397&gt;0,SUMIFS(Recepciones!$C$5:$C$2000,Recepciones!$A$5:$A$2000,"&gt;"&amp;$A396,Recepciones!$A$5:$A$2000,"&lt;="&amp;$A397)=0),"Aumento de stock sin recepción registrada",IF(B397&gt;1,"Intervalo de "&amp;B397&amp;" días","")))</f>
        <v/>
      </c>
    </row>
    <row r="398" customFormat="false" ht="15" hidden="false" customHeight="false" outlineLevel="0" collapsed="false">
      <c r="A398" s="5" t="str">
        <f aca="false">IF(Stock_Diario!A398="","",Stock_Diario!A398)</f>
        <v/>
      </c>
      <c r="B398" s="4" t="str">
        <f aca="false">IF($A398="","",$A398-$A397)</f>
        <v/>
      </c>
      <c r="C398" s="24" t="str">
        <f aca="false">IF($A398="","",Stock_Diario!E398)</f>
        <v/>
      </c>
      <c r="D398" s="24" t="str">
        <f aca="false">IF($A398="","",IF(SUMIFS(Recepciones!$C$5:$C$2000,Recepciones!$B$5:$B$2000,Config!$A$23,Recepciones!$A$5:$A$2000,"&gt;"&amp;$A397,Recepciones!$A$5:$A$2000,"&lt;="&amp;$A398)&gt;0,SUMIFS(Recepciones!$C$5:$C$2000,Recepciones!$B$5:$B$2000,Config!$A$23,Recepciones!$A$5:$A$2000,"&gt;"&amp;$A397,Recepciones!$A$5:$A$2000,"&lt;="&amp;$A398),MAX(0,C398-C397)))</f>
        <v/>
      </c>
      <c r="E398" s="24" t="str">
        <f aca="false">IF($A398="","",MAX(0,C397+D398-C398))</f>
        <v/>
      </c>
      <c r="F398" s="24" t="str">
        <f aca="false">IF($A398="","",Stock_Diario!F398)</f>
        <v/>
      </c>
      <c r="G398" s="24" t="str">
        <f aca="false">IF($A398="","",IF(SUMIFS(Recepciones!$C$5:$C$2000,Recepciones!$B$5:$B$2000,Config!$A$24,Recepciones!$A$5:$A$2000,"&gt;"&amp;$A397,Recepciones!$A$5:$A$2000,"&lt;="&amp;$A398)&gt;0,SUMIFS(Recepciones!$C$5:$C$2000,Recepciones!$B$5:$B$2000,Config!$A$24,Recepciones!$A$5:$A$2000,"&gt;"&amp;$A397,Recepciones!$A$5:$A$2000,"&lt;="&amp;$A398),MAX(0,F398-F397)))</f>
        <v/>
      </c>
      <c r="H398" s="24" t="str">
        <f aca="false">IF($A398="","",MAX(0,F397+G398-F398))</f>
        <v/>
      </c>
      <c r="I398" s="24" t="str">
        <f aca="false">IF($A398="","",Stock_Diario!G398)</f>
        <v/>
      </c>
      <c r="J398" s="24" t="str">
        <f aca="false">IF($A398="","",IF(SUMIFS(Recepciones!$C$5:$C$2000,Recepciones!$B$5:$B$2000,Config!$A$25,Recepciones!$A$5:$A$2000,"&gt;"&amp;$A397,Recepciones!$A$5:$A$2000,"&lt;="&amp;$A398)&gt;0,SUMIFS(Recepciones!$C$5:$C$2000,Recepciones!$B$5:$B$2000,Config!$A$25,Recepciones!$A$5:$A$2000,"&gt;"&amp;$A397,Recepciones!$A$5:$A$2000,"&lt;="&amp;$A398),MAX(0,I398-I397)))</f>
        <v/>
      </c>
      <c r="K398" s="24" t="str">
        <f aca="false">IF($A398="","",MAX(0,I397+J398-I398))</f>
        <v/>
      </c>
      <c r="L398" s="24" t="str">
        <f aca="false">IF($A398="","",E398+H398+K398)</f>
        <v/>
      </c>
      <c r="M398" s="4" t="str">
        <f aca="false">IF($A398="","",IF(AND(D398+G398+J398&gt;0,SUMIFS(Recepciones!$C$5:$C$2000,Recepciones!$A$5:$A$2000,"&gt;"&amp;$A397,Recepciones!$A$5:$A$2000,"&lt;="&amp;$A398)=0),"Aumento de stock sin recepción registrada",IF(B398&gt;1,"Intervalo de "&amp;B398&amp;" días","")))</f>
        <v/>
      </c>
    </row>
    <row r="399" customFormat="false" ht="15" hidden="false" customHeight="false" outlineLevel="0" collapsed="false">
      <c r="A399" s="5" t="str">
        <f aca="false">IF(Stock_Diario!A399="","",Stock_Diario!A399)</f>
        <v/>
      </c>
      <c r="B399" s="4" t="str">
        <f aca="false">IF($A399="","",$A399-$A398)</f>
        <v/>
      </c>
      <c r="C399" s="24" t="str">
        <f aca="false">IF($A399="","",Stock_Diario!E399)</f>
        <v/>
      </c>
      <c r="D399" s="24" t="str">
        <f aca="false">IF($A399="","",IF(SUMIFS(Recepciones!$C$5:$C$2000,Recepciones!$B$5:$B$2000,Config!$A$23,Recepciones!$A$5:$A$2000,"&gt;"&amp;$A398,Recepciones!$A$5:$A$2000,"&lt;="&amp;$A399)&gt;0,SUMIFS(Recepciones!$C$5:$C$2000,Recepciones!$B$5:$B$2000,Config!$A$23,Recepciones!$A$5:$A$2000,"&gt;"&amp;$A398,Recepciones!$A$5:$A$2000,"&lt;="&amp;$A399),MAX(0,C399-C398)))</f>
        <v/>
      </c>
      <c r="E399" s="24" t="str">
        <f aca="false">IF($A399="","",MAX(0,C398+D399-C399))</f>
        <v/>
      </c>
      <c r="F399" s="24" t="str">
        <f aca="false">IF($A399="","",Stock_Diario!F399)</f>
        <v/>
      </c>
      <c r="G399" s="24" t="str">
        <f aca="false">IF($A399="","",IF(SUMIFS(Recepciones!$C$5:$C$2000,Recepciones!$B$5:$B$2000,Config!$A$24,Recepciones!$A$5:$A$2000,"&gt;"&amp;$A398,Recepciones!$A$5:$A$2000,"&lt;="&amp;$A399)&gt;0,SUMIFS(Recepciones!$C$5:$C$2000,Recepciones!$B$5:$B$2000,Config!$A$24,Recepciones!$A$5:$A$2000,"&gt;"&amp;$A398,Recepciones!$A$5:$A$2000,"&lt;="&amp;$A399),MAX(0,F399-F398)))</f>
        <v/>
      </c>
      <c r="H399" s="24" t="str">
        <f aca="false">IF($A399="","",MAX(0,F398+G399-F399))</f>
        <v/>
      </c>
      <c r="I399" s="24" t="str">
        <f aca="false">IF($A399="","",Stock_Diario!G399)</f>
        <v/>
      </c>
      <c r="J399" s="24" t="str">
        <f aca="false">IF($A399="","",IF(SUMIFS(Recepciones!$C$5:$C$2000,Recepciones!$B$5:$B$2000,Config!$A$25,Recepciones!$A$5:$A$2000,"&gt;"&amp;$A398,Recepciones!$A$5:$A$2000,"&lt;="&amp;$A399)&gt;0,SUMIFS(Recepciones!$C$5:$C$2000,Recepciones!$B$5:$B$2000,Config!$A$25,Recepciones!$A$5:$A$2000,"&gt;"&amp;$A398,Recepciones!$A$5:$A$2000,"&lt;="&amp;$A399),MAX(0,I399-I398)))</f>
        <v/>
      </c>
      <c r="K399" s="24" t="str">
        <f aca="false">IF($A399="","",MAX(0,I398+J399-I399))</f>
        <v/>
      </c>
      <c r="L399" s="24" t="str">
        <f aca="false">IF($A399="","",E399+H399+K399)</f>
        <v/>
      </c>
      <c r="M399" s="4" t="str">
        <f aca="false">IF($A399="","",IF(AND(D399+G399+J399&gt;0,SUMIFS(Recepciones!$C$5:$C$2000,Recepciones!$A$5:$A$2000,"&gt;"&amp;$A398,Recepciones!$A$5:$A$2000,"&lt;="&amp;$A399)=0),"Aumento de stock sin recepción registrada",IF(B399&gt;1,"Intervalo de "&amp;B399&amp;" días","")))</f>
        <v/>
      </c>
    </row>
    <row r="400" customFormat="false" ht="15" hidden="false" customHeight="false" outlineLevel="0" collapsed="false">
      <c r="A400" s="5" t="str">
        <f aca="false">IF(Stock_Diario!A400="","",Stock_Diario!A400)</f>
        <v/>
      </c>
      <c r="B400" s="4" t="str">
        <f aca="false">IF($A400="","",$A400-$A399)</f>
        <v/>
      </c>
      <c r="C400" s="24" t="str">
        <f aca="false">IF($A400="","",Stock_Diario!E400)</f>
        <v/>
      </c>
      <c r="D400" s="24" t="str">
        <f aca="false">IF($A400="","",IF(SUMIFS(Recepciones!$C$5:$C$2000,Recepciones!$B$5:$B$2000,Config!$A$23,Recepciones!$A$5:$A$2000,"&gt;"&amp;$A399,Recepciones!$A$5:$A$2000,"&lt;="&amp;$A400)&gt;0,SUMIFS(Recepciones!$C$5:$C$2000,Recepciones!$B$5:$B$2000,Config!$A$23,Recepciones!$A$5:$A$2000,"&gt;"&amp;$A399,Recepciones!$A$5:$A$2000,"&lt;="&amp;$A400),MAX(0,C400-C399)))</f>
        <v/>
      </c>
      <c r="E400" s="24" t="str">
        <f aca="false">IF($A400="","",MAX(0,C399+D400-C400))</f>
        <v/>
      </c>
      <c r="F400" s="24" t="str">
        <f aca="false">IF($A400="","",Stock_Diario!F400)</f>
        <v/>
      </c>
      <c r="G400" s="24" t="str">
        <f aca="false">IF($A400="","",IF(SUMIFS(Recepciones!$C$5:$C$2000,Recepciones!$B$5:$B$2000,Config!$A$24,Recepciones!$A$5:$A$2000,"&gt;"&amp;$A399,Recepciones!$A$5:$A$2000,"&lt;="&amp;$A400)&gt;0,SUMIFS(Recepciones!$C$5:$C$2000,Recepciones!$B$5:$B$2000,Config!$A$24,Recepciones!$A$5:$A$2000,"&gt;"&amp;$A399,Recepciones!$A$5:$A$2000,"&lt;="&amp;$A400),MAX(0,F400-F399)))</f>
        <v/>
      </c>
      <c r="H400" s="24" t="str">
        <f aca="false">IF($A400="","",MAX(0,F399+G400-F400))</f>
        <v/>
      </c>
      <c r="I400" s="24" t="str">
        <f aca="false">IF($A400="","",Stock_Diario!G400)</f>
        <v/>
      </c>
      <c r="J400" s="24" t="str">
        <f aca="false">IF($A400="","",IF(SUMIFS(Recepciones!$C$5:$C$2000,Recepciones!$B$5:$B$2000,Config!$A$25,Recepciones!$A$5:$A$2000,"&gt;"&amp;$A399,Recepciones!$A$5:$A$2000,"&lt;="&amp;$A400)&gt;0,SUMIFS(Recepciones!$C$5:$C$2000,Recepciones!$B$5:$B$2000,Config!$A$25,Recepciones!$A$5:$A$2000,"&gt;"&amp;$A399,Recepciones!$A$5:$A$2000,"&lt;="&amp;$A400),MAX(0,I400-I399)))</f>
        <v/>
      </c>
      <c r="K400" s="24" t="str">
        <f aca="false">IF($A400="","",MAX(0,I399+J400-I400))</f>
        <v/>
      </c>
      <c r="L400" s="24" t="str">
        <f aca="false">IF($A400="","",E400+H400+K400)</f>
        <v/>
      </c>
      <c r="M400" s="4" t="str">
        <f aca="false">IF($A400="","",IF(AND(D400+G400+J400&gt;0,SUMIFS(Recepciones!$C$5:$C$2000,Recepciones!$A$5:$A$2000,"&gt;"&amp;$A399,Recepciones!$A$5:$A$2000,"&lt;="&amp;$A400)=0),"Aumento de stock sin recepción registrada",IF(B400&gt;1,"Intervalo de "&amp;B400&amp;" días","")))</f>
        <v/>
      </c>
    </row>
    <row r="401" customFormat="false" ht="15" hidden="false" customHeight="false" outlineLevel="0" collapsed="false">
      <c r="A401" s="5" t="str">
        <f aca="false">IF(Stock_Diario!A401="","",Stock_Diario!A401)</f>
        <v/>
      </c>
      <c r="B401" s="4" t="str">
        <f aca="false">IF($A401="","",$A401-$A400)</f>
        <v/>
      </c>
      <c r="C401" s="24" t="str">
        <f aca="false">IF($A401="","",Stock_Diario!E401)</f>
        <v/>
      </c>
      <c r="D401" s="24" t="str">
        <f aca="false">IF($A401="","",IF(SUMIFS(Recepciones!$C$5:$C$2000,Recepciones!$B$5:$B$2000,Config!$A$23,Recepciones!$A$5:$A$2000,"&gt;"&amp;$A400,Recepciones!$A$5:$A$2000,"&lt;="&amp;$A401)&gt;0,SUMIFS(Recepciones!$C$5:$C$2000,Recepciones!$B$5:$B$2000,Config!$A$23,Recepciones!$A$5:$A$2000,"&gt;"&amp;$A400,Recepciones!$A$5:$A$2000,"&lt;="&amp;$A401),MAX(0,C401-C400)))</f>
        <v/>
      </c>
      <c r="E401" s="24" t="str">
        <f aca="false">IF($A401="","",MAX(0,C400+D401-C401))</f>
        <v/>
      </c>
      <c r="F401" s="24" t="str">
        <f aca="false">IF($A401="","",Stock_Diario!F401)</f>
        <v/>
      </c>
      <c r="G401" s="24" t="str">
        <f aca="false">IF($A401="","",IF(SUMIFS(Recepciones!$C$5:$C$2000,Recepciones!$B$5:$B$2000,Config!$A$24,Recepciones!$A$5:$A$2000,"&gt;"&amp;$A400,Recepciones!$A$5:$A$2000,"&lt;="&amp;$A401)&gt;0,SUMIFS(Recepciones!$C$5:$C$2000,Recepciones!$B$5:$B$2000,Config!$A$24,Recepciones!$A$5:$A$2000,"&gt;"&amp;$A400,Recepciones!$A$5:$A$2000,"&lt;="&amp;$A401),MAX(0,F401-F400)))</f>
        <v/>
      </c>
      <c r="H401" s="24" t="str">
        <f aca="false">IF($A401="","",MAX(0,F400+G401-F401))</f>
        <v/>
      </c>
      <c r="I401" s="24" t="str">
        <f aca="false">IF($A401="","",Stock_Diario!G401)</f>
        <v/>
      </c>
      <c r="J401" s="24" t="str">
        <f aca="false">IF($A401="","",IF(SUMIFS(Recepciones!$C$5:$C$2000,Recepciones!$B$5:$B$2000,Config!$A$25,Recepciones!$A$5:$A$2000,"&gt;"&amp;$A400,Recepciones!$A$5:$A$2000,"&lt;="&amp;$A401)&gt;0,SUMIFS(Recepciones!$C$5:$C$2000,Recepciones!$B$5:$B$2000,Config!$A$25,Recepciones!$A$5:$A$2000,"&gt;"&amp;$A400,Recepciones!$A$5:$A$2000,"&lt;="&amp;$A401),MAX(0,I401-I400)))</f>
        <v/>
      </c>
      <c r="K401" s="24" t="str">
        <f aca="false">IF($A401="","",MAX(0,I400+J401-I401))</f>
        <v/>
      </c>
      <c r="L401" s="24" t="str">
        <f aca="false">IF($A401="","",E401+H401+K401)</f>
        <v/>
      </c>
      <c r="M401" s="4" t="str">
        <f aca="false">IF($A401="","",IF(AND(D401+G401+J401&gt;0,SUMIFS(Recepciones!$C$5:$C$2000,Recepciones!$A$5:$A$2000,"&gt;"&amp;$A400,Recepciones!$A$5:$A$2000,"&lt;="&amp;$A401)=0),"Aumento de stock sin recepción registrada",IF(B401&gt;1,"Intervalo de "&amp;B401&amp;" días","")))</f>
        <v/>
      </c>
    </row>
    <row r="402" customFormat="false" ht="15" hidden="false" customHeight="false" outlineLevel="0" collapsed="false">
      <c r="A402" s="5" t="str">
        <f aca="false">IF(Stock_Diario!A402="","",Stock_Diario!A402)</f>
        <v/>
      </c>
      <c r="B402" s="4" t="str">
        <f aca="false">IF($A402="","",$A402-$A401)</f>
        <v/>
      </c>
      <c r="C402" s="24" t="str">
        <f aca="false">IF($A402="","",Stock_Diario!E402)</f>
        <v/>
      </c>
      <c r="D402" s="24" t="str">
        <f aca="false">IF($A402="","",IF(SUMIFS(Recepciones!$C$5:$C$2000,Recepciones!$B$5:$B$2000,Config!$A$23,Recepciones!$A$5:$A$2000,"&gt;"&amp;$A401,Recepciones!$A$5:$A$2000,"&lt;="&amp;$A402)&gt;0,SUMIFS(Recepciones!$C$5:$C$2000,Recepciones!$B$5:$B$2000,Config!$A$23,Recepciones!$A$5:$A$2000,"&gt;"&amp;$A401,Recepciones!$A$5:$A$2000,"&lt;="&amp;$A402),MAX(0,C402-C401)))</f>
        <v/>
      </c>
      <c r="E402" s="24" t="str">
        <f aca="false">IF($A402="","",MAX(0,C401+D402-C402))</f>
        <v/>
      </c>
      <c r="F402" s="24" t="str">
        <f aca="false">IF($A402="","",Stock_Diario!F402)</f>
        <v/>
      </c>
      <c r="G402" s="24" t="str">
        <f aca="false">IF($A402="","",IF(SUMIFS(Recepciones!$C$5:$C$2000,Recepciones!$B$5:$B$2000,Config!$A$24,Recepciones!$A$5:$A$2000,"&gt;"&amp;$A401,Recepciones!$A$5:$A$2000,"&lt;="&amp;$A402)&gt;0,SUMIFS(Recepciones!$C$5:$C$2000,Recepciones!$B$5:$B$2000,Config!$A$24,Recepciones!$A$5:$A$2000,"&gt;"&amp;$A401,Recepciones!$A$5:$A$2000,"&lt;="&amp;$A402),MAX(0,F402-F401)))</f>
        <v/>
      </c>
      <c r="H402" s="24" t="str">
        <f aca="false">IF($A402="","",MAX(0,F401+G402-F402))</f>
        <v/>
      </c>
      <c r="I402" s="24" t="str">
        <f aca="false">IF($A402="","",Stock_Diario!G402)</f>
        <v/>
      </c>
      <c r="J402" s="24" t="str">
        <f aca="false">IF($A402="","",IF(SUMIFS(Recepciones!$C$5:$C$2000,Recepciones!$B$5:$B$2000,Config!$A$25,Recepciones!$A$5:$A$2000,"&gt;"&amp;$A401,Recepciones!$A$5:$A$2000,"&lt;="&amp;$A402)&gt;0,SUMIFS(Recepciones!$C$5:$C$2000,Recepciones!$B$5:$B$2000,Config!$A$25,Recepciones!$A$5:$A$2000,"&gt;"&amp;$A401,Recepciones!$A$5:$A$2000,"&lt;="&amp;$A402),MAX(0,I402-I401)))</f>
        <v/>
      </c>
      <c r="K402" s="24" t="str">
        <f aca="false">IF($A402="","",MAX(0,I401+J402-I402))</f>
        <v/>
      </c>
      <c r="L402" s="24" t="str">
        <f aca="false">IF($A402="","",E402+H402+K402)</f>
        <v/>
      </c>
      <c r="M402" s="4" t="str">
        <f aca="false">IF($A402="","",IF(AND(D402+G402+J402&gt;0,SUMIFS(Recepciones!$C$5:$C$2000,Recepciones!$A$5:$A$2000,"&gt;"&amp;$A401,Recepciones!$A$5:$A$2000,"&lt;="&amp;$A402)=0),"Aumento de stock sin recepción registrada",IF(B402&gt;1,"Intervalo de "&amp;B402&amp;" días","")))</f>
        <v/>
      </c>
    </row>
    <row r="403" customFormat="false" ht="15" hidden="false" customHeight="false" outlineLevel="0" collapsed="false">
      <c r="A403" s="5" t="str">
        <f aca="false">IF(Stock_Diario!A403="","",Stock_Diario!A403)</f>
        <v/>
      </c>
      <c r="B403" s="4" t="str">
        <f aca="false">IF($A403="","",$A403-$A402)</f>
        <v/>
      </c>
      <c r="C403" s="24" t="str">
        <f aca="false">IF($A403="","",Stock_Diario!E403)</f>
        <v/>
      </c>
      <c r="D403" s="24" t="str">
        <f aca="false">IF($A403="","",IF(SUMIFS(Recepciones!$C$5:$C$2000,Recepciones!$B$5:$B$2000,Config!$A$23,Recepciones!$A$5:$A$2000,"&gt;"&amp;$A402,Recepciones!$A$5:$A$2000,"&lt;="&amp;$A403)&gt;0,SUMIFS(Recepciones!$C$5:$C$2000,Recepciones!$B$5:$B$2000,Config!$A$23,Recepciones!$A$5:$A$2000,"&gt;"&amp;$A402,Recepciones!$A$5:$A$2000,"&lt;="&amp;$A403),MAX(0,C403-C402)))</f>
        <v/>
      </c>
      <c r="E403" s="24" t="str">
        <f aca="false">IF($A403="","",MAX(0,C402+D403-C403))</f>
        <v/>
      </c>
      <c r="F403" s="24" t="str">
        <f aca="false">IF($A403="","",Stock_Diario!F403)</f>
        <v/>
      </c>
      <c r="G403" s="24" t="str">
        <f aca="false">IF($A403="","",IF(SUMIFS(Recepciones!$C$5:$C$2000,Recepciones!$B$5:$B$2000,Config!$A$24,Recepciones!$A$5:$A$2000,"&gt;"&amp;$A402,Recepciones!$A$5:$A$2000,"&lt;="&amp;$A403)&gt;0,SUMIFS(Recepciones!$C$5:$C$2000,Recepciones!$B$5:$B$2000,Config!$A$24,Recepciones!$A$5:$A$2000,"&gt;"&amp;$A402,Recepciones!$A$5:$A$2000,"&lt;="&amp;$A403),MAX(0,F403-F402)))</f>
        <v/>
      </c>
      <c r="H403" s="24" t="str">
        <f aca="false">IF($A403="","",MAX(0,F402+G403-F403))</f>
        <v/>
      </c>
      <c r="I403" s="24" t="str">
        <f aca="false">IF($A403="","",Stock_Diario!G403)</f>
        <v/>
      </c>
      <c r="J403" s="24" t="str">
        <f aca="false">IF($A403="","",IF(SUMIFS(Recepciones!$C$5:$C$2000,Recepciones!$B$5:$B$2000,Config!$A$25,Recepciones!$A$5:$A$2000,"&gt;"&amp;$A402,Recepciones!$A$5:$A$2000,"&lt;="&amp;$A403)&gt;0,SUMIFS(Recepciones!$C$5:$C$2000,Recepciones!$B$5:$B$2000,Config!$A$25,Recepciones!$A$5:$A$2000,"&gt;"&amp;$A402,Recepciones!$A$5:$A$2000,"&lt;="&amp;$A403),MAX(0,I403-I402)))</f>
        <v/>
      </c>
      <c r="K403" s="24" t="str">
        <f aca="false">IF($A403="","",MAX(0,I402+J403-I403))</f>
        <v/>
      </c>
      <c r="L403" s="24" t="str">
        <f aca="false">IF($A403="","",E403+H403+K403)</f>
        <v/>
      </c>
      <c r="M403" s="4" t="str">
        <f aca="false">IF($A403="","",IF(AND(D403+G403+J403&gt;0,SUMIFS(Recepciones!$C$5:$C$2000,Recepciones!$A$5:$A$2000,"&gt;"&amp;$A402,Recepciones!$A$5:$A$2000,"&lt;="&amp;$A403)=0),"Aumento de stock sin recepción registrada",IF(B403&gt;1,"Intervalo de "&amp;B403&amp;" días","")))</f>
        <v/>
      </c>
    </row>
    <row r="404" customFormat="false" ht="15" hidden="false" customHeight="false" outlineLevel="0" collapsed="false">
      <c r="A404" s="5" t="str">
        <f aca="false">IF(Stock_Diario!A404="","",Stock_Diario!A404)</f>
        <v/>
      </c>
      <c r="B404" s="4" t="str">
        <f aca="false">IF($A404="","",$A404-$A403)</f>
        <v/>
      </c>
      <c r="C404" s="24" t="str">
        <f aca="false">IF($A404="","",Stock_Diario!E404)</f>
        <v/>
      </c>
      <c r="D404" s="24" t="str">
        <f aca="false">IF($A404="","",IF(SUMIFS(Recepciones!$C$5:$C$2000,Recepciones!$B$5:$B$2000,Config!$A$23,Recepciones!$A$5:$A$2000,"&gt;"&amp;$A403,Recepciones!$A$5:$A$2000,"&lt;="&amp;$A404)&gt;0,SUMIFS(Recepciones!$C$5:$C$2000,Recepciones!$B$5:$B$2000,Config!$A$23,Recepciones!$A$5:$A$2000,"&gt;"&amp;$A403,Recepciones!$A$5:$A$2000,"&lt;="&amp;$A404),MAX(0,C404-C403)))</f>
        <v/>
      </c>
      <c r="E404" s="24" t="str">
        <f aca="false">IF($A404="","",MAX(0,C403+D404-C404))</f>
        <v/>
      </c>
      <c r="F404" s="24" t="str">
        <f aca="false">IF($A404="","",Stock_Diario!F404)</f>
        <v/>
      </c>
      <c r="G404" s="24" t="str">
        <f aca="false">IF($A404="","",IF(SUMIFS(Recepciones!$C$5:$C$2000,Recepciones!$B$5:$B$2000,Config!$A$24,Recepciones!$A$5:$A$2000,"&gt;"&amp;$A403,Recepciones!$A$5:$A$2000,"&lt;="&amp;$A404)&gt;0,SUMIFS(Recepciones!$C$5:$C$2000,Recepciones!$B$5:$B$2000,Config!$A$24,Recepciones!$A$5:$A$2000,"&gt;"&amp;$A403,Recepciones!$A$5:$A$2000,"&lt;="&amp;$A404),MAX(0,F404-F403)))</f>
        <v/>
      </c>
      <c r="H404" s="24" t="str">
        <f aca="false">IF($A404="","",MAX(0,F403+G404-F404))</f>
        <v/>
      </c>
      <c r="I404" s="24" t="str">
        <f aca="false">IF($A404="","",Stock_Diario!G404)</f>
        <v/>
      </c>
      <c r="J404" s="24" t="str">
        <f aca="false">IF($A404="","",IF(SUMIFS(Recepciones!$C$5:$C$2000,Recepciones!$B$5:$B$2000,Config!$A$25,Recepciones!$A$5:$A$2000,"&gt;"&amp;$A403,Recepciones!$A$5:$A$2000,"&lt;="&amp;$A404)&gt;0,SUMIFS(Recepciones!$C$5:$C$2000,Recepciones!$B$5:$B$2000,Config!$A$25,Recepciones!$A$5:$A$2000,"&gt;"&amp;$A403,Recepciones!$A$5:$A$2000,"&lt;="&amp;$A404),MAX(0,I404-I403)))</f>
        <v/>
      </c>
      <c r="K404" s="24" t="str">
        <f aca="false">IF($A404="","",MAX(0,I403+J404-I404))</f>
        <v/>
      </c>
      <c r="L404" s="24" t="str">
        <f aca="false">IF($A404="","",E404+H404+K404)</f>
        <v/>
      </c>
      <c r="M404" s="4" t="str">
        <f aca="false">IF($A404="","",IF(AND(D404+G404+J404&gt;0,SUMIFS(Recepciones!$C$5:$C$2000,Recepciones!$A$5:$A$2000,"&gt;"&amp;$A403,Recepciones!$A$5:$A$2000,"&lt;="&amp;$A404)=0),"Aumento de stock sin recepción registrada",IF(B404&gt;1,"Intervalo de "&amp;B404&amp;" días","")))</f>
        <v/>
      </c>
    </row>
    <row r="405" customFormat="false" ht="15" hidden="false" customHeight="false" outlineLevel="0" collapsed="false">
      <c r="A405" s="5" t="str">
        <f aca="false">IF(Stock_Diario!A405="","",Stock_Diario!A405)</f>
        <v/>
      </c>
      <c r="B405" s="4" t="str">
        <f aca="false">IF($A405="","",$A405-$A404)</f>
        <v/>
      </c>
      <c r="C405" s="24" t="str">
        <f aca="false">IF($A405="","",Stock_Diario!E405)</f>
        <v/>
      </c>
      <c r="D405" s="24" t="str">
        <f aca="false">IF($A405="","",IF(SUMIFS(Recepciones!$C$5:$C$2000,Recepciones!$B$5:$B$2000,Config!$A$23,Recepciones!$A$5:$A$2000,"&gt;"&amp;$A404,Recepciones!$A$5:$A$2000,"&lt;="&amp;$A405)&gt;0,SUMIFS(Recepciones!$C$5:$C$2000,Recepciones!$B$5:$B$2000,Config!$A$23,Recepciones!$A$5:$A$2000,"&gt;"&amp;$A404,Recepciones!$A$5:$A$2000,"&lt;="&amp;$A405),MAX(0,C405-C404)))</f>
        <v/>
      </c>
      <c r="E405" s="24" t="str">
        <f aca="false">IF($A405="","",MAX(0,C404+D405-C405))</f>
        <v/>
      </c>
      <c r="F405" s="24" t="str">
        <f aca="false">IF($A405="","",Stock_Diario!F405)</f>
        <v/>
      </c>
      <c r="G405" s="24" t="str">
        <f aca="false">IF($A405="","",IF(SUMIFS(Recepciones!$C$5:$C$2000,Recepciones!$B$5:$B$2000,Config!$A$24,Recepciones!$A$5:$A$2000,"&gt;"&amp;$A404,Recepciones!$A$5:$A$2000,"&lt;="&amp;$A405)&gt;0,SUMIFS(Recepciones!$C$5:$C$2000,Recepciones!$B$5:$B$2000,Config!$A$24,Recepciones!$A$5:$A$2000,"&gt;"&amp;$A404,Recepciones!$A$5:$A$2000,"&lt;="&amp;$A405),MAX(0,F405-F404)))</f>
        <v/>
      </c>
      <c r="H405" s="24" t="str">
        <f aca="false">IF($A405="","",MAX(0,F404+G405-F405))</f>
        <v/>
      </c>
      <c r="I405" s="24" t="str">
        <f aca="false">IF($A405="","",Stock_Diario!G405)</f>
        <v/>
      </c>
      <c r="J405" s="24" t="str">
        <f aca="false">IF($A405="","",IF(SUMIFS(Recepciones!$C$5:$C$2000,Recepciones!$B$5:$B$2000,Config!$A$25,Recepciones!$A$5:$A$2000,"&gt;"&amp;$A404,Recepciones!$A$5:$A$2000,"&lt;="&amp;$A405)&gt;0,SUMIFS(Recepciones!$C$5:$C$2000,Recepciones!$B$5:$B$2000,Config!$A$25,Recepciones!$A$5:$A$2000,"&gt;"&amp;$A404,Recepciones!$A$5:$A$2000,"&lt;="&amp;$A405),MAX(0,I405-I404)))</f>
        <v/>
      </c>
      <c r="K405" s="24" t="str">
        <f aca="false">IF($A405="","",MAX(0,I404+J405-I405))</f>
        <v/>
      </c>
      <c r="L405" s="24" t="str">
        <f aca="false">IF($A405="","",E405+H405+K405)</f>
        <v/>
      </c>
      <c r="M405" s="4" t="str">
        <f aca="false">IF($A405="","",IF(AND(D405+G405+J405&gt;0,SUMIFS(Recepciones!$C$5:$C$2000,Recepciones!$A$5:$A$2000,"&gt;"&amp;$A404,Recepciones!$A$5:$A$2000,"&lt;="&amp;$A405)=0),"Aumento de stock sin recepción registrada",IF(B405&gt;1,"Intervalo de "&amp;B405&amp;" días","")))</f>
        <v/>
      </c>
    </row>
    <row r="406" customFormat="false" ht="15" hidden="false" customHeight="false" outlineLevel="0" collapsed="false">
      <c r="A406" s="5" t="str">
        <f aca="false">IF(Stock_Diario!A406="","",Stock_Diario!A406)</f>
        <v/>
      </c>
      <c r="B406" s="4" t="str">
        <f aca="false">IF($A406="","",$A406-$A405)</f>
        <v/>
      </c>
      <c r="C406" s="24" t="str">
        <f aca="false">IF($A406="","",Stock_Diario!E406)</f>
        <v/>
      </c>
      <c r="D406" s="24" t="str">
        <f aca="false">IF($A406="","",IF(SUMIFS(Recepciones!$C$5:$C$2000,Recepciones!$B$5:$B$2000,Config!$A$23,Recepciones!$A$5:$A$2000,"&gt;"&amp;$A405,Recepciones!$A$5:$A$2000,"&lt;="&amp;$A406)&gt;0,SUMIFS(Recepciones!$C$5:$C$2000,Recepciones!$B$5:$B$2000,Config!$A$23,Recepciones!$A$5:$A$2000,"&gt;"&amp;$A405,Recepciones!$A$5:$A$2000,"&lt;="&amp;$A406),MAX(0,C406-C405)))</f>
        <v/>
      </c>
      <c r="E406" s="24" t="str">
        <f aca="false">IF($A406="","",MAX(0,C405+D406-C406))</f>
        <v/>
      </c>
      <c r="F406" s="24" t="str">
        <f aca="false">IF($A406="","",Stock_Diario!F406)</f>
        <v/>
      </c>
      <c r="G406" s="24" t="str">
        <f aca="false">IF($A406="","",IF(SUMIFS(Recepciones!$C$5:$C$2000,Recepciones!$B$5:$B$2000,Config!$A$24,Recepciones!$A$5:$A$2000,"&gt;"&amp;$A405,Recepciones!$A$5:$A$2000,"&lt;="&amp;$A406)&gt;0,SUMIFS(Recepciones!$C$5:$C$2000,Recepciones!$B$5:$B$2000,Config!$A$24,Recepciones!$A$5:$A$2000,"&gt;"&amp;$A405,Recepciones!$A$5:$A$2000,"&lt;="&amp;$A406),MAX(0,F406-F405)))</f>
        <v/>
      </c>
      <c r="H406" s="24" t="str">
        <f aca="false">IF($A406="","",MAX(0,F405+G406-F406))</f>
        <v/>
      </c>
      <c r="I406" s="24" t="str">
        <f aca="false">IF($A406="","",Stock_Diario!G406)</f>
        <v/>
      </c>
      <c r="J406" s="24" t="str">
        <f aca="false">IF($A406="","",IF(SUMIFS(Recepciones!$C$5:$C$2000,Recepciones!$B$5:$B$2000,Config!$A$25,Recepciones!$A$5:$A$2000,"&gt;"&amp;$A405,Recepciones!$A$5:$A$2000,"&lt;="&amp;$A406)&gt;0,SUMIFS(Recepciones!$C$5:$C$2000,Recepciones!$B$5:$B$2000,Config!$A$25,Recepciones!$A$5:$A$2000,"&gt;"&amp;$A405,Recepciones!$A$5:$A$2000,"&lt;="&amp;$A406),MAX(0,I406-I405)))</f>
        <v/>
      </c>
      <c r="K406" s="24" t="str">
        <f aca="false">IF($A406="","",MAX(0,I405+J406-I406))</f>
        <v/>
      </c>
      <c r="L406" s="24" t="str">
        <f aca="false">IF($A406="","",E406+H406+K406)</f>
        <v/>
      </c>
      <c r="M406" s="4" t="str">
        <f aca="false">IF($A406="","",IF(AND(D406+G406+J406&gt;0,SUMIFS(Recepciones!$C$5:$C$2000,Recepciones!$A$5:$A$2000,"&gt;"&amp;$A405,Recepciones!$A$5:$A$2000,"&lt;="&amp;$A406)=0),"Aumento de stock sin recepción registrada",IF(B406&gt;1,"Intervalo de "&amp;B406&amp;" días","")))</f>
        <v/>
      </c>
    </row>
    <row r="407" customFormat="false" ht="15" hidden="false" customHeight="false" outlineLevel="0" collapsed="false">
      <c r="A407" s="5" t="str">
        <f aca="false">IF(Stock_Diario!A407="","",Stock_Diario!A407)</f>
        <v/>
      </c>
      <c r="B407" s="4" t="str">
        <f aca="false">IF($A407="","",$A407-$A406)</f>
        <v/>
      </c>
      <c r="C407" s="24" t="str">
        <f aca="false">IF($A407="","",Stock_Diario!E407)</f>
        <v/>
      </c>
      <c r="D407" s="24" t="str">
        <f aca="false">IF($A407="","",IF(SUMIFS(Recepciones!$C$5:$C$2000,Recepciones!$B$5:$B$2000,Config!$A$23,Recepciones!$A$5:$A$2000,"&gt;"&amp;$A406,Recepciones!$A$5:$A$2000,"&lt;="&amp;$A407)&gt;0,SUMIFS(Recepciones!$C$5:$C$2000,Recepciones!$B$5:$B$2000,Config!$A$23,Recepciones!$A$5:$A$2000,"&gt;"&amp;$A406,Recepciones!$A$5:$A$2000,"&lt;="&amp;$A407),MAX(0,C407-C406)))</f>
        <v/>
      </c>
      <c r="E407" s="24" t="str">
        <f aca="false">IF($A407="","",MAX(0,C406+D407-C407))</f>
        <v/>
      </c>
      <c r="F407" s="24" t="str">
        <f aca="false">IF($A407="","",Stock_Diario!F407)</f>
        <v/>
      </c>
      <c r="G407" s="24" t="str">
        <f aca="false">IF($A407="","",IF(SUMIFS(Recepciones!$C$5:$C$2000,Recepciones!$B$5:$B$2000,Config!$A$24,Recepciones!$A$5:$A$2000,"&gt;"&amp;$A406,Recepciones!$A$5:$A$2000,"&lt;="&amp;$A407)&gt;0,SUMIFS(Recepciones!$C$5:$C$2000,Recepciones!$B$5:$B$2000,Config!$A$24,Recepciones!$A$5:$A$2000,"&gt;"&amp;$A406,Recepciones!$A$5:$A$2000,"&lt;="&amp;$A407),MAX(0,F407-F406)))</f>
        <v/>
      </c>
      <c r="H407" s="24" t="str">
        <f aca="false">IF($A407="","",MAX(0,F406+G407-F407))</f>
        <v/>
      </c>
      <c r="I407" s="24" t="str">
        <f aca="false">IF($A407="","",Stock_Diario!G407)</f>
        <v/>
      </c>
      <c r="J407" s="24" t="str">
        <f aca="false">IF($A407="","",IF(SUMIFS(Recepciones!$C$5:$C$2000,Recepciones!$B$5:$B$2000,Config!$A$25,Recepciones!$A$5:$A$2000,"&gt;"&amp;$A406,Recepciones!$A$5:$A$2000,"&lt;="&amp;$A407)&gt;0,SUMIFS(Recepciones!$C$5:$C$2000,Recepciones!$B$5:$B$2000,Config!$A$25,Recepciones!$A$5:$A$2000,"&gt;"&amp;$A406,Recepciones!$A$5:$A$2000,"&lt;="&amp;$A407),MAX(0,I407-I406)))</f>
        <v/>
      </c>
      <c r="K407" s="24" t="str">
        <f aca="false">IF($A407="","",MAX(0,I406+J407-I407))</f>
        <v/>
      </c>
      <c r="L407" s="24" t="str">
        <f aca="false">IF($A407="","",E407+H407+K407)</f>
        <v/>
      </c>
      <c r="M407" s="4" t="str">
        <f aca="false">IF($A407="","",IF(AND(D407+G407+J407&gt;0,SUMIFS(Recepciones!$C$5:$C$2000,Recepciones!$A$5:$A$2000,"&gt;"&amp;$A406,Recepciones!$A$5:$A$2000,"&lt;="&amp;$A407)=0),"Aumento de stock sin recepción registrada",IF(B407&gt;1,"Intervalo de "&amp;B407&amp;" días","")))</f>
        <v/>
      </c>
    </row>
    <row r="408" customFormat="false" ht="15" hidden="false" customHeight="false" outlineLevel="0" collapsed="false">
      <c r="A408" s="5" t="str">
        <f aca="false">IF(Stock_Diario!A408="","",Stock_Diario!A408)</f>
        <v/>
      </c>
      <c r="B408" s="4" t="str">
        <f aca="false">IF($A408="","",$A408-$A407)</f>
        <v/>
      </c>
      <c r="C408" s="24" t="str">
        <f aca="false">IF($A408="","",Stock_Diario!E408)</f>
        <v/>
      </c>
      <c r="D408" s="24" t="str">
        <f aca="false">IF($A408="","",IF(SUMIFS(Recepciones!$C$5:$C$2000,Recepciones!$B$5:$B$2000,Config!$A$23,Recepciones!$A$5:$A$2000,"&gt;"&amp;$A407,Recepciones!$A$5:$A$2000,"&lt;="&amp;$A408)&gt;0,SUMIFS(Recepciones!$C$5:$C$2000,Recepciones!$B$5:$B$2000,Config!$A$23,Recepciones!$A$5:$A$2000,"&gt;"&amp;$A407,Recepciones!$A$5:$A$2000,"&lt;="&amp;$A408),MAX(0,C408-C407)))</f>
        <v/>
      </c>
      <c r="E408" s="24" t="str">
        <f aca="false">IF($A408="","",MAX(0,C407+D408-C408))</f>
        <v/>
      </c>
      <c r="F408" s="24" t="str">
        <f aca="false">IF($A408="","",Stock_Diario!F408)</f>
        <v/>
      </c>
      <c r="G408" s="24" t="str">
        <f aca="false">IF($A408="","",IF(SUMIFS(Recepciones!$C$5:$C$2000,Recepciones!$B$5:$B$2000,Config!$A$24,Recepciones!$A$5:$A$2000,"&gt;"&amp;$A407,Recepciones!$A$5:$A$2000,"&lt;="&amp;$A408)&gt;0,SUMIFS(Recepciones!$C$5:$C$2000,Recepciones!$B$5:$B$2000,Config!$A$24,Recepciones!$A$5:$A$2000,"&gt;"&amp;$A407,Recepciones!$A$5:$A$2000,"&lt;="&amp;$A408),MAX(0,F408-F407)))</f>
        <v/>
      </c>
      <c r="H408" s="24" t="str">
        <f aca="false">IF($A408="","",MAX(0,F407+G408-F408))</f>
        <v/>
      </c>
      <c r="I408" s="24" t="str">
        <f aca="false">IF($A408="","",Stock_Diario!G408)</f>
        <v/>
      </c>
      <c r="J408" s="24" t="str">
        <f aca="false">IF($A408="","",IF(SUMIFS(Recepciones!$C$5:$C$2000,Recepciones!$B$5:$B$2000,Config!$A$25,Recepciones!$A$5:$A$2000,"&gt;"&amp;$A407,Recepciones!$A$5:$A$2000,"&lt;="&amp;$A408)&gt;0,SUMIFS(Recepciones!$C$5:$C$2000,Recepciones!$B$5:$B$2000,Config!$A$25,Recepciones!$A$5:$A$2000,"&gt;"&amp;$A407,Recepciones!$A$5:$A$2000,"&lt;="&amp;$A408),MAX(0,I408-I407)))</f>
        <v/>
      </c>
      <c r="K408" s="24" t="str">
        <f aca="false">IF($A408="","",MAX(0,I407+J408-I408))</f>
        <v/>
      </c>
      <c r="L408" s="24" t="str">
        <f aca="false">IF($A408="","",E408+H408+K408)</f>
        <v/>
      </c>
      <c r="M408" s="4" t="str">
        <f aca="false">IF($A408="","",IF(AND(D408+G408+J408&gt;0,SUMIFS(Recepciones!$C$5:$C$2000,Recepciones!$A$5:$A$2000,"&gt;"&amp;$A407,Recepciones!$A$5:$A$2000,"&lt;="&amp;$A408)=0),"Aumento de stock sin recepción registrada",IF(B408&gt;1,"Intervalo de "&amp;B408&amp;" días","")))</f>
        <v/>
      </c>
    </row>
    <row r="409" customFormat="false" ht="15" hidden="false" customHeight="false" outlineLevel="0" collapsed="false">
      <c r="A409" s="5" t="str">
        <f aca="false">IF(Stock_Diario!A409="","",Stock_Diario!A409)</f>
        <v/>
      </c>
      <c r="B409" s="4" t="str">
        <f aca="false">IF($A409="","",$A409-$A408)</f>
        <v/>
      </c>
      <c r="C409" s="24" t="str">
        <f aca="false">IF($A409="","",Stock_Diario!E409)</f>
        <v/>
      </c>
      <c r="D409" s="24" t="str">
        <f aca="false">IF($A409="","",IF(SUMIFS(Recepciones!$C$5:$C$2000,Recepciones!$B$5:$B$2000,Config!$A$23,Recepciones!$A$5:$A$2000,"&gt;"&amp;$A408,Recepciones!$A$5:$A$2000,"&lt;="&amp;$A409)&gt;0,SUMIFS(Recepciones!$C$5:$C$2000,Recepciones!$B$5:$B$2000,Config!$A$23,Recepciones!$A$5:$A$2000,"&gt;"&amp;$A408,Recepciones!$A$5:$A$2000,"&lt;="&amp;$A409),MAX(0,C409-C408)))</f>
        <v/>
      </c>
      <c r="E409" s="24" t="str">
        <f aca="false">IF($A409="","",MAX(0,C408+D409-C409))</f>
        <v/>
      </c>
      <c r="F409" s="24" t="str">
        <f aca="false">IF($A409="","",Stock_Diario!F409)</f>
        <v/>
      </c>
      <c r="G409" s="24" t="str">
        <f aca="false">IF($A409="","",IF(SUMIFS(Recepciones!$C$5:$C$2000,Recepciones!$B$5:$B$2000,Config!$A$24,Recepciones!$A$5:$A$2000,"&gt;"&amp;$A408,Recepciones!$A$5:$A$2000,"&lt;="&amp;$A409)&gt;0,SUMIFS(Recepciones!$C$5:$C$2000,Recepciones!$B$5:$B$2000,Config!$A$24,Recepciones!$A$5:$A$2000,"&gt;"&amp;$A408,Recepciones!$A$5:$A$2000,"&lt;="&amp;$A409),MAX(0,F409-F408)))</f>
        <v/>
      </c>
      <c r="H409" s="24" t="str">
        <f aca="false">IF($A409="","",MAX(0,F408+G409-F409))</f>
        <v/>
      </c>
      <c r="I409" s="24" t="str">
        <f aca="false">IF($A409="","",Stock_Diario!G409)</f>
        <v/>
      </c>
      <c r="J409" s="24" t="str">
        <f aca="false">IF($A409="","",IF(SUMIFS(Recepciones!$C$5:$C$2000,Recepciones!$B$5:$B$2000,Config!$A$25,Recepciones!$A$5:$A$2000,"&gt;"&amp;$A408,Recepciones!$A$5:$A$2000,"&lt;="&amp;$A409)&gt;0,SUMIFS(Recepciones!$C$5:$C$2000,Recepciones!$B$5:$B$2000,Config!$A$25,Recepciones!$A$5:$A$2000,"&gt;"&amp;$A408,Recepciones!$A$5:$A$2000,"&lt;="&amp;$A409),MAX(0,I409-I408)))</f>
        <v/>
      </c>
      <c r="K409" s="24" t="str">
        <f aca="false">IF($A409="","",MAX(0,I408+J409-I409))</f>
        <v/>
      </c>
      <c r="L409" s="24" t="str">
        <f aca="false">IF($A409="","",E409+H409+K409)</f>
        <v/>
      </c>
      <c r="M409" s="4" t="str">
        <f aca="false">IF($A409="","",IF(AND(D409+G409+J409&gt;0,SUMIFS(Recepciones!$C$5:$C$2000,Recepciones!$A$5:$A$2000,"&gt;"&amp;$A408,Recepciones!$A$5:$A$2000,"&lt;="&amp;$A409)=0),"Aumento de stock sin recepción registrada",IF(B409&gt;1,"Intervalo de "&amp;B409&amp;" días","")))</f>
        <v/>
      </c>
    </row>
    <row r="410" customFormat="false" ht="15" hidden="false" customHeight="false" outlineLevel="0" collapsed="false">
      <c r="A410" s="5" t="str">
        <f aca="false">IF(Stock_Diario!A410="","",Stock_Diario!A410)</f>
        <v/>
      </c>
      <c r="B410" s="4" t="str">
        <f aca="false">IF($A410="","",$A410-$A409)</f>
        <v/>
      </c>
      <c r="C410" s="24" t="str">
        <f aca="false">IF($A410="","",Stock_Diario!E410)</f>
        <v/>
      </c>
      <c r="D410" s="24" t="str">
        <f aca="false">IF($A410="","",IF(SUMIFS(Recepciones!$C$5:$C$2000,Recepciones!$B$5:$B$2000,Config!$A$23,Recepciones!$A$5:$A$2000,"&gt;"&amp;$A409,Recepciones!$A$5:$A$2000,"&lt;="&amp;$A410)&gt;0,SUMIFS(Recepciones!$C$5:$C$2000,Recepciones!$B$5:$B$2000,Config!$A$23,Recepciones!$A$5:$A$2000,"&gt;"&amp;$A409,Recepciones!$A$5:$A$2000,"&lt;="&amp;$A410),MAX(0,C410-C409)))</f>
        <v/>
      </c>
      <c r="E410" s="24" t="str">
        <f aca="false">IF($A410="","",MAX(0,C409+D410-C410))</f>
        <v/>
      </c>
      <c r="F410" s="24" t="str">
        <f aca="false">IF($A410="","",Stock_Diario!F410)</f>
        <v/>
      </c>
      <c r="G410" s="24" t="str">
        <f aca="false">IF($A410="","",IF(SUMIFS(Recepciones!$C$5:$C$2000,Recepciones!$B$5:$B$2000,Config!$A$24,Recepciones!$A$5:$A$2000,"&gt;"&amp;$A409,Recepciones!$A$5:$A$2000,"&lt;="&amp;$A410)&gt;0,SUMIFS(Recepciones!$C$5:$C$2000,Recepciones!$B$5:$B$2000,Config!$A$24,Recepciones!$A$5:$A$2000,"&gt;"&amp;$A409,Recepciones!$A$5:$A$2000,"&lt;="&amp;$A410),MAX(0,F410-F409)))</f>
        <v/>
      </c>
      <c r="H410" s="24" t="str">
        <f aca="false">IF($A410="","",MAX(0,F409+G410-F410))</f>
        <v/>
      </c>
      <c r="I410" s="24" t="str">
        <f aca="false">IF($A410="","",Stock_Diario!G410)</f>
        <v/>
      </c>
      <c r="J410" s="24" t="str">
        <f aca="false">IF($A410="","",IF(SUMIFS(Recepciones!$C$5:$C$2000,Recepciones!$B$5:$B$2000,Config!$A$25,Recepciones!$A$5:$A$2000,"&gt;"&amp;$A409,Recepciones!$A$5:$A$2000,"&lt;="&amp;$A410)&gt;0,SUMIFS(Recepciones!$C$5:$C$2000,Recepciones!$B$5:$B$2000,Config!$A$25,Recepciones!$A$5:$A$2000,"&gt;"&amp;$A409,Recepciones!$A$5:$A$2000,"&lt;="&amp;$A410),MAX(0,I410-I409)))</f>
        <v/>
      </c>
      <c r="K410" s="24" t="str">
        <f aca="false">IF($A410="","",MAX(0,I409+J410-I410))</f>
        <v/>
      </c>
      <c r="L410" s="24" t="str">
        <f aca="false">IF($A410="","",E410+H410+K410)</f>
        <v/>
      </c>
      <c r="M410" s="4" t="str">
        <f aca="false">IF($A410="","",IF(AND(D410+G410+J410&gt;0,SUMIFS(Recepciones!$C$5:$C$2000,Recepciones!$A$5:$A$2000,"&gt;"&amp;$A409,Recepciones!$A$5:$A$2000,"&lt;="&amp;$A410)=0),"Aumento de stock sin recepción registrada",IF(B410&gt;1,"Intervalo de "&amp;B410&amp;" días","")))</f>
        <v/>
      </c>
    </row>
    <row r="411" customFormat="false" ht="15" hidden="false" customHeight="false" outlineLevel="0" collapsed="false">
      <c r="A411" s="5" t="str">
        <f aca="false">IF(Stock_Diario!A411="","",Stock_Diario!A411)</f>
        <v/>
      </c>
      <c r="B411" s="4" t="str">
        <f aca="false">IF($A411="","",$A411-$A410)</f>
        <v/>
      </c>
      <c r="C411" s="24" t="str">
        <f aca="false">IF($A411="","",Stock_Diario!E411)</f>
        <v/>
      </c>
      <c r="D411" s="24" t="str">
        <f aca="false">IF($A411="","",IF(SUMIFS(Recepciones!$C$5:$C$2000,Recepciones!$B$5:$B$2000,Config!$A$23,Recepciones!$A$5:$A$2000,"&gt;"&amp;$A410,Recepciones!$A$5:$A$2000,"&lt;="&amp;$A411)&gt;0,SUMIFS(Recepciones!$C$5:$C$2000,Recepciones!$B$5:$B$2000,Config!$A$23,Recepciones!$A$5:$A$2000,"&gt;"&amp;$A410,Recepciones!$A$5:$A$2000,"&lt;="&amp;$A411),MAX(0,C411-C410)))</f>
        <v/>
      </c>
      <c r="E411" s="24" t="str">
        <f aca="false">IF($A411="","",MAX(0,C410+D411-C411))</f>
        <v/>
      </c>
      <c r="F411" s="24" t="str">
        <f aca="false">IF($A411="","",Stock_Diario!F411)</f>
        <v/>
      </c>
      <c r="G411" s="24" t="str">
        <f aca="false">IF($A411="","",IF(SUMIFS(Recepciones!$C$5:$C$2000,Recepciones!$B$5:$B$2000,Config!$A$24,Recepciones!$A$5:$A$2000,"&gt;"&amp;$A410,Recepciones!$A$5:$A$2000,"&lt;="&amp;$A411)&gt;0,SUMIFS(Recepciones!$C$5:$C$2000,Recepciones!$B$5:$B$2000,Config!$A$24,Recepciones!$A$5:$A$2000,"&gt;"&amp;$A410,Recepciones!$A$5:$A$2000,"&lt;="&amp;$A411),MAX(0,F411-F410)))</f>
        <v/>
      </c>
      <c r="H411" s="24" t="str">
        <f aca="false">IF($A411="","",MAX(0,F410+G411-F411))</f>
        <v/>
      </c>
      <c r="I411" s="24" t="str">
        <f aca="false">IF($A411="","",Stock_Diario!G411)</f>
        <v/>
      </c>
      <c r="J411" s="24" t="str">
        <f aca="false">IF($A411="","",IF(SUMIFS(Recepciones!$C$5:$C$2000,Recepciones!$B$5:$B$2000,Config!$A$25,Recepciones!$A$5:$A$2000,"&gt;"&amp;$A410,Recepciones!$A$5:$A$2000,"&lt;="&amp;$A411)&gt;0,SUMIFS(Recepciones!$C$5:$C$2000,Recepciones!$B$5:$B$2000,Config!$A$25,Recepciones!$A$5:$A$2000,"&gt;"&amp;$A410,Recepciones!$A$5:$A$2000,"&lt;="&amp;$A411),MAX(0,I411-I410)))</f>
        <v/>
      </c>
      <c r="K411" s="24" t="str">
        <f aca="false">IF($A411="","",MAX(0,I410+J411-I411))</f>
        <v/>
      </c>
      <c r="L411" s="24" t="str">
        <f aca="false">IF($A411="","",E411+H411+K411)</f>
        <v/>
      </c>
      <c r="M411" s="4" t="str">
        <f aca="false">IF($A411="","",IF(AND(D411+G411+J411&gt;0,SUMIFS(Recepciones!$C$5:$C$2000,Recepciones!$A$5:$A$2000,"&gt;"&amp;$A410,Recepciones!$A$5:$A$2000,"&lt;="&amp;$A411)=0),"Aumento de stock sin recepción registrada",IF(B411&gt;1,"Intervalo de "&amp;B411&amp;" días","")))</f>
        <v/>
      </c>
    </row>
    <row r="412" customFormat="false" ht="15" hidden="false" customHeight="false" outlineLevel="0" collapsed="false">
      <c r="A412" s="5" t="str">
        <f aca="false">IF(Stock_Diario!A412="","",Stock_Diario!A412)</f>
        <v/>
      </c>
      <c r="B412" s="4" t="str">
        <f aca="false">IF($A412="","",$A412-$A411)</f>
        <v/>
      </c>
      <c r="C412" s="24" t="str">
        <f aca="false">IF($A412="","",Stock_Diario!E412)</f>
        <v/>
      </c>
      <c r="D412" s="24" t="str">
        <f aca="false">IF($A412="","",IF(SUMIFS(Recepciones!$C$5:$C$2000,Recepciones!$B$5:$B$2000,Config!$A$23,Recepciones!$A$5:$A$2000,"&gt;"&amp;$A411,Recepciones!$A$5:$A$2000,"&lt;="&amp;$A412)&gt;0,SUMIFS(Recepciones!$C$5:$C$2000,Recepciones!$B$5:$B$2000,Config!$A$23,Recepciones!$A$5:$A$2000,"&gt;"&amp;$A411,Recepciones!$A$5:$A$2000,"&lt;="&amp;$A412),MAX(0,C412-C411)))</f>
        <v/>
      </c>
      <c r="E412" s="24" t="str">
        <f aca="false">IF($A412="","",MAX(0,C411+D412-C412))</f>
        <v/>
      </c>
      <c r="F412" s="24" t="str">
        <f aca="false">IF($A412="","",Stock_Diario!F412)</f>
        <v/>
      </c>
      <c r="G412" s="24" t="str">
        <f aca="false">IF($A412="","",IF(SUMIFS(Recepciones!$C$5:$C$2000,Recepciones!$B$5:$B$2000,Config!$A$24,Recepciones!$A$5:$A$2000,"&gt;"&amp;$A411,Recepciones!$A$5:$A$2000,"&lt;="&amp;$A412)&gt;0,SUMIFS(Recepciones!$C$5:$C$2000,Recepciones!$B$5:$B$2000,Config!$A$24,Recepciones!$A$5:$A$2000,"&gt;"&amp;$A411,Recepciones!$A$5:$A$2000,"&lt;="&amp;$A412),MAX(0,F412-F411)))</f>
        <v/>
      </c>
      <c r="H412" s="24" t="str">
        <f aca="false">IF($A412="","",MAX(0,F411+G412-F412))</f>
        <v/>
      </c>
      <c r="I412" s="24" t="str">
        <f aca="false">IF($A412="","",Stock_Diario!G412)</f>
        <v/>
      </c>
      <c r="J412" s="24" t="str">
        <f aca="false">IF($A412="","",IF(SUMIFS(Recepciones!$C$5:$C$2000,Recepciones!$B$5:$B$2000,Config!$A$25,Recepciones!$A$5:$A$2000,"&gt;"&amp;$A411,Recepciones!$A$5:$A$2000,"&lt;="&amp;$A412)&gt;0,SUMIFS(Recepciones!$C$5:$C$2000,Recepciones!$B$5:$B$2000,Config!$A$25,Recepciones!$A$5:$A$2000,"&gt;"&amp;$A411,Recepciones!$A$5:$A$2000,"&lt;="&amp;$A412),MAX(0,I412-I411)))</f>
        <v/>
      </c>
      <c r="K412" s="24" t="str">
        <f aca="false">IF($A412="","",MAX(0,I411+J412-I412))</f>
        <v/>
      </c>
      <c r="L412" s="24" t="str">
        <f aca="false">IF($A412="","",E412+H412+K412)</f>
        <v/>
      </c>
      <c r="M412" s="4" t="str">
        <f aca="false">IF($A412="","",IF(AND(D412+G412+J412&gt;0,SUMIFS(Recepciones!$C$5:$C$2000,Recepciones!$A$5:$A$2000,"&gt;"&amp;$A411,Recepciones!$A$5:$A$2000,"&lt;="&amp;$A412)=0),"Aumento de stock sin recepción registrada",IF(B412&gt;1,"Intervalo de "&amp;B412&amp;" días","")))</f>
        <v/>
      </c>
    </row>
    <row r="413" customFormat="false" ht="15" hidden="false" customHeight="false" outlineLevel="0" collapsed="false">
      <c r="A413" s="5" t="str">
        <f aca="false">IF(Stock_Diario!A413="","",Stock_Diario!A413)</f>
        <v/>
      </c>
      <c r="B413" s="4" t="str">
        <f aca="false">IF($A413="","",$A413-$A412)</f>
        <v/>
      </c>
      <c r="C413" s="24" t="str">
        <f aca="false">IF($A413="","",Stock_Diario!E413)</f>
        <v/>
      </c>
      <c r="D413" s="24" t="str">
        <f aca="false">IF($A413="","",IF(SUMIFS(Recepciones!$C$5:$C$2000,Recepciones!$B$5:$B$2000,Config!$A$23,Recepciones!$A$5:$A$2000,"&gt;"&amp;$A412,Recepciones!$A$5:$A$2000,"&lt;="&amp;$A413)&gt;0,SUMIFS(Recepciones!$C$5:$C$2000,Recepciones!$B$5:$B$2000,Config!$A$23,Recepciones!$A$5:$A$2000,"&gt;"&amp;$A412,Recepciones!$A$5:$A$2000,"&lt;="&amp;$A413),MAX(0,C413-C412)))</f>
        <v/>
      </c>
      <c r="E413" s="24" t="str">
        <f aca="false">IF($A413="","",MAX(0,C412+D413-C413))</f>
        <v/>
      </c>
      <c r="F413" s="24" t="str">
        <f aca="false">IF($A413="","",Stock_Diario!F413)</f>
        <v/>
      </c>
      <c r="G413" s="24" t="str">
        <f aca="false">IF($A413="","",IF(SUMIFS(Recepciones!$C$5:$C$2000,Recepciones!$B$5:$B$2000,Config!$A$24,Recepciones!$A$5:$A$2000,"&gt;"&amp;$A412,Recepciones!$A$5:$A$2000,"&lt;="&amp;$A413)&gt;0,SUMIFS(Recepciones!$C$5:$C$2000,Recepciones!$B$5:$B$2000,Config!$A$24,Recepciones!$A$5:$A$2000,"&gt;"&amp;$A412,Recepciones!$A$5:$A$2000,"&lt;="&amp;$A413),MAX(0,F413-F412)))</f>
        <v/>
      </c>
      <c r="H413" s="24" t="str">
        <f aca="false">IF($A413="","",MAX(0,F412+G413-F413))</f>
        <v/>
      </c>
      <c r="I413" s="24" t="str">
        <f aca="false">IF($A413="","",Stock_Diario!G413)</f>
        <v/>
      </c>
      <c r="J413" s="24" t="str">
        <f aca="false">IF($A413="","",IF(SUMIFS(Recepciones!$C$5:$C$2000,Recepciones!$B$5:$B$2000,Config!$A$25,Recepciones!$A$5:$A$2000,"&gt;"&amp;$A412,Recepciones!$A$5:$A$2000,"&lt;="&amp;$A413)&gt;0,SUMIFS(Recepciones!$C$5:$C$2000,Recepciones!$B$5:$B$2000,Config!$A$25,Recepciones!$A$5:$A$2000,"&gt;"&amp;$A412,Recepciones!$A$5:$A$2000,"&lt;="&amp;$A413),MAX(0,I413-I412)))</f>
        <v/>
      </c>
      <c r="K413" s="24" t="str">
        <f aca="false">IF($A413="","",MAX(0,I412+J413-I413))</f>
        <v/>
      </c>
      <c r="L413" s="24" t="str">
        <f aca="false">IF($A413="","",E413+H413+K413)</f>
        <v/>
      </c>
      <c r="M413" s="4" t="str">
        <f aca="false">IF($A413="","",IF(AND(D413+G413+J413&gt;0,SUMIFS(Recepciones!$C$5:$C$2000,Recepciones!$A$5:$A$2000,"&gt;"&amp;$A412,Recepciones!$A$5:$A$2000,"&lt;="&amp;$A413)=0),"Aumento de stock sin recepción registrada",IF(B413&gt;1,"Intervalo de "&amp;B413&amp;" días","")))</f>
        <v/>
      </c>
    </row>
    <row r="414" customFormat="false" ht="15" hidden="false" customHeight="false" outlineLevel="0" collapsed="false">
      <c r="A414" s="5" t="str">
        <f aca="false">IF(Stock_Diario!A414="","",Stock_Diario!A414)</f>
        <v/>
      </c>
      <c r="B414" s="4" t="str">
        <f aca="false">IF($A414="","",$A414-$A413)</f>
        <v/>
      </c>
      <c r="C414" s="24" t="str">
        <f aca="false">IF($A414="","",Stock_Diario!E414)</f>
        <v/>
      </c>
      <c r="D414" s="24" t="str">
        <f aca="false">IF($A414="","",IF(SUMIFS(Recepciones!$C$5:$C$2000,Recepciones!$B$5:$B$2000,Config!$A$23,Recepciones!$A$5:$A$2000,"&gt;"&amp;$A413,Recepciones!$A$5:$A$2000,"&lt;="&amp;$A414)&gt;0,SUMIFS(Recepciones!$C$5:$C$2000,Recepciones!$B$5:$B$2000,Config!$A$23,Recepciones!$A$5:$A$2000,"&gt;"&amp;$A413,Recepciones!$A$5:$A$2000,"&lt;="&amp;$A414),MAX(0,C414-C413)))</f>
        <v/>
      </c>
      <c r="E414" s="24" t="str">
        <f aca="false">IF($A414="","",MAX(0,C413+D414-C414))</f>
        <v/>
      </c>
      <c r="F414" s="24" t="str">
        <f aca="false">IF($A414="","",Stock_Diario!F414)</f>
        <v/>
      </c>
      <c r="G414" s="24" t="str">
        <f aca="false">IF($A414="","",IF(SUMIFS(Recepciones!$C$5:$C$2000,Recepciones!$B$5:$B$2000,Config!$A$24,Recepciones!$A$5:$A$2000,"&gt;"&amp;$A413,Recepciones!$A$5:$A$2000,"&lt;="&amp;$A414)&gt;0,SUMIFS(Recepciones!$C$5:$C$2000,Recepciones!$B$5:$B$2000,Config!$A$24,Recepciones!$A$5:$A$2000,"&gt;"&amp;$A413,Recepciones!$A$5:$A$2000,"&lt;="&amp;$A414),MAX(0,F414-F413)))</f>
        <v/>
      </c>
      <c r="H414" s="24" t="str">
        <f aca="false">IF($A414="","",MAX(0,F413+G414-F414))</f>
        <v/>
      </c>
      <c r="I414" s="24" t="str">
        <f aca="false">IF($A414="","",Stock_Diario!G414)</f>
        <v/>
      </c>
      <c r="J414" s="24" t="str">
        <f aca="false">IF($A414="","",IF(SUMIFS(Recepciones!$C$5:$C$2000,Recepciones!$B$5:$B$2000,Config!$A$25,Recepciones!$A$5:$A$2000,"&gt;"&amp;$A413,Recepciones!$A$5:$A$2000,"&lt;="&amp;$A414)&gt;0,SUMIFS(Recepciones!$C$5:$C$2000,Recepciones!$B$5:$B$2000,Config!$A$25,Recepciones!$A$5:$A$2000,"&gt;"&amp;$A413,Recepciones!$A$5:$A$2000,"&lt;="&amp;$A414),MAX(0,I414-I413)))</f>
        <v/>
      </c>
      <c r="K414" s="24" t="str">
        <f aca="false">IF($A414="","",MAX(0,I413+J414-I414))</f>
        <v/>
      </c>
      <c r="L414" s="24" t="str">
        <f aca="false">IF($A414="","",E414+H414+K414)</f>
        <v/>
      </c>
      <c r="M414" s="4" t="str">
        <f aca="false">IF($A414="","",IF(AND(D414+G414+J414&gt;0,SUMIFS(Recepciones!$C$5:$C$2000,Recepciones!$A$5:$A$2000,"&gt;"&amp;$A413,Recepciones!$A$5:$A$2000,"&lt;="&amp;$A414)=0),"Aumento de stock sin recepción registrada",IF(B414&gt;1,"Intervalo de "&amp;B414&amp;" días","")))</f>
        <v/>
      </c>
    </row>
    <row r="415" customFormat="false" ht="15" hidden="false" customHeight="false" outlineLevel="0" collapsed="false">
      <c r="A415" s="5" t="str">
        <f aca="false">IF(Stock_Diario!A415="","",Stock_Diario!A415)</f>
        <v/>
      </c>
      <c r="B415" s="4" t="str">
        <f aca="false">IF($A415="","",$A415-$A414)</f>
        <v/>
      </c>
      <c r="C415" s="24" t="str">
        <f aca="false">IF($A415="","",Stock_Diario!E415)</f>
        <v/>
      </c>
      <c r="D415" s="24" t="str">
        <f aca="false">IF($A415="","",IF(SUMIFS(Recepciones!$C$5:$C$2000,Recepciones!$B$5:$B$2000,Config!$A$23,Recepciones!$A$5:$A$2000,"&gt;"&amp;$A414,Recepciones!$A$5:$A$2000,"&lt;="&amp;$A415)&gt;0,SUMIFS(Recepciones!$C$5:$C$2000,Recepciones!$B$5:$B$2000,Config!$A$23,Recepciones!$A$5:$A$2000,"&gt;"&amp;$A414,Recepciones!$A$5:$A$2000,"&lt;="&amp;$A415),MAX(0,C415-C414)))</f>
        <v/>
      </c>
      <c r="E415" s="24" t="str">
        <f aca="false">IF($A415="","",MAX(0,C414+D415-C415))</f>
        <v/>
      </c>
      <c r="F415" s="24" t="str">
        <f aca="false">IF($A415="","",Stock_Diario!F415)</f>
        <v/>
      </c>
      <c r="G415" s="24" t="str">
        <f aca="false">IF($A415="","",IF(SUMIFS(Recepciones!$C$5:$C$2000,Recepciones!$B$5:$B$2000,Config!$A$24,Recepciones!$A$5:$A$2000,"&gt;"&amp;$A414,Recepciones!$A$5:$A$2000,"&lt;="&amp;$A415)&gt;0,SUMIFS(Recepciones!$C$5:$C$2000,Recepciones!$B$5:$B$2000,Config!$A$24,Recepciones!$A$5:$A$2000,"&gt;"&amp;$A414,Recepciones!$A$5:$A$2000,"&lt;="&amp;$A415),MAX(0,F415-F414)))</f>
        <v/>
      </c>
      <c r="H415" s="24" t="str">
        <f aca="false">IF($A415="","",MAX(0,F414+G415-F415))</f>
        <v/>
      </c>
      <c r="I415" s="24" t="str">
        <f aca="false">IF($A415="","",Stock_Diario!G415)</f>
        <v/>
      </c>
      <c r="J415" s="24" t="str">
        <f aca="false">IF($A415="","",IF(SUMIFS(Recepciones!$C$5:$C$2000,Recepciones!$B$5:$B$2000,Config!$A$25,Recepciones!$A$5:$A$2000,"&gt;"&amp;$A414,Recepciones!$A$5:$A$2000,"&lt;="&amp;$A415)&gt;0,SUMIFS(Recepciones!$C$5:$C$2000,Recepciones!$B$5:$B$2000,Config!$A$25,Recepciones!$A$5:$A$2000,"&gt;"&amp;$A414,Recepciones!$A$5:$A$2000,"&lt;="&amp;$A415),MAX(0,I415-I414)))</f>
        <v/>
      </c>
      <c r="K415" s="24" t="str">
        <f aca="false">IF($A415="","",MAX(0,I414+J415-I415))</f>
        <v/>
      </c>
      <c r="L415" s="24" t="str">
        <f aca="false">IF($A415="","",E415+H415+K415)</f>
        <v/>
      </c>
      <c r="M415" s="4" t="str">
        <f aca="false">IF($A415="","",IF(AND(D415+G415+J415&gt;0,SUMIFS(Recepciones!$C$5:$C$2000,Recepciones!$A$5:$A$2000,"&gt;"&amp;$A414,Recepciones!$A$5:$A$2000,"&lt;="&amp;$A415)=0),"Aumento de stock sin recepción registrada",IF(B415&gt;1,"Intervalo de "&amp;B415&amp;" días","")))</f>
        <v/>
      </c>
    </row>
    <row r="416" customFormat="false" ht="15" hidden="false" customHeight="false" outlineLevel="0" collapsed="false">
      <c r="A416" s="5" t="str">
        <f aca="false">IF(Stock_Diario!A416="","",Stock_Diario!A416)</f>
        <v/>
      </c>
      <c r="B416" s="4" t="str">
        <f aca="false">IF($A416="","",$A416-$A415)</f>
        <v/>
      </c>
      <c r="C416" s="24" t="str">
        <f aca="false">IF($A416="","",Stock_Diario!E416)</f>
        <v/>
      </c>
      <c r="D416" s="24" t="str">
        <f aca="false">IF($A416="","",IF(SUMIFS(Recepciones!$C$5:$C$2000,Recepciones!$B$5:$B$2000,Config!$A$23,Recepciones!$A$5:$A$2000,"&gt;"&amp;$A415,Recepciones!$A$5:$A$2000,"&lt;="&amp;$A416)&gt;0,SUMIFS(Recepciones!$C$5:$C$2000,Recepciones!$B$5:$B$2000,Config!$A$23,Recepciones!$A$5:$A$2000,"&gt;"&amp;$A415,Recepciones!$A$5:$A$2000,"&lt;="&amp;$A416),MAX(0,C416-C415)))</f>
        <v/>
      </c>
      <c r="E416" s="24" t="str">
        <f aca="false">IF($A416="","",MAX(0,C415+D416-C416))</f>
        <v/>
      </c>
      <c r="F416" s="24" t="str">
        <f aca="false">IF($A416="","",Stock_Diario!F416)</f>
        <v/>
      </c>
      <c r="G416" s="24" t="str">
        <f aca="false">IF($A416="","",IF(SUMIFS(Recepciones!$C$5:$C$2000,Recepciones!$B$5:$B$2000,Config!$A$24,Recepciones!$A$5:$A$2000,"&gt;"&amp;$A415,Recepciones!$A$5:$A$2000,"&lt;="&amp;$A416)&gt;0,SUMIFS(Recepciones!$C$5:$C$2000,Recepciones!$B$5:$B$2000,Config!$A$24,Recepciones!$A$5:$A$2000,"&gt;"&amp;$A415,Recepciones!$A$5:$A$2000,"&lt;="&amp;$A416),MAX(0,F416-F415)))</f>
        <v/>
      </c>
      <c r="H416" s="24" t="str">
        <f aca="false">IF($A416="","",MAX(0,F415+G416-F416))</f>
        <v/>
      </c>
      <c r="I416" s="24" t="str">
        <f aca="false">IF($A416="","",Stock_Diario!G416)</f>
        <v/>
      </c>
      <c r="J416" s="24" t="str">
        <f aca="false">IF($A416="","",IF(SUMIFS(Recepciones!$C$5:$C$2000,Recepciones!$B$5:$B$2000,Config!$A$25,Recepciones!$A$5:$A$2000,"&gt;"&amp;$A415,Recepciones!$A$5:$A$2000,"&lt;="&amp;$A416)&gt;0,SUMIFS(Recepciones!$C$5:$C$2000,Recepciones!$B$5:$B$2000,Config!$A$25,Recepciones!$A$5:$A$2000,"&gt;"&amp;$A415,Recepciones!$A$5:$A$2000,"&lt;="&amp;$A416),MAX(0,I416-I415)))</f>
        <v/>
      </c>
      <c r="K416" s="24" t="str">
        <f aca="false">IF($A416="","",MAX(0,I415+J416-I416))</f>
        <v/>
      </c>
      <c r="L416" s="24" t="str">
        <f aca="false">IF($A416="","",E416+H416+K416)</f>
        <v/>
      </c>
      <c r="M416" s="4" t="str">
        <f aca="false">IF($A416="","",IF(AND(D416+G416+J416&gt;0,SUMIFS(Recepciones!$C$5:$C$2000,Recepciones!$A$5:$A$2000,"&gt;"&amp;$A415,Recepciones!$A$5:$A$2000,"&lt;="&amp;$A416)=0),"Aumento de stock sin recepción registrada",IF(B416&gt;1,"Intervalo de "&amp;B416&amp;" días","")))</f>
        <v/>
      </c>
    </row>
    <row r="417" customFormat="false" ht="15" hidden="false" customHeight="false" outlineLevel="0" collapsed="false">
      <c r="A417" s="5" t="str">
        <f aca="false">IF(Stock_Diario!A417="","",Stock_Diario!A417)</f>
        <v/>
      </c>
      <c r="B417" s="4" t="str">
        <f aca="false">IF($A417="","",$A417-$A416)</f>
        <v/>
      </c>
      <c r="C417" s="24" t="str">
        <f aca="false">IF($A417="","",Stock_Diario!E417)</f>
        <v/>
      </c>
      <c r="D417" s="24" t="str">
        <f aca="false">IF($A417="","",IF(SUMIFS(Recepciones!$C$5:$C$2000,Recepciones!$B$5:$B$2000,Config!$A$23,Recepciones!$A$5:$A$2000,"&gt;"&amp;$A416,Recepciones!$A$5:$A$2000,"&lt;="&amp;$A417)&gt;0,SUMIFS(Recepciones!$C$5:$C$2000,Recepciones!$B$5:$B$2000,Config!$A$23,Recepciones!$A$5:$A$2000,"&gt;"&amp;$A416,Recepciones!$A$5:$A$2000,"&lt;="&amp;$A417),MAX(0,C417-C416)))</f>
        <v/>
      </c>
      <c r="E417" s="24" t="str">
        <f aca="false">IF($A417="","",MAX(0,C416+D417-C417))</f>
        <v/>
      </c>
      <c r="F417" s="24" t="str">
        <f aca="false">IF($A417="","",Stock_Diario!F417)</f>
        <v/>
      </c>
      <c r="G417" s="24" t="str">
        <f aca="false">IF($A417="","",IF(SUMIFS(Recepciones!$C$5:$C$2000,Recepciones!$B$5:$B$2000,Config!$A$24,Recepciones!$A$5:$A$2000,"&gt;"&amp;$A416,Recepciones!$A$5:$A$2000,"&lt;="&amp;$A417)&gt;0,SUMIFS(Recepciones!$C$5:$C$2000,Recepciones!$B$5:$B$2000,Config!$A$24,Recepciones!$A$5:$A$2000,"&gt;"&amp;$A416,Recepciones!$A$5:$A$2000,"&lt;="&amp;$A417),MAX(0,F417-F416)))</f>
        <v/>
      </c>
      <c r="H417" s="24" t="str">
        <f aca="false">IF($A417="","",MAX(0,F416+G417-F417))</f>
        <v/>
      </c>
      <c r="I417" s="24" t="str">
        <f aca="false">IF($A417="","",Stock_Diario!G417)</f>
        <v/>
      </c>
      <c r="J417" s="24" t="str">
        <f aca="false">IF($A417="","",IF(SUMIFS(Recepciones!$C$5:$C$2000,Recepciones!$B$5:$B$2000,Config!$A$25,Recepciones!$A$5:$A$2000,"&gt;"&amp;$A416,Recepciones!$A$5:$A$2000,"&lt;="&amp;$A417)&gt;0,SUMIFS(Recepciones!$C$5:$C$2000,Recepciones!$B$5:$B$2000,Config!$A$25,Recepciones!$A$5:$A$2000,"&gt;"&amp;$A416,Recepciones!$A$5:$A$2000,"&lt;="&amp;$A417),MAX(0,I417-I416)))</f>
        <v/>
      </c>
      <c r="K417" s="24" t="str">
        <f aca="false">IF($A417="","",MAX(0,I416+J417-I417))</f>
        <v/>
      </c>
      <c r="L417" s="24" t="str">
        <f aca="false">IF($A417="","",E417+H417+K417)</f>
        <v/>
      </c>
      <c r="M417" s="4" t="str">
        <f aca="false">IF($A417="","",IF(AND(D417+G417+J417&gt;0,SUMIFS(Recepciones!$C$5:$C$2000,Recepciones!$A$5:$A$2000,"&gt;"&amp;$A416,Recepciones!$A$5:$A$2000,"&lt;="&amp;$A417)=0),"Aumento de stock sin recepción registrada",IF(B417&gt;1,"Intervalo de "&amp;B417&amp;" días","")))</f>
        <v/>
      </c>
    </row>
    <row r="418" customFormat="false" ht="15" hidden="false" customHeight="false" outlineLevel="0" collapsed="false">
      <c r="A418" s="5" t="str">
        <f aca="false">IF(Stock_Diario!A418="","",Stock_Diario!A418)</f>
        <v/>
      </c>
      <c r="B418" s="4" t="str">
        <f aca="false">IF($A418="","",$A418-$A417)</f>
        <v/>
      </c>
      <c r="C418" s="24" t="str">
        <f aca="false">IF($A418="","",Stock_Diario!E418)</f>
        <v/>
      </c>
      <c r="D418" s="24" t="str">
        <f aca="false">IF($A418="","",IF(SUMIFS(Recepciones!$C$5:$C$2000,Recepciones!$B$5:$B$2000,Config!$A$23,Recepciones!$A$5:$A$2000,"&gt;"&amp;$A417,Recepciones!$A$5:$A$2000,"&lt;="&amp;$A418)&gt;0,SUMIFS(Recepciones!$C$5:$C$2000,Recepciones!$B$5:$B$2000,Config!$A$23,Recepciones!$A$5:$A$2000,"&gt;"&amp;$A417,Recepciones!$A$5:$A$2000,"&lt;="&amp;$A418),MAX(0,C418-C417)))</f>
        <v/>
      </c>
      <c r="E418" s="24" t="str">
        <f aca="false">IF($A418="","",MAX(0,C417+D418-C418))</f>
        <v/>
      </c>
      <c r="F418" s="24" t="str">
        <f aca="false">IF($A418="","",Stock_Diario!F418)</f>
        <v/>
      </c>
      <c r="G418" s="24" t="str">
        <f aca="false">IF($A418="","",IF(SUMIFS(Recepciones!$C$5:$C$2000,Recepciones!$B$5:$B$2000,Config!$A$24,Recepciones!$A$5:$A$2000,"&gt;"&amp;$A417,Recepciones!$A$5:$A$2000,"&lt;="&amp;$A418)&gt;0,SUMIFS(Recepciones!$C$5:$C$2000,Recepciones!$B$5:$B$2000,Config!$A$24,Recepciones!$A$5:$A$2000,"&gt;"&amp;$A417,Recepciones!$A$5:$A$2000,"&lt;="&amp;$A418),MAX(0,F418-F417)))</f>
        <v/>
      </c>
      <c r="H418" s="24" t="str">
        <f aca="false">IF($A418="","",MAX(0,F417+G418-F418))</f>
        <v/>
      </c>
      <c r="I418" s="24" t="str">
        <f aca="false">IF($A418="","",Stock_Diario!G418)</f>
        <v/>
      </c>
      <c r="J418" s="24" t="str">
        <f aca="false">IF($A418="","",IF(SUMIFS(Recepciones!$C$5:$C$2000,Recepciones!$B$5:$B$2000,Config!$A$25,Recepciones!$A$5:$A$2000,"&gt;"&amp;$A417,Recepciones!$A$5:$A$2000,"&lt;="&amp;$A418)&gt;0,SUMIFS(Recepciones!$C$5:$C$2000,Recepciones!$B$5:$B$2000,Config!$A$25,Recepciones!$A$5:$A$2000,"&gt;"&amp;$A417,Recepciones!$A$5:$A$2000,"&lt;="&amp;$A418),MAX(0,I418-I417)))</f>
        <v/>
      </c>
      <c r="K418" s="24" t="str">
        <f aca="false">IF($A418="","",MAX(0,I417+J418-I418))</f>
        <v/>
      </c>
      <c r="L418" s="24" t="str">
        <f aca="false">IF($A418="","",E418+H418+K418)</f>
        <v/>
      </c>
      <c r="M418" s="4" t="str">
        <f aca="false">IF($A418="","",IF(AND(D418+G418+J418&gt;0,SUMIFS(Recepciones!$C$5:$C$2000,Recepciones!$A$5:$A$2000,"&gt;"&amp;$A417,Recepciones!$A$5:$A$2000,"&lt;="&amp;$A418)=0),"Aumento de stock sin recepción registrada",IF(B418&gt;1,"Intervalo de "&amp;B418&amp;" días","")))</f>
        <v/>
      </c>
    </row>
    <row r="419" customFormat="false" ht="15" hidden="false" customHeight="false" outlineLevel="0" collapsed="false">
      <c r="A419" s="5" t="str">
        <f aca="false">IF(Stock_Diario!A419="","",Stock_Diario!A419)</f>
        <v/>
      </c>
      <c r="B419" s="4" t="str">
        <f aca="false">IF($A419="","",$A419-$A418)</f>
        <v/>
      </c>
      <c r="C419" s="24" t="str">
        <f aca="false">IF($A419="","",Stock_Diario!E419)</f>
        <v/>
      </c>
      <c r="D419" s="24" t="str">
        <f aca="false">IF($A419="","",IF(SUMIFS(Recepciones!$C$5:$C$2000,Recepciones!$B$5:$B$2000,Config!$A$23,Recepciones!$A$5:$A$2000,"&gt;"&amp;$A418,Recepciones!$A$5:$A$2000,"&lt;="&amp;$A419)&gt;0,SUMIFS(Recepciones!$C$5:$C$2000,Recepciones!$B$5:$B$2000,Config!$A$23,Recepciones!$A$5:$A$2000,"&gt;"&amp;$A418,Recepciones!$A$5:$A$2000,"&lt;="&amp;$A419),MAX(0,C419-C418)))</f>
        <v/>
      </c>
      <c r="E419" s="24" t="str">
        <f aca="false">IF($A419="","",MAX(0,C418+D419-C419))</f>
        <v/>
      </c>
      <c r="F419" s="24" t="str">
        <f aca="false">IF($A419="","",Stock_Diario!F419)</f>
        <v/>
      </c>
      <c r="G419" s="24" t="str">
        <f aca="false">IF($A419="","",IF(SUMIFS(Recepciones!$C$5:$C$2000,Recepciones!$B$5:$B$2000,Config!$A$24,Recepciones!$A$5:$A$2000,"&gt;"&amp;$A418,Recepciones!$A$5:$A$2000,"&lt;="&amp;$A419)&gt;0,SUMIFS(Recepciones!$C$5:$C$2000,Recepciones!$B$5:$B$2000,Config!$A$24,Recepciones!$A$5:$A$2000,"&gt;"&amp;$A418,Recepciones!$A$5:$A$2000,"&lt;="&amp;$A419),MAX(0,F419-F418)))</f>
        <v/>
      </c>
      <c r="H419" s="24" t="str">
        <f aca="false">IF($A419="","",MAX(0,F418+G419-F419))</f>
        <v/>
      </c>
      <c r="I419" s="24" t="str">
        <f aca="false">IF($A419="","",Stock_Diario!G419)</f>
        <v/>
      </c>
      <c r="J419" s="24" t="str">
        <f aca="false">IF($A419="","",IF(SUMIFS(Recepciones!$C$5:$C$2000,Recepciones!$B$5:$B$2000,Config!$A$25,Recepciones!$A$5:$A$2000,"&gt;"&amp;$A418,Recepciones!$A$5:$A$2000,"&lt;="&amp;$A419)&gt;0,SUMIFS(Recepciones!$C$5:$C$2000,Recepciones!$B$5:$B$2000,Config!$A$25,Recepciones!$A$5:$A$2000,"&gt;"&amp;$A418,Recepciones!$A$5:$A$2000,"&lt;="&amp;$A419),MAX(0,I419-I418)))</f>
        <v/>
      </c>
      <c r="K419" s="24" t="str">
        <f aca="false">IF($A419="","",MAX(0,I418+J419-I419))</f>
        <v/>
      </c>
      <c r="L419" s="24" t="str">
        <f aca="false">IF($A419="","",E419+H419+K419)</f>
        <v/>
      </c>
      <c r="M419" s="4" t="str">
        <f aca="false">IF($A419="","",IF(AND(D419+G419+J419&gt;0,SUMIFS(Recepciones!$C$5:$C$2000,Recepciones!$A$5:$A$2000,"&gt;"&amp;$A418,Recepciones!$A$5:$A$2000,"&lt;="&amp;$A419)=0),"Aumento de stock sin recepción registrada",IF(B419&gt;1,"Intervalo de "&amp;B419&amp;" días","")))</f>
        <v/>
      </c>
    </row>
    <row r="420" customFormat="false" ht="15" hidden="false" customHeight="false" outlineLevel="0" collapsed="false">
      <c r="A420" s="5" t="str">
        <f aca="false">IF(Stock_Diario!A420="","",Stock_Diario!A420)</f>
        <v/>
      </c>
      <c r="B420" s="4" t="str">
        <f aca="false">IF($A420="","",$A420-$A419)</f>
        <v/>
      </c>
      <c r="C420" s="24" t="str">
        <f aca="false">IF($A420="","",Stock_Diario!E420)</f>
        <v/>
      </c>
      <c r="D420" s="24" t="str">
        <f aca="false">IF($A420="","",IF(SUMIFS(Recepciones!$C$5:$C$2000,Recepciones!$B$5:$B$2000,Config!$A$23,Recepciones!$A$5:$A$2000,"&gt;"&amp;$A419,Recepciones!$A$5:$A$2000,"&lt;="&amp;$A420)&gt;0,SUMIFS(Recepciones!$C$5:$C$2000,Recepciones!$B$5:$B$2000,Config!$A$23,Recepciones!$A$5:$A$2000,"&gt;"&amp;$A419,Recepciones!$A$5:$A$2000,"&lt;="&amp;$A420),MAX(0,C420-C419)))</f>
        <v/>
      </c>
      <c r="E420" s="24" t="str">
        <f aca="false">IF($A420="","",MAX(0,C419+D420-C420))</f>
        <v/>
      </c>
      <c r="F420" s="24" t="str">
        <f aca="false">IF($A420="","",Stock_Diario!F420)</f>
        <v/>
      </c>
      <c r="G420" s="24" t="str">
        <f aca="false">IF($A420="","",IF(SUMIFS(Recepciones!$C$5:$C$2000,Recepciones!$B$5:$B$2000,Config!$A$24,Recepciones!$A$5:$A$2000,"&gt;"&amp;$A419,Recepciones!$A$5:$A$2000,"&lt;="&amp;$A420)&gt;0,SUMIFS(Recepciones!$C$5:$C$2000,Recepciones!$B$5:$B$2000,Config!$A$24,Recepciones!$A$5:$A$2000,"&gt;"&amp;$A419,Recepciones!$A$5:$A$2000,"&lt;="&amp;$A420),MAX(0,F420-F419)))</f>
        <v/>
      </c>
      <c r="H420" s="24" t="str">
        <f aca="false">IF($A420="","",MAX(0,F419+G420-F420))</f>
        <v/>
      </c>
      <c r="I420" s="24" t="str">
        <f aca="false">IF($A420="","",Stock_Diario!G420)</f>
        <v/>
      </c>
      <c r="J420" s="24" t="str">
        <f aca="false">IF($A420="","",IF(SUMIFS(Recepciones!$C$5:$C$2000,Recepciones!$B$5:$B$2000,Config!$A$25,Recepciones!$A$5:$A$2000,"&gt;"&amp;$A419,Recepciones!$A$5:$A$2000,"&lt;="&amp;$A420)&gt;0,SUMIFS(Recepciones!$C$5:$C$2000,Recepciones!$B$5:$B$2000,Config!$A$25,Recepciones!$A$5:$A$2000,"&gt;"&amp;$A419,Recepciones!$A$5:$A$2000,"&lt;="&amp;$A420),MAX(0,I420-I419)))</f>
        <v/>
      </c>
      <c r="K420" s="24" t="str">
        <f aca="false">IF($A420="","",MAX(0,I419+J420-I420))</f>
        <v/>
      </c>
      <c r="L420" s="24" t="str">
        <f aca="false">IF($A420="","",E420+H420+K420)</f>
        <v/>
      </c>
      <c r="M420" s="4" t="str">
        <f aca="false">IF($A420="","",IF(AND(D420+G420+J420&gt;0,SUMIFS(Recepciones!$C$5:$C$2000,Recepciones!$A$5:$A$2000,"&gt;"&amp;$A419,Recepciones!$A$5:$A$2000,"&lt;="&amp;$A420)=0),"Aumento de stock sin recepción registrada",IF(B420&gt;1,"Intervalo de "&amp;B420&amp;" días","")))</f>
        <v/>
      </c>
    </row>
    <row r="421" customFormat="false" ht="15" hidden="false" customHeight="false" outlineLevel="0" collapsed="false">
      <c r="A421" s="5" t="str">
        <f aca="false">IF(Stock_Diario!A421="","",Stock_Diario!A421)</f>
        <v/>
      </c>
      <c r="B421" s="4" t="str">
        <f aca="false">IF($A421="","",$A421-$A420)</f>
        <v/>
      </c>
      <c r="C421" s="24" t="str">
        <f aca="false">IF($A421="","",Stock_Diario!E421)</f>
        <v/>
      </c>
      <c r="D421" s="24" t="str">
        <f aca="false">IF($A421="","",IF(SUMIFS(Recepciones!$C$5:$C$2000,Recepciones!$B$5:$B$2000,Config!$A$23,Recepciones!$A$5:$A$2000,"&gt;"&amp;$A420,Recepciones!$A$5:$A$2000,"&lt;="&amp;$A421)&gt;0,SUMIFS(Recepciones!$C$5:$C$2000,Recepciones!$B$5:$B$2000,Config!$A$23,Recepciones!$A$5:$A$2000,"&gt;"&amp;$A420,Recepciones!$A$5:$A$2000,"&lt;="&amp;$A421),MAX(0,C421-C420)))</f>
        <v/>
      </c>
      <c r="E421" s="24" t="str">
        <f aca="false">IF($A421="","",MAX(0,C420+D421-C421))</f>
        <v/>
      </c>
      <c r="F421" s="24" t="str">
        <f aca="false">IF($A421="","",Stock_Diario!F421)</f>
        <v/>
      </c>
      <c r="G421" s="24" t="str">
        <f aca="false">IF($A421="","",IF(SUMIFS(Recepciones!$C$5:$C$2000,Recepciones!$B$5:$B$2000,Config!$A$24,Recepciones!$A$5:$A$2000,"&gt;"&amp;$A420,Recepciones!$A$5:$A$2000,"&lt;="&amp;$A421)&gt;0,SUMIFS(Recepciones!$C$5:$C$2000,Recepciones!$B$5:$B$2000,Config!$A$24,Recepciones!$A$5:$A$2000,"&gt;"&amp;$A420,Recepciones!$A$5:$A$2000,"&lt;="&amp;$A421),MAX(0,F421-F420)))</f>
        <v/>
      </c>
      <c r="H421" s="24" t="str">
        <f aca="false">IF($A421="","",MAX(0,F420+G421-F421))</f>
        <v/>
      </c>
      <c r="I421" s="24" t="str">
        <f aca="false">IF($A421="","",Stock_Diario!G421)</f>
        <v/>
      </c>
      <c r="J421" s="24" t="str">
        <f aca="false">IF($A421="","",IF(SUMIFS(Recepciones!$C$5:$C$2000,Recepciones!$B$5:$B$2000,Config!$A$25,Recepciones!$A$5:$A$2000,"&gt;"&amp;$A420,Recepciones!$A$5:$A$2000,"&lt;="&amp;$A421)&gt;0,SUMIFS(Recepciones!$C$5:$C$2000,Recepciones!$B$5:$B$2000,Config!$A$25,Recepciones!$A$5:$A$2000,"&gt;"&amp;$A420,Recepciones!$A$5:$A$2000,"&lt;="&amp;$A421),MAX(0,I421-I420)))</f>
        <v/>
      </c>
      <c r="K421" s="24" t="str">
        <f aca="false">IF($A421="","",MAX(0,I420+J421-I421))</f>
        <v/>
      </c>
      <c r="L421" s="24" t="str">
        <f aca="false">IF($A421="","",E421+H421+K421)</f>
        <v/>
      </c>
      <c r="M421" s="4" t="str">
        <f aca="false">IF($A421="","",IF(AND(D421+G421+J421&gt;0,SUMIFS(Recepciones!$C$5:$C$2000,Recepciones!$A$5:$A$2000,"&gt;"&amp;$A420,Recepciones!$A$5:$A$2000,"&lt;="&amp;$A421)=0),"Aumento de stock sin recepción registrada",IF(B421&gt;1,"Intervalo de "&amp;B421&amp;" días","")))</f>
        <v/>
      </c>
    </row>
    <row r="422" customFormat="false" ht="15" hidden="false" customHeight="false" outlineLevel="0" collapsed="false">
      <c r="A422" s="5" t="str">
        <f aca="false">IF(Stock_Diario!A422="","",Stock_Diario!A422)</f>
        <v/>
      </c>
      <c r="B422" s="4" t="str">
        <f aca="false">IF($A422="","",$A422-$A421)</f>
        <v/>
      </c>
      <c r="C422" s="24" t="str">
        <f aca="false">IF($A422="","",Stock_Diario!E422)</f>
        <v/>
      </c>
      <c r="D422" s="24" t="str">
        <f aca="false">IF($A422="","",IF(SUMIFS(Recepciones!$C$5:$C$2000,Recepciones!$B$5:$B$2000,Config!$A$23,Recepciones!$A$5:$A$2000,"&gt;"&amp;$A421,Recepciones!$A$5:$A$2000,"&lt;="&amp;$A422)&gt;0,SUMIFS(Recepciones!$C$5:$C$2000,Recepciones!$B$5:$B$2000,Config!$A$23,Recepciones!$A$5:$A$2000,"&gt;"&amp;$A421,Recepciones!$A$5:$A$2000,"&lt;="&amp;$A422),MAX(0,C422-C421)))</f>
        <v/>
      </c>
      <c r="E422" s="24" t="str">
        <f aca="false">IF($A422="","",MAX(0,C421+D422-C422))</f>
        <v/>
      </c>
      <c r="F422" s="24" t="str">
        <f aca="false">IF($A422="","",Stock_Diario!F422)</f>
        <v/>
      </c>
      <c r="G422" s="24" t="str">
        <f aca="false">IF($A422="","",IF(SUMIFS(Recepciones!$C$5:$C$2000,Recepciones!$B$5:$B$2000,Config!$A$24,Recepciones!$A$5:$A$2000,"&gt;"&amp;$A421,Recepciones!$A$5:$A$2000,"&lt;="&amp;$A422)&gt;0,SUMIFS(Recepciones!$C$5:$C$2000,Recepciones!$B$5:$B$2000,Config!$A$24,Recepciones!$A$5:$A$2000,"&gt;"&amp;$A421,Recepciones!$A$5:$A$2000,"&lt;="&amp;$A422),MAX(0,F422-F421)))</f>
        <v/>
      </c>
      <c r="H422" s="24" t="str">
        <f aca="false">IF($A422="","",MAX(0,F421+G422-F422))</f>
        <v/>
      </c>
      <c r="I422" s="24" t="str">
        <f aca="false">IF($A422="","",Stock_Diario!G422)</f>
        <v/>
      </c>
      <c r="J422" s="24" t="str">
        <f aca="false">IF($A422="","",IF(SUMIFS(Recepciones!$C$5:$C$2000,Recepciones!$B$5:$B$2000,Config!$A$25,Recepciones!$A$5:$A$2000,"&gt;"&amp;$A421,Recepciones!$A$5:$A$2000,"&lt;="&amp;$A422)&gt;0,SUMIFS(Recepciones!$C$5:$C$2000,Recepciones!$B$5:$B$2000,Config!$A$25,Recepciones!$A$5:$A$2000,"&gt;"&amp;$A421,Recepciones!$A$5:$A$2000,"&lt;="&amp;$A422),MAX(0,I422-I421)))</f>
        <v/>
      </c>
      <c r="K422" s="24" t="str">
        <f aca="false">IF($A422="","",MAX(0,I421+J422-I422))</f>
        <v/>
      </c>
      <c r="L422" s="24" t="str">
        <f aca="false">IF($A422="","",E422+H422+K422)</f>
        <v/>
      </c>
      <c r="M422" s="4" t="str">
        <f aca="false">IF($A422="","",IF(AND(D422+G422+J422&gt;0,SUMIFS(Recepciones!$C$5:$C$2000,Recepciones!$A$5:$A$2000,"&gt;"&amp;$A421,Recepciones!$A$5:$A$2000,"&lt;="&amp;$A422)=0),"Aumento de stock sin recepción registrada",IF(B422&gt;1,"Intervalo de "&amp;B422&amp;" días","")))</f>
        <v/>
      </c>
    </row>
    <row r="423" customFormat="false" ht="15" hidden="false" customHeight="false" outlineLevel="0" collapsed="false">
      <c r="A423" s="5" t="str">
        <f aca="false">IF(Stock_Diario!A423="","",Stock_Diario!A423)</f>
        <v/>
      </c>
      <c r="B423" s="4" t="str">
        <f aca="false">IF($A423="","",$A423-$A422)</f>
        <v/>
      </c>
      <c r="C423" s="24" t="str">
        <f aca="false">IF($A423="","",Stock_Diario!E423)</f>
        <v/>
      </c>
      <c r="D423" s="24" t="str">
        <f aca="false">IF($A423="","",IF(SUMIFS(Recepciones!$C$5:$C$2000,Recepciones!$B$5:$B$2000,Config!$A$23,Recepciones!$A$5:$A$2000,"&gt;"&amp;$A422,Recepciones!$A$5:$A$2000,"&lt;="&amp;$A423)&gt;0,SUMIFS(Recepciones!$C$5:$C$2000,Recepciones!$B$5:$B$2000,Config!$A$23,Recepciones!$A$5:$A$2000,"&gt;"&amp;$A422,Recepciones!$A$5:$A$2000,"&lt;="&amp;$A423),MAX(0,C423-C422)))</f>
        <v/>
      </c>
      <c r="E423" s="24" t="str">
        <f aca="false">IF($A423="","",MAX(0,C422+D423-C423))</f>
        <v/>
      </c>
      <c r="F423" s="24" t="str">
        <f aca="false">IF($A423="","",Stock_Diario!F423)</f>
        <v/>
      </c>
      <c r="G423" s="24" t="str">
        <f aca="false">IF($A423="","",IF(SUMIFS(Recepciones!$C$5:$C$2000,Recepciones!$B$5:$B$2000,Config!$A$24,Recepciones!$A$5:$A$2000,"&gt;"&amp;$A422,Recepciones!$A$5:$A$2000,"&lt;="&amp;$A423)&gt;0,SUMIFS(Recepciones!$C$5:$C$2000,Recepciones!$B$5:$B$2000,Config!$A$24,Recepciones!$A$5:$A$2000,"&gt;"&amp;$A422,Recepciones!$A$5:$A$2000,"&lt;="&amp;$A423),MAX(0,F423-F422)))</f>
        <v/>
      </c>
      <c r="H423" s="24" t="str">
        <f aca="false">IF($A423="","",MAX(0,F422+G423-F423))</f>
        <v/>
      </c>
      <c r="I423" s="24" t="str">
        <f aca="false">IF($A423="","",Stock_Diario!G423)</f>
        <v/>
      </c>
      <c r="J423" s="24" t="str">
        <f aca="false">IF($A423="","",IF(SUMIFS(Recepciones!$C$5:$C$2000,Recepciones!$B$5:$B$2000,Config!$A$25,Recepciones!$A$5:$A$2000,"&gt;"&amp;$A422,Recepciones!$A$5:$A$2000,"&lt;="&amp;$A423)&gt;0,SUMIFS(Recepciones!$C$5:$C$2000,Recepciones!$B$5:$B$2000,Config!$A$25,Recepciones!$A$5:$A$2000,"&gt;"&amp;$A422,Recepciones!$A$5:$A$2000,"&lt;="&amp;$A423),MAX(0,I423-I422)))</f>
        <v/>
      </c>
      <c r="K423" s="24" t="str">
        <f aca="false">IF($A423="","",MAX(0,I422+J423-I423))</f>
        <v/>
      </c>
      <c r="L423" s="24" t="str">
        <f aca="false">IF($A423="","",E423+H423+K423)</f>
        <v/>
      </c>
      <c r="M423" s="4" t="str">
        <f aca="false">IF($A423="","",IF(AND(D423+G423+J423&gt;0,SUMIFS(Recepciones!$C$5:$C$2000,Recepciones!$A$5:$A$2000,"&gt;"&amp;$A422,Recepciones!$A$5:$A$2000,"&lt;="&amp;$A423)=0),"Aumento de stock sin recepción registrada",IF(B423&gt;1,"Intervalo de "&amp;B423&amp;" días","")))</f>
        <v/>
      </c>
    </row>
    <row r="424" customFormat="false" ht="15" hidden="false" customHeight="false" outlineLevel="0" collapsed="false">
      <c r="A424" s="5" t="str">
        <f aca="false">IF(Stock_Diario!A424="","",Stock_Diario!A424)</f>
        <v/>
      </c>
      <c r="B424" s="4" t="str">
        <f aca="false">IF($A424="","",$A424-$A423)</f>
        <v/>
      </c>
      <c r="C424" s="24" t="str">
        <f aca="false">IF($A424="","",Stock_Diario!E424)</f>
        <v/>
      </c>
      <c r="D424" s="24" t="str">
        <f aca="false">IF($A424="","",IF(SUMIFS(Recepciones!$C$5:$C$2000,Recepciones!$B$5:$B$2000,Config!$A$23,Recepciones!$A$5:$A$2000,"&gt;"&amp;$A423,Recepciones!$A$5:$A$2000,"&lt;="&amp;$A424)&gt;0,SUMIFS(Recepciones!$C$5:$C$2000,Recepciones!$B$5:$B$2000,Config!$A$23,Recepciones!$A$5:$A$2000,"&gt;"&amp;$A423,Recepciones!$A$5:$A$2000,"&lt;="&amp;$A424),MAX(0,C424-C423)))</f>
        <v/>
      </c>
      <c r="E424" s="24" t="str">
        <f aca="false">IF($A424="","",MAX(0,C423+D424-C424))</f>
        <v/>
      </c>
      <c r="F424" s="24" t="str">
        <f aca="false">IF($A424="","",Stock_Diario!F424)</f>
        <v/>
      </c>
      <c r="G424" s="24" t="str">
        <f aca="false">IF($A424="","",IF(SUMIFS(Recepciones!$C$5:$C$2000,Recepciones!$B$5:$B$2000,Config!$A$24,Recepciones!$A$5:$A$2000,"&gt;"&amp;$A423,Recepciones!$A$5:$A$2000,"&lt;="&amp;$A424)&gt;0,SUMIFS(Recepciones!$C$5:$C$2000,Recepciones!$B$5:$B$2000,Config!$A$24,Recepciones!$A$5:$A$2000,"&gt;"&amp;$A423,Recepciones!$A$5:$A$2000,"&lt;="&amp;$A424),MAX(0,F424-F423)))</f>
        <v/>
      </c>
      <c r="H424" s="24" t="str">
        <f aca="false">IF($A424="","",MAX(0,F423+G424-F424))</f>
        <v/>
      </c>
      <c r="I424" s="24" t="str">
        <f aca="false">IF($A424="","",Stock_Diario!G424)</f>
        <v/>
      </c>
      <c r="J424" s="24" t="str">
        <f aca="false">IF($A424="","",IF(SUMIFS(Recepciones!$C$5:$C$2000,Recepciones!$B$5:$B$2000,Config!$A$25,Recepciones!$A$5:$A$2000,"&gt;"&amp;$A423,Recepciones!$A$5:$A$2000,"&lt;="&amp;$A424)&gt;0,SUMIFS(Recepciones!$C$5:$C$2000,Recepciones!$B$5:$B$2000,Config!$A$25,Recepciones!$A$5:$A$2000,"&gt;"&amp;$A423,Recepciones!$A$5:$A$2000,"&lt;="&amp;$A424),MAX(0,I424-I423)))</f>
        <v/>
      </c>
      <c r="K424" s="24" t="str">
        <f aca="false">IF($A424="","",MAX(0,I423+J424-I424))</f>
        <v/>
      </c>
      <c r="L424" s="24" t="str">
        <f aca="false">IF($A424="","",E424+H424+K424)</f>
        <v/>
      </c>
      <c r="M424" s="4" t="str">
        <f aca="false">IF($A424="","",IF(AND(D424+G424+J424&gt;0,SUMIFS(Recepciones!$C$5:$C$2000,Recepciones!$A$5:$A$2000,"&gt;"&amp;$A423,Recepciones!$A$5:$A$2000,"&lt;="&amp;$A424)=0),"Aumento de stock sin recepción registrada",IF(B424&gt;1,"Intervalo de "&amp;B424&amp;" días","")))</f>
        <v/>
      </c>
    </row>
    <row r="425" customFormat="false" ht="15" hidden="false" customHeight="false" outlineLevel="0" collapsed="false">
      <c r="A425" s="5" t="str">
        <f aca="false">IF(Stock_Diario!A425="","",Stock_Diario!A425)</f>
        <v/>
      </c>
      <c r="B425" s="4" t="str">
        <f aca="false">IF($A425="","",$A425-$A424)</f>
        <v/>
      </c>
      <c r="C425" s="24" t="str">
        <f aca="false">IF($A425="","",Stock_Diario!E425)</f>
        <v/>
      </c>
      <c r="D425" s="24" t="str">
        <f aca="false">IF($A425="","",IF(SUMIFS(Recepciones!$C$5:$C$2000,Recepciones!$B$5:$B$2000,Config!$A$23,Recepciones!$A$5:$A$2000,"&gt;"&amp;$A424,Recepciones!$A$5:$A$2000,"&lt;="&amp;$A425)&gt;0,SUMIFS(Recepciones!$C$5:$C$2000,Recepciones!$B$5:$B$2000,Config!$A$23,Recepciones!$A$5:$A$2000,"&gt;"&amp;$A424,Recepciones!$A$5:$A$2000,"&lt;="&amp;$A425),MAX(0,C425-C424)))</f>
        <v/>
      </c>
      <c r="E425" s="24" t="str">
        <f aca="false">IF($A425="","",MAX(0,C424+D425-C425))</f>
        <v/>
      </c>
      <c r="F425" s="24" t="str">
        <f aca="false">IF($A425="","",Stock_Diario!F425)</f>
        <v/>
      </c>
      <c r="G425" s="24" t="str">
        <f aca="false">IF($A425="","",IF(SUMIFS(Recepciones!$C$5:$C$2000,Recepciones!$B$5:$B$2000,Config!$A$24,Recepciones!$A$5:$A$2000,"&gt;"&amp;$A424,Recepciones!$A$5:$A$2000,"&lt;="&amp;$A425)&gt;0,SUMIFS(Recepciones!$C$5:$C$2000,Recepciones!$B$5:$B$2000,Config!$A$24,Recepciones!$A$5:$A$2000,"&gt;"&amp;$A424,Recepciones!$A$5:$A$2000,"&lt;="&amp;$A425),MAX(0,F425-F424)))</f>
        <v/>
      </c>
      <c r="H425" s="24" t="str">
        <f aca="false">IF($A425="","",MAX(0,F424+G425-F425))</f>
        <v/>
      </c>
      <c r="I425" s="24" t="str">
        <f aca="false">IF($A425="","",Stock_Diario!G425)</f>
        <v/>
      </c>
      <c r="J425" s="24" t="str">
        <f aca="false">IF($A425="","",IF(SUMIFS(Recepciones!$C$5:$C$2000,Recepciones!$B$5:$B$2000,Config!$A$25,Recepciones!$A$5:$A$2000,"&gt;"&amp;$A424,Recepciones!$A$5:$A$2000,"&lt;="&amp;$A425)&gt;0,SUMIFS(Recepciones!$C$5:$C$2000,Recepciones!$B$5:$B$2000,Config!$A$25,Recepciones!$A$5:$A$2000,"&gt;"&amp;$A424,Recepciones!$A$5:$A$2000,"&lt;="&amp;$A425),MAX(0,I425-I424)))</f>
        <v/>
      </c>
      <c r="K425" s="24" t="str">
        <f aca="false">IF($A425="","",MAX(0,I424+J425-I425))</f>
        <v/>
      </c>
      <c r="L425" s="24" t="str">
        <f aca="false">IF($A425="","",E425+H425+K425)</f>
        <v/>
      </c>
      <c r="M425" s="4" t="str">
        <f aca="false">IF($A425="","",IF(AND(D425+G425+J425&gt;0,SUMIFS(Recepciones!$C$5:$C$2000,Recepciones!$A$5:$A$2000,"&gt;"&amp;$A424,Recepciones!$A$5:$A$2000,"&lt;="&amp;$A425)=0),"Aumento de stock sin recepción registrada",IF(B425&gt;1,"Intervalo de "&amp;B425&amp;" días","")))</f>
        <v/>
      </c>
    </row>
    <row r="426" customFormat="false" ht="15" hidden="false" customHeight="false" outlineLevel="0" collapsed="false">
      <c r="A426" s="5" t="str">
        <f aca="false">IF(Stock_Diario!A426="","",Stock_Diario!A426)</f>
        <v/>
      </c>
      <c r="B426" s="4" t="str">
        <f aca="false">IF($A426="","",$A426-$A425)</f>
        <v/>
      </c>
      <c r="C426" s="24" t="str">
        <f aca="false">IF($A426="","",Stock_Diario!E426)</f>
        <v/>
      </c>
      <c r="D426" s="24" t="str">
        <f aca="false">IF($A426="","",IF(SUMIFS(Recepciones!$C$5:$C$2000,Recepciones!$B$5:$B$2000,Config!$A$23,Recepciones!$A$5:$A$2000,"&gt;"&amp;$A425,Recepciones!$A$5:$A$2000,"&lt;="&amp;$A426)&gt;0,SUMIFS(Recepciones!$C$5:$C$2000,Recepciones!$B$5:$B$2000,Config!$A$23,Recepciones!$A$5:$A$2000,"&gt;"&amp;$A425,Recepciones!$A$5:$A$2000,"&lt;="&amp;$A426),MAX(0,C426-C425)))</f>
        <v/>
      </c>
      <c r="E426" s="24" t="str">
        <f aca="false">IF($A426="","",MAX(0,C425+D426-C426))</f>
        <v/>
      </c>
      <c r="F426" s="24" t="str">
        <f aca="false">IF($A426="","",Stock_Diario!F426)</f>
        <v/>
      </c>
      <c r="G426" s="24" t="str">
        <f aca="false">IF($A426="","",IF(SUMIFS(Recepciones!$C$5:$C$2000,Recepciones!$B$5:$B$2000,Config!$A$24,Recepciones!$A$5:$A$2000,"&gt;"&amp;$A425,Recepciones!$A$5:$A$2000,"&lt;="&amp;$A426)&gt;0,SUMIFS(Recepciones!$C$5:$C$2000,Recepciones!$B$5:$B$2000,Config!$A$24,Recepciones!$A$5:$A$2000,"&gt;"&amp;$A425,Recepciones!$A$5:$A$2000,"&lt;="&amp;$A426),MAX(0,F426-F425)))</f>
        <v/>
      </c>
      <c r="H426" s="24" t="str">
        <f aca="false">IF($A426="","",MAX(0,F425+G426-F426))</f>
        <v/>
      </c>
      <c r="I426" s="24" t="str">
        <f aca="false">IF($A426="","",Stock_Diario!G426)</f>
        <v/>
      </c>
      <c r="J426" s="24" t="str">
        <f aca="false">IF($A426="","",IF(SUMIFS(Recepciones!$C$5:$C$2000,Recepciones!$B$5:$B$2000,Config!$A$25,Recepciones!$A$5:$A$2000,"&gt;"&amp;$A425,Recepciones!$A$5:$A$2000,"&lt;="&amp;$A426)&gt;0,SUMIFS(Recepciones!$C$5:$C$2000,Recepciones!$B$5:$B$2000,Config!$A$25,Recepciones!$A$5:$A$2000,"&gt;"&amp;$A425,Recepciones!$A$5:$A$2000,"&lt;="&amp;$A426),MAX(0,I426-I425)))</f>
        <v/>
      </c>
      <c r="K426" s="24" t="str">
        <f aca="false">IF($A426="","",MAX(0,I425+J426-I426))</f>
        <v/>
      </c>
      <c r="L426" s="24" t="str">
        <f aca="false">IF($A426="","",E426+H426+K426)</f>
        <v/>
      </c>
      <c r="M426" s="4" t="str">
        <f aca="false">IF($A426="","",IF(AND(D426+G426+J426&gt;0,SUMIFS(Recepciones!$C$5:$C$2000,Recepciones!$A$5:$A$2000,"&gt;"&amp;$A425,Recepciones!$A$5:$A$2000,"&lt;="&amp;$A426)=0),"Aumento de stock sin recepción registrada",IF(B426&gt;1,"Intervalo de "&amp;B426&amp;" días","")))</f>
        <v/>
      </c>
    </row>
    <row r="427" customFormat="false" ht="15" hidden="false" customHeight="false" outlineLevel="0" collapsed="false">
      <c r="A427" s="5" t="str">
        <f aca="false">IF(Stock_Diario!A427="","",Stock_Diario!A427)</f>
        <v/>
      </c>
      <c r="B427" s="4" t="str">
        <f aca="false">IF($A427="","",$A427-$A426)</f>
        <v/>
      </c>
      <c r="C427" s="24" t="str">
        <f aca="false">IF($A427="","",Stock_Diario!E427)</f>
        <v/>
      </c>
      <c r="D427" s="24" t="str">
        <f aca="false">IF($A427="","",IF(SUMIFS(Recepciones!$C$5:$C$2000,Recepciones!$B$5:$B$2000,Config!$A$23,Recepciones!$A$5:$A$2000,"&gt;"&amp;$A426,Recepciones!$A$5:$A$2000,"&lt;="&amp;$A427)&gt;0,SUMIFS(Recepciones!$C$5:$C$2000,Recepciones!$B$5:$B$2000,Config!$A$23,Recepciones!$A$5:$A$2000,"&gt;"&amp;$A426,Recepciones!$A$5:$A$2000,"&lt;="&amp;$A427),MAX(0,C427-C426)))</f>
        <v/>
      </c>
      <c r="E427" s="24" t="str">
        <f aca="false">IF($A427="","",MAX(0,C426+D427-C427))</f>
        <v/>
      </c>
      <c r="F427" s="24" t="str">
        <f aca="false">IF($A427="","",Stock_Diario!F427)</f>
        <v/>
      </c>
      <c r="G427" s="24" t="str">
        <f aca="false">IF($A427="","",IF(SUMIFS(Recepciones!$C$5:$C$2000,Recepciones!$B$5:$B$2000,Config!$A$24,Recepciones!$A$5:$A$2000,"&gt;"&amp;$A426,Recepciones!$A$5:$A$2000,"&lt;="&amp;$A427)&gt;0,SUMIFS(Recepciones!$C$5:$C$2000,Recepciones!$B$5:$B$2000,Config!$A$24,Recepciones!$A$5:$A$2000,"&gt;"&amp;$A426,Recepciones!$A$5:$A$2000,"&lt;="&amp;$A427),MAX(0,F427-F426)))</f>
        <v/>
      </c>
      <c r="H427" s="24" t="str">
        <f aca="false">IF($A427="","",MAX(0,F426+G427-F427))</f>
        <v/>
      </c>
      <c r="I427" s="24" t="str">
        <f aca="false">IF($A427="","",Stock_Diario!G427)</f>
        <v/>
      </c>
      <c r="J427" s="24" t="str">
        <f aca="false">IF($A427="","",IF(SUMIFS(Recepciones!$C$5:$C$2000,Recepciones!$B$5:$B$2000,Config!$A$25,Recepciones!$A$5:$A$2000,"&gt;"&amp;$A426,Recepciones!$A$5:$A$2000,"&lt;="&amp;$A427)&gt;0,SUMIFS(Recepciones!$C$5:$C$2000,Recepciones!$B$5:$B$2000,Config!$A$25,Recepciones!$A$5:$A$2000,"&gt;"&amp;$A426,Recepciones!$A$5:$A$2000,"&lt;="&amp;$A427),MAX(0,I427-I426)))</f>
        <v/>
      </c>
      <c r="K427" s="24" t="str">
        <f aca="false">IF($A427="","",MAX(0,I426+J427-I427))</f>
        <v/>
      </c>
      <c r="L427" s="24" t="str">
        <f aca="false">IF($A427="","",E427+H427+K427)</f>
        <v/>
      </c>
      <c r="M427" s="4" t="str">
        <f aca="false">IF($A427="","",IF(AND(D427+G427+J427&gt;0,SUMIFS(Recepciones!$C$5:$C$2000,Recepciones!$A$5:$A$2000,"&gt;"&amp;$A426,Recepciones!$A$5:$A$2000,"&lt;="&amp;$A427)=0),"Aumento de stock sin recepción registrada",IF(B427&gt;1,"Intervalo de "&amp;B427&amp;" días","")))</f>
        <v/>
      </c>
    </row>
    <row r="428" customFormat="false" ht="15" hidden="false" customHeight="false" outlineLevel="0" collapsed="false">
      <c r="A428" s="5" t="str">
        <f aca="false">IF(Stock_Diario!A428="","",Stock_Diario!A428)</f>
        <v/>
      </c>
      <c r="B428" s="4" t="str">
        <f aca="false">IF($A428="","",$A428-$A427)</f>
        <v/>
      </c>
      <c r="C428" s="24" t="str">
        <f aca="false">IF($A428="","",Stock_Diario!E428)</f>
        <v/>
      </c>
      <c r="D428" s="24" t="str">
        <f aca="false">IF($A428="","",IF(SUMIFS(Recepciones!$C$5:$C$2000,Recepciones!$B$5:$B$2000,Config!$A$23,Recepciones!$A$5:$A$2000,"&gt;"&amp;$A427,Recepciones!$A$5:$A$2000,"&lt;="&amp;$A428)&gt;0,SUMIFS(Recepciones!$C$5:$C$2000,Recepciones!$B$5:$B$2000,Config!$A$23,Recepciones!$A$5:$A$2000,"&gt;"&amp;$A427,Recepciones!$A$5:$A$2000,"&lt;="&amp;$A428),MAX(0,C428-C427)))</f>
        <v/>
      </c>
      <c r="E428" s="24" t="str">
        <f aca="false">IF($A428="","",MAX(0,C427+D428-C428))</f>
        <v/>
      </c>
      <c r="F428" s="24" t="str">
        <f aca="false">IF($A428="","",Stock_Diario!F428)</f>
        <v/>
      </c>
      <c r="G428" s="24" t="str">
        <f aca="false">IF($A428="","",IF(SUMIFS(Recepciones!$C$5:$C$2000,Recepciones!$B$5:$B$2000,Config!$A$24,Recepciones!$A$5:$A$2000,"&gt;"&amp;$A427,Recepciones!$A$5:$A$2000,"&lt;="&amp;$A428)&gt;0,SUMIFS(Recepciones!$C$5:$C$2000,Recepciones!$B$5:$B$2000,Config!$A$24,Recepciones!$A$5:$A$2000,"&gt;"&amp;$A427,Recepciones!$A$5:$A$2000,"&lt;="&amp;$A428),MAX(0,F428-F427)))</f>
        <v/>
      </c>
      <c r="H428" s="24" t="str">
        <f aca="false">IF($A428="","",MAX(0,F427+G428-F428))</f>
        <v/>
      </c>
      <c r="I428" s="24" t="str">
        <f aca="false">IF($A428="","",Stock_Diario!G428)</f>
        <v/>
      </c>
      <c r="J428" s="24" t="str">
        <f aca="false">IF($A428="","",IF(SUMIFS(Recepciones!$C$5:$C$2000,Recepciones!$B$5:$B$2000,Config!$A$25,Recepciones!$A$5:$A$2000,"&gt;"&amp;$A427,Recepciones!$A$5:$A$2000,"&lt;="&amp;$A428)&gt;0,SUMIFS(Recepciones!$C$5:$C$2000,Recepciones!$B$5:$B$2000,Config!$A$25,Recepciones!$A$5:$A$2000,"&gt;"&amp;$A427,Recepciones!$A$5:$A$2000,"&lt;="&amp;$A428),MAX(0,I428-I427)))</f>
        <v/>
      </c>
      <c r="K428" s="24" t="str">
        <f aca="false">IF($A428="","",MAX(0,I427+J428-I428))</f>
        <v/>
      </c>
      <c r="L428" s="24" t="str">
        <f aca="false">IF($A428="","",E428+H428+K428)</f>
        <v/>
      </c>
      <c r="M428" s="4" t="str">
        <f aca="false">IF($A428="","",IF(AND(D428+G428+J428&gt;0,SUMIFS(Recepciones!$C$5:$C$2000,Recepciones!$A$5:$A$2000,"&gt;"&amp;$A427,Recepciones!$A$5:$A$2000,"&lt;="&amp;$A428)=0),"Aumento de stock sin recepción registrada",IF(B428&gt;1,"Intervalo de "&amp;B428&amp;" días","")))</f>
        <v/>
      </c>
    </row>
    <row r="429" customFormat="false" ht="15" hidden="false" customHeight="false" outlineLevel="0" collapsed="false">
      <c r="A429" s="5" t="str">
        <f aca="false">IF(Stock_Diario!A429="","",Stock_Diario!A429)</f>
        <v/>
      </c>
      <c r="B429" s="4" t="str">
        <f aca="false">IF($A429="","",$A429-$A428)</f>
        <v/>
      </c>
      <c r="C429" s="24" t="str">
        <f aca="false">IF($A429="","",Stock_Diario!E429)</f>
        <v/>
      </c>
      <c r="D429" s="24" t="str">
        <f aca="false">IF($A429="","",IF(SUMIFS(Recepciones!$C$5:$C$2000,Recepciones!$B$5:$B$2000,Config!$A$23,Recepciones!$A$5:$A$2000,"&gt;"&amp;$A428,Recepciones!$A$5:$A$2000,"&lt;="&amp;$A429)&gt;0,SUMIFS(Recepciones!$C$5:$C$2000,Recepciones!$B$5:$B$2000,Config!$A$23,Recepciones!$A$5:$A$2000,"&gt;"&amp;$A428,Recepciones!$A$5:$A$2000,"&lt;="&amp;$A429),MAX(0,C429-C428)))</f>
        <v/>
      </c>
      <c r="E429" s="24" t="str">
        <f aca="false">IF($A429="","",MAX(0,C428+D429-C429))</f>
        <v/>
      </c>
      <c r="F429" s="24" t="str">
        <f aca="false">IF($A429="","",Stock_Diario!F429)</f>
        <v/>
      </c>
      <c r="G429" s="24" t="str">
        <f aca="false">IF($A429="","",IF(SUMIFS(Recepciones!$C$5:$C$2000,Recepciones!$B$5:$B$2000,Config!$A$24,Recepciones!$A$5:$A$2000,"&gt;"&amp;$A428,Recepciones!$A$5:$A$2000,"&lt;="&amp;$A429)&gt;0,SUMIFS(Recepciones!$C$5:$C$2000,Recepciones!$B$5:$B$2000,Config!$A$24,Recepciones!$A$5:$A$2000,"&gt;"&amp;$A428,Recepciones!$A$5:$A$2000,"&lt;="&amp;$A429),MAX(0,F429-F428)))</f>
        <v/>
      </c>
      <c r="H429" s="24" t="str">
        <f aca="false">IF($A429="","",MAX(0,F428+G429-F429))</f>
        <v/>
      </c>
      <c r="I429" s="24" t="str">
        <f aca="false">IF($A429="","",Stock_Diario!G429)</f>
        <v/>
      </c>
      <c r="J429" s="24" t="str">
        <f aca="false">IF($A429="","",IF(SUMIFS(Recepciones!$C$5:$C$2000,Recepciones!$B$5:$B$2000,Config!$A$25,Recepciones!$A$5:$A$2000,"&gt;"&amp;$A428,Recepciones!$A$5:$A$2000,"&lt;="&amp;$A429)&gt;0,SUMIFS(Recepciones!$C$5:$C$2000,Recepciones!$B$5:$B$2000,Config!$A$25,Recepciones!$A$5:$A$2000,"&gt;"&amp;$A428,Recepciones!$A$5:$A$2000,"&lt;="&amp;$A429),MAX(0,I429-I428)))</f>
        <v/>
      </c>
      <c r="K429" s="24" t="str">
        <f aca="false">IF($A429="","",MAX(0,I428+J429-I429))</f>
        <v/>
      </c>
      <c r="L429" s="24" t="str">
        <f aca="false">IF($A429="","",E429+H429+K429)</f>
        <v/>
      </c>
      <c r="M429" s="4" t="str">
        <f aca="false">IF($A429="","",IF(AND(D429+G429+J429&gt;0,SUMIFS(Recepciones!$C$5:$C$2000,Recepciones!$A$5:$A$2000,"&gt;"&amp;$A428,Recepciones!$A$5:$A$2000,"&lt;="&amp;$A429)=0),"Aumento de stock sin recepción registrada",IF(B429&gt;1,"Intervalo de "&amp;B429&amp;" días","")))</f>
        <v/>
      </c>
    </row>
    <row r="430" customFormat="false" ht="15" hidden="false" customHeight="false" outlineLevel="0" collapsed="false">
      <c r="A430" s="5" t="str">
        <f aca="false">IF(Stock_Diario!A430="","",Stock_Diario!A430)</f>
        <v/>
      </c>
      <c r="B430" s="4" t="str">
        <f aca="false">IF($A430="","",$A430-$A429)</f>
        <v/>
      </c>
      <c r="C430" s="24" t="str">
        <f aca="false">IF($A430="","",Stock_Diario!E430)</f>
        <v/>
      </c>
      <c r="D430" s="24" t="str">
        <f aca="false">IF($A430="","",IF(SUMIFS(Recepciones!$C$5:$C$2000,Recepciones!$B$5:$B$2000,Config!$A$23,Recepciones!$A$5:$A$2000,"&gt;"&amp;$A429,Recepciones!$A$5:$A$2000,"&lt;="&amp;$A430)&gt;0,SUMIFS(Recepciones!$C$5:$C$2000,Recepciones!$B$5:$B$2000,Config!$A$23,Recepciones!$A$5:$A$2000,"&gt;"&amp;$A429,Recepciones!$A$5:$A$2000,"&lt;="&amp;$A430),MAX(0,C430-C429)))</f>
        <v/>
      </c>
      <c r="E430" s="24" t="str">
        <f aca="false">IF($A430="","",MAX(0,C429+D430-C430))</f>
        <v/>
      </c>
      <c r="F430" s="24" t="str">
        <f aca="false">IF($A430="","",Stock_Diario!F430)</f>
        <v/>
      </c>
      <c r="G430" s="24" t="str">
        <f aca="false">IF($A430="","",IF(SUMIFS(Recepciones!$C$5:$C$2000,Recepciones!$B$5:$B$2000,Config!$A$24,Recepciones!$A$5:$A$2000,"&gt;"&amp;$A429,Recepciones!$A$5:$A$2000,"&lt;="&amp;$A430)&gt;0,SUMIFS(Recepciones!$C$5:$C$2000,Recepciones!$B$5:$B$2000,Config!$A$24,Recepciones!$A$5:$A$2000,"&gt;"&amp;$A429,Recepciones!$A$5:$A$2000,"&lt;="&amp;$A430),MAX(0,F430-F429)))</f>
        <v/>
      </c>
      <c r="H430" s="24" t="str">
        <f aca="false">IF($A430="","",MAX(0,F429+G430-F430))</f>
        <v/>
      </c>
      <c r="I430" s="24" t="str">
        <f aca="false">IF($A430="","",Stock_Diario!G430)</f>
        <v/>
      </c>
      <c r="J430" s="24" t="str">
        <f aca="false">IF($A430="","",IF(SUMIFS(Recepciones!$C$5:$C$2000,Recepciones!$B$5:$B$2000,Config!$A$25,Recepciones!$A$5:$A$2000,"&gt;"&amp;$A429,Recepciones!$A$5:$A$2000,"&lt;="&amp;$A430)&gt;0,SUMIFS(Recepciones!$C$5:$C$2000,Recepciones!$B$5:$B$2000,Config!$A$25,Recepciones!$A$5:$A$2000,"&gt;"&amp;$A429,Recepciones!$A$5:$A$2000,"&lt;="&amp;$A430),MAX(0,I430-I429)))</f>
        <v/>
      </c>
      <c r="K430" s="24" t="str">
        <f aca="false">IF($A430="","",MAX(0,I429+J430-I430))</f>
        <v/>
      </c>
      <c r="L430" s="24" t="str">
        <f aca="false">IF($A430="","",E430+H430+K430)</f>
        <v/>
      </c>
      <c r="M430" s="4" t="str">
        <f aca="false">IF($A430="","",IF(AND(D430+G430+J430&gt;0,SUMIFS(Recepciones!$C$5:$C$2000,Recepciones!$A$5:$A$2000,"&gt;"&amp;$A429,Recepciones!$A$5:$A$2000,"&lt;="&amp;$A430)=0),"Aumento de stock sin recepción registrada",IF(B430&gt;1,"Intervalo de "&amp;B430&amp;" días","")))</f>
        <v/>
      </c>
    </row>
    <row r="431" customFormat="false" ht="15" hidden="false" customHeight="false" outlineLevel="0" collapsed="false">
      <c r="A431" s="5" t="str">
        <f aca="false">IF(Stock_Diario!A431="","",Stock_Diario!A431)</f>
        <v/>
      </c>
      <c r="B431" s="4" t="str">
        <f aca="false">IF($A431="","",$A431-$A430)</f>
        <v/>
      </c>
      <c r="C431" s="24" t="str">
        <f aca="false">IF($A431="","",Stock_Diario!E431)</f>
        <v/>
      </c>
      <c r="D431" s="24" t="str">
        <f aca="false">IF($A431="","",IF(SUMIFS(Recepciones!$C$5:$C$2000,Recepciones!$B$5:$B$2000,Config!$A$23,Recepciones!$A$5:$A$2000,"&gt;"&amp;$A430,Recepciones!$A$5:$A$2000,"&lt;="&amp;$A431)&gt;0,SUMIFS(Recepciones!$C$5:$C$2000,Recepciones!$B$5:$B$2000,Config!$A$23,Recepciones!$A$5:$A$2000,"&gt;"&amp;$A430,Recepciones!$A$5:$A$2000,"&lt;="&amp;$A431),MAX(0,C431-C430)))</f>
        <v/>
      </c>
      <c r="E431" s="24" t="str">
        <f aca="false">IF($A431="","",MAX(0,C430+D431-C431))</f>
        <v/>
      </c>
      <c r="F431" s="24" t="str">
        <f aca="false">IF($A431="","",Stock_Diario!F431)</f>
        <v/>
      </c>
      <c r="G431" s="24" t="str">
        <f aca="false">IF($A431="","",IF(SUMIFS(Recepciones!$C$5:$C$2000,Recepciones!$B$5:$B$2000,Config!$A$24,Recepciones!$A$5:$A$2000,"&gt;"&amp;$A430,Recepciones!$A$5:$A$2000,"&lt;="&amp;$A431)&gt;0,SUMIFS(Recepciones!$C$5:$C$2000,Recepciones!$B$5:$B$2000,Config!$A$24,Recepciones!$A$5:$A$2000,"&gt;"&amp;$A430,Recepciones!$A$5:$A$2000,"&lt;="&amp;$A431),MAX(0,F431-F430)))</f>
        <v/>
      </c>
      <c r="H431" s="24" t="str">
        <f aca="false">IF($A431="","",MAX(0,F430+G431-F431))</f>
        <v/>
      </c>
      <c r="I431" s="24" t="str">
        <f aca="false">IF($A431="","",Stock_Diario!G431)</f>
        <v/>
      </c>
      <c r="J431" s="24" t="str">
        <f aca="false">IF($A431="","",IF(SUMIFS(Recepciones!$C$5:$C$2000,Recepciones!$B$5:$B$2000,Config!$A$25,Recepciones!$A$5:$A$2000,"&gt;"&amp;$A430,Recepciones!$A$5:$A$2000,"&lt;="&amp;$A431)&gt;0,SUMIFS(Recepciones!$C$5:$C$2000,Recepciones!$B$5:$B$2000,Config!$A$25,Recepciones!$A$5:$A$2000,"&gt;"&amp;$A430,Recepciones!$A$5:$A$2000,"&lt;="&amp;$A431),MAX(0,I431-I430)))</f>
        <v/>
      </c>
      <c r="K431" s="24" t="str">
        <f aca="false">IF($A431="","",MAX(0,I430+J431-I431))</f>
        <v/>
      </c>
      <c r="L431" s="24" t="str">
        <f aca="false">IF($A431="","",E431+H431+K431)</f>
        <v/>
      </c>
      <c r="M431" s="4" t="str">
        <f aca="false">IF($A431="","",IF(AND(D431+G431+J431&gt;0,SUMIFS(Recepciones!$C$5:$C$2000,Recepciones!$A$5:$A$2000,"&gt;"&amp;$A430,Recepciones!$A$5:$A$2000,"&lt;="&amp;$A431)=0),"Aumento de stock sin recepción registrada",IF(B431&gt;1,"Intervalo de "&amp;B431&amp;" días","")))</f>
        <v/>
      </c>
    </row>
    <row r="432" customFormat="false" ht="15" hidden="false" customHeight="false" outlineLevel="0" collapsed="false">
      <c r="A432" s="5" t="str">
        <f aca="false">IF(Stock_Diario!A432="","",Stock_Diario!A432)</f>
        <v/>
      </c>
      <c r="B432" s="4" t="str">
        <f aca="false">IF($A432="","",$A432-$A431)</f>
        <v/>
      </c>
      <c r="C432" s="24" t="str">
        <f aca="false">IF($A432="","",Stock_Diario!E432)</f>
        <v/>
      </c>
      <c r="D432" s="24" t="str">
        <f aca="false">IF($A432="","",IF(SUMIFS(Recepciones!$C$5:$C$2000,Recepciones!$B$5:$B$2000,Config!$A$23,Recepciones!$A$5:$A$2000,"&gt;"&amp;$A431,Recepciones!$A$5:$A$2000,"&lt;="&amp;$A432)&gt;0,SUMIFS(Recepciones!$C$5:$C$2000,Recepciones!$B$5:$B$2000,Config!$A$23,Recepciones!$A$5:$A$2000,"&gt;"&amp;$A431,Recepciones!$A$5:$A$2000,"&lt;="&amp;$A432),MAX(0,C432-C431)))</f>
        <v/>
      </c>
      <c r="E432" s="24" t="str">
        <f aca="false">IF($A432="","",MAX(0,C431+D432-C432))</f>
        <v/>
      </c>
      <c r="F432" s="24" t="str">
        <f aca="false">IF($A432="","",Stock_Diario!F432)</f>
        <v/>
      </c>
      <c r="G432" s="24" t="str">
        <f aca="false">IF($A432="","",IF(SUMIFS(Recepciones!$C$5:$C$2000,Recepciones!$B$5:$B$2000,Config!$A$24,Recepciones!$A$5:$A$2000,"&gt;"&amp;$A431,Recepciones!$A$5:$A$2000,"&lt;="&amp;$A432)&gt;0,SUMIFS(Recepciones!$C$5:$C$2000,Recepciones!$B$5:$B$2000,Config!$A$24,Recepciones!$A$5:$A$2000,"&gt;"&amp;$A431,Recepciones!$A$5:$A$2000,"&lt;="&amp;$A432),MAX(0,F432-F431)))</f>
        <v/>
      </c>
      <c r="H432" s="24" t="str">
        <f aca="false">IF($A432="","",MAX(0,F431+G432-F432))</f>
        <v/>
      </c>
      <c r="I432" s="24" t="str">
        <f aca="false">IF($A432="","",Stock_Diario!G432)</f>
        <v/>
      </c>
      <c r="J432" s="24" t="str">
        <f aca="false">IF($A432="","",IF(SUMIFS(Recepciones!$C$5:$C$2000,Recepciones!$B$5:$B$2000,Config!$A$25,Recepciones!$A$5:$A$2000,"&gt;"&amp;$A431,Recepciones!$A$5:$A$2000,"&lt;="&amp;$A432)&gt;0,SUMIFS(Recepciones!$C$5:$C$2000,Recepciones!$B$5:$B$2000,Config!$A$25,Recepciones!$A$5:$A$2000,"&gt;"&amp;$A431,Recepciones!$A$5:$A$2000,"&lt;="&amp;$A432),MAX(0,I432-I431)))</f>
        <v/>
      </c>
      <c r="K432" s="24" t="str">
        <f aca="false">IF($A432="","",MAX(0,I431+J432-I432))</f>
        <v/>
      </c>
      <c r="L432" s="24" t="str">
        <f aca="false">IF($A432="","",E432+H432+K432)</f>
        <v/>
      </c>
      <c r="M432" s="4" t="str">
        <f aca="false">IF($A432="","",IF(AND(D432+G432+J432&gt;0,SUMIFS(Recepciones!$C$5:$C$2000,Recepciones!$A$5:$A$2000,"&gt;"&amp;$A431,Recepciones!$A$5:$A$2000,"&lt;="&amp;$A432)=0),"Aumento de stock sin recepción registrada",IF(B432&gt;1,"Intervalo de "&amp;B432&amp;" días","")))</f>
        <v/>
      </c>
    </row>
    <row r="433" customFormat="false" ht="15" hidden="false" customHeight="false" outlineLevel="0" collapsed="false">
      <c r="A433" s="5" t="str">
        <f aca="false">IF(Stock_Diario!A433="","",Stock_Diario!A433)</f>
        <v/>
      </c>
      <c r="B433" s="4" t="str">
        <f aca="false">IF($A433="","",$A433-$A432)</f>
        <v/>
      </c>
      <c r="C433" s="24" t="str">
        <f aca="false">IF($A433="","",Stock_Diario!E433)</f>
        <v/>
      </c>
      <c r="D433" s="24" t="str">
        <f aca="false">IF($A433="","",IF(SUMIFS(Recepciones!$C$5:$C$2000,Recepciones!$B$5:$B$2000,Config!$A$23,Recepciones!$A$5:$A$2000,"&gt;"&amp;$A432,Recepciones!$A$5:$A$2000,"&lt;="&amp;$A433)&gt;0,SUMIFS(Recepciones!$C$5:$C$2000,Recepciones!$B$5:$B$2000,Config!$A$23,Recepciones!$A$5:$A$2000,"&gt;"&amp;$A432,Recepciones!$A$5:$A$2000,"&lt;="&amp;$A433),MAX(0,C433-C432)))</f>
        <v/>
      </c>
      <c r="E433" s="24" t="str">
        <f aca="false">IF($A433="","",MAX(0,C432+D433-C433))</f>
        <v/>
      </c>
      <c r="F433" s="24" t="str">
        <f aca="false">IF($A433="","",Stock_Diario!F433)</f>
        <v/>
      </c>
      <c r="G433" s="24" t="str">
        <f aca="false">IF($A433="","",IF(SUMIFS(Recepciones!$C$5:$C$2000,Recepciones!$B$5:$B$2000,Config!$A$24,Recepciones!$A$5:$A$2000,"&gt;"&amp;$A432,Recepciones!$A$5:$A$2000,"&lt;="&amp;$A433)&gt;0,SUMIFS(Recepciones!$C$5:$C$2000,Recepciones!$B$5:$B$2000,Config!$A$24,Recepciones!$A$5:$A$2000,"&gt;"&amp;$A432,Recepciones!$A$5:$A$2000,"&lt;="&amp;$A433),MAX(0,F433-F432)))</f>
        <v/>
      </c>
      <c r="H433" s="24" t="str">
        <f aca="false">IF($A433="","",MAX(0,F432+G433-F433))</f>
        <v/>
      </c>
      <c r="I433" s="24" t="str">
        <f aca="false">IF($A433="","",Stock_Diario!G433)</f>
        <v/>
      </c>
      <c r="J433" s="24" t="str">
        <f aca="false">IF($A433="","",IF(SUMIFS(Recepciones!$C$5:$C$2000,Recepciones!$B$5:$B$2000,Config!$A$25,Recepciones!$A$5:$A$2000,"&gt;"&amp;$A432,Recepciones!$A$5:$A$2000,"&lt;="&amp;$A433)&gt;0,SUMIFS(Recepciones!$C$5:$C$2000,Recepciones!$B$5:$B$2000,Config!$A$25,Recepciones!$A$5:$A$2000,"&gt;"&amp;$A432,Recepciones!$A$5:$A$2000,"&lt;="&amp;$A433),MAX(0,I433-I432)))</f>
        <v/>
      </c>
      <c r="K433" s="24" t="str">
        <f aca="false">IF($A433="","",MAX(0,I432+J433-I433))</f>
        <v/>
      </c>
      <c r="L433" s="24" t="str">
        <f aca="false">IF($A433="","",E433+H433+K433)</f>
        <v/>
      </c>
      <c r="M433" s="4" t="str">
        <f aca="false">IF($A433="","",IF(AND(D433+G433+J433&gt;0,SUMIFS(Recepciones!$C$5:$C$2000,Recepciones!$A$5:$A$2000,"&gt;"&amp;$A432,Recepciones!$A$5:$A$2000,"&lt;="&amp;$A433)=0),"Aumento de stock sin recepción registrada",IF(B433&gt;1,"Intervalo de "&amp;B433&amp;" días","")))</f>
        <v/>
      </c>
    </row>
    <row r="434" customFormat="false" ht="15" hidden="false" customHeight="false" outlineLevel="0" collapsed="false">
      <c r="A434" s="5" t="str">
        <f aca="false">IF(Stock_Diario!A434="","",Stock_Diario!A434)</f>
        <v/>
      </c>
      <c r="B434" s="4" t="str">
        <f aca="false">IF($A434="","",$A434-$A433)</f>
        <v/>
      </c>
      <c r="C434" s="24" t="str">
        <f aca="false">IF($A434="","",Stock_Diario!E434)</f>
        <v/>
      </c>
      <c r="D434" s="24" t="str">
        <f aca="false">IF($A434="","",IF(SUMIFS(Recepciones!$C$5:$C$2000,Recepciones!$B$5:$B$2000,Config!$A$23,Recepciones!$A$5:$A$2000,"&gt;"&amp;$A433,Recepciones!$A$5:$A$2000,"&lt;="&amp;$A434)&gt;0,SUMIFS(Recepciones!$C$5:$C$2000,Recepciones!$B$5:$B$2000,Config!$A$23,Recepciones!$A$5:$A$2000,"&gt;"&amp;$A433,Recepciones!$A$5:$A$2000,"&lt;="&amp;$A434),MAX(0,C434-C433)))</f>
        <v/>
      </c>
      <c r="E434" s="24" t="str">
        <f aca="false">IF($A434="","",MAX(0,C433+D434-C434))</f>
        <v/>
      </c>
      <c r="F434" s="24" t="str">
        <f aca="false">IF($A434="","",Stock_Diario!F434)</f>
        <v/>
      </c>
      <c r="G434" s="24" t="str">
        <f aca="false">IF($A434="","",IF(SUMIFS(Recepciones!$C$5:$C$2000,Recepciones!$B$5:$B$2000,Config!$A$24,Recepciones!$A$5:$A$2000,"&gt;"&amp;$A433,Recepciones!$A$5:$A$2000,"&lt;="&amp;$A434)&gt;0,SUMIFS(Recepciones!$C$5:$C$2000,Recepciones!$B$5:$B$2000,Config!$A$24,Recepciones!$A$5:$A$2000,"&gt;"&amp;$A433,Recepciones!$A$5:$A$2000,"&lt;="&amp;$A434),MAX(0,F434-F433)))</f>
        <v/>
      </c>
      <c r="H434" s="24" t="str">
        <f aca="false">IF($A434="","",MAX(0,F433+G434-F434))</f>
        <v/>
      </c>
      <c r="I434" s="24" t="str">
        <f aca="false">IF($A434="","",Stock_Diario!G434)</f>
        <v/>
      </c>
      <c r="J434" s="24" t="str">
        <f aca="false">IF($A434="","",IF(SUMIFS(Recepciones!$C$5:$C$2000,Recepciones!$B$5:$B$2000,Config!$A$25,Recepciones!$A$5:$A$2000,"&gt;"&amp;$A433,Recepciones!$A$5:$A$2000,"&lt;="&amp;$A434)&gt;0,SUMIFS(Recepciones!$C$5:$C$2000,Recepciones!$B$5:$B$2000,Config!$A$25,Recepciones!$A$5:$A$2000,"&gt;"&amp;$A433,Recepciones!$A$5:$A$2000,"&lt;="&amp;$A434),MAX(0,I434-I433)))</f>
        <v/>
      </c>
      <c r="K434" s="24" t="str">
        <f aca="false">IF($A434="","",MAX(0,I433+J434-I434))</f>
        <v/>
      </c>
      <c r="L434" s="24" t="str">
        <f aca="false">IF($A434="","",E434+H434+K434)</f>
        <v/>
      </c>
      <c r="M434" s="4" t="str">
        <f aca="false">IF($A434="","",IF(AND(D434+G434+J434&gt;0,SUMIFS(Recepciones!$C$5:$C$2000,Recepciones!$A$5:$A$2000,"&gt;"&amp;$A433,Recepciones!$A$5:$A$2000,"&lt;="&amp;$A434)=0),"Aumento de stock sin recepción registrada",IF(B434&gt;1,"Intervalo de "&amp;B434&amp;" días","")))</f>
        <v/>
      </c>
    </row>
    <row r="435" customFormat="false" ht="15" hidden="false" customHeight="false" outlineLevel="0" collapsed="false">
      <c r="A435" s="5" t="str">
        <f aca="false">IF(Stock_Diario!A435="","",Stock_Diario!A435)</f>
        <v/>
      </c>
      <c r="B435" s="4" t="str">
        <f aca="false">IF($A435="","",$A435-$A434)</f>
        <v/>
      </c>
      <c r="C435" s="24" t="str">
        <f aca="false">IF($A435="","",Stock_Diario!E435)</f>
        <v/>
      </c>
      <c r="D435" s="24" t="str">
        <f aca="false">IF($A435="","",IF(SUMIFS(Recepciones!$C$5:$C$2000,Recepciones!$B$5:$B$2000,Config!$A$23,Recepciones!$A$5:$A$2000,"&gt;"&amp;$A434,Recepciones!$A$5:$A$2000,"&lt;="&amp;$A435)&gt;0,SUMIFS(Recepciones!$C$5:$C$2000,Recepciones!$B$5:$B$2000,Config!$A$23,Recepciones!$A$5:$A$2000,"&gt;"&amp;$A434,Recepciones!$A$5:$A$2000,"&lt;="&amp;$A435),MAX(0,C435-C434)))</f>
        <v/>
      </c>
      <c r="E435" s="24" t="str">
        <f aca="false">IF($A435="","",MAX(0,C434+D435-C435))</f>
        <v/>
      </c>
      <c r="F435" s="24" t="str">
        <f aca="false">IF($A435="","",Stock_Diario!F435)</f>
        <v/>
      </c>
      <c r="G435" s="24" t="str">
        <f aca="false">IF($A435="","",IF(SUMIFS(Recepciones!$C$5:$C$2000,Recepciones!$B$5:$B$2000,Config!$A$24,Recepciones!$A$5:$A$2000,"&gt;"&amp;$A434,Recepciones!$A$5:$A$2000,"&lt;="&amp;$A435)&gt;0,SUMIFS(Recepciones!$C$5:$C$2000,Recepciones!$B$5:$B$2000,Config!$A$24,Recepciones!$A$5:$A$2000,"&gt;"&amp;$A434,Recepciones!$A$5:$A$2000,"&lt;="&amp;$A435),MAX(0,F435-F434)))</f>
        <v/>
      </c>
      <c r="H435" s="24" t="str">
        <f aca="false">IF($A435="","",MAX(0,F434+G435-F435))</f>
        <v/>
      </c>
      <c r="I435" s="24" t="str">
        <f aca="false">IF($A435="","",Stock_Diario!G435)</f>
        <v/>
      </c>
      <c r="J435" s="24" t="str">
        <f aca="false">IF($A435="","",IF(SUMIFS(Recepciones!$C$5:$C$2000,Recepciones!$B$5:$B$2000,Config!$A$25,Recepciones!$A$5:$A$2000,"&gt;"&amp;$A434,Recepciones!$A$5:$A$2000,"&lt;="&amp;$A435)&gt;0,SUMIFS(Recepciones!$C$5:$C$2000,Recepciones!$B$5:$B$2000,Config!$A$25,Recepciones!$A$5:$A$2000,"&gt;"&amp;$A434,Recepciones!$A$5:$A$2000,"&lt;="&amp;$A435),MAX(0,I435-I434)))</f>
        <v/>
      </c>
      <c r="K435" s="24" t="str">
        <f aca="false">IF($A435="","",MAX(0,I434+J435-I435))</f>
        <v/>
      </c>
      <c r="L435" s="24" t="str">
        <f aca="false">IF($A435="","",E435+H435+K435)</f>
        <v/>
      </c>
      <c r="M435" s="4" t="str">
        <f aca="false">IF($A435="","",IF(AND(D435+G435+J435&gt;0,SUMIFS(Recepciones!$C$5:$C$2000,Recepciones!$A$5:$A$2000,"&gt;"&amp;$A434,Recepciones!$A$5:$A$2000,"&lt;="&amp;$A435)=0),"Aumento de stock sin recepción registrada",IF(B435&gt;1,"Intervalo de "&amp;B435&amp;" días","")))</f>
        <v/>
      </c>
    </row>
    <row r="436" customFormat="false" ht="15" hidden="false" customHeight="false" outlineLevel="0" collapsed="false">
      <c r="A436" s="5" t="str">
        <f aca="false">IF(Stock_Diario!A436="","",Stock_Diario!A436)</f>
        <v/>
      </c>
      <c r="B436" s="4" t="str">
        <f aca="false">IF($A436="","",$A436-$A435)</f>
        <v/>
      </c>
      <c r="C436" s="24" t="str">
        <f aca="false">IF($A436="","",Stock_Diario!E436)</f>
        <v/>
      </c>
      <c r="D436" s="24" t="str">
        <f aca="false">IF($A436="","",IF(SUMIFS(Recepciones!$C$5:$C$2000,Recepciones!$B$5:$B$2000,Config!$A$23,Recepciones!$A$5:$A$2000,"&gt;"&amp;$A435,Recepciones!$A$5:$A$2000,"&lt;="&amp;$A436)&gt;0,SUMIFS(Recepciones!$C$5:$C$2000,Recepciones!$B$5:$B$2000,Config!$A$23,Recepciones!$A$5:$A$2000,"&gt;"&amp;$A435,Recepciones!$A$5:$A$2000,"&lt;="&amp;$A436),MAX(0,C436-C435)))</f>
        <v/>
      </c>
      <c r="E436" s="24" t="str">
        <f aca="false">IF($A436="","",MAX(0,C435+D436-C436))</f>
        <v/>
      </c>
      <c r="F436" s="24" t="str">
        <f aca="false">IF($A436="","",Stock_Diario!F436)</f>
        <v/>
      </c>
      <c r="G436" s="24" t="str">
        <f aca="false">IF($A436="","",IF(SUMIFS(Recepciones!$C$5:$C$2000,Recepciones!$B$5:$B$2000,Config!$A$24,Recepciones!$A$5:$A$2000,"&gt;"&amp;$A435,Recepciones!$A$5:$A$2000,"&lt;="&amp;$A436)&gt;0,SUMIFS(Recepciones!$C$5:$C$2000,Recepciones!$B$5:$B$2000,Config!$A$24,Recepciones!$A$5:$A$2000,"&gt;"&amp;$A435,Recepciones!$A$5:$A$2000,"&lt;="&amp;$A436),MAX(0,F436-F435)))</f>
        <v/>
      </c>
      <c r="H436" s="24" t="str">
        <f aca="false">IF($A436="","",MAX(0,F435+G436-F436))</f>
        <v/>
      </c>
      <c r="I436" s="24" t="str">
        <f aca="false">IF($A436="","",Stock_Diario!G436)</f>
        <v/>
      </c>
      <c r="J436" s="24" t="str">
        <f aca="false">IF($A436="","",IF(SUMIFS(Recepciones!$C$5:$C$2000,Recepciones!$B$5:$B$2000,Config!$A$25,Recepciones!$A$5:$A$2000,"&gt;"&amp;$A435,Recepciones!$A$5:$A$2000,"&lt;="&amp;$A436)&gt;0,SUMIFS(Recepciones!$C$5:$C$2000,Recepciones!$B$5:$B$2000,Config!$A$25,Recepciones!$A$5:$A$2000,"&gt;"&amp;$A435,Recepciones!$A$5:$A$2000,"&lt;="&amp;$A436),MAX(0,I436-I435)))</f>
        <v/>
      </c>
      <c r="K436" s="24" t="str">
        <f aca="false">IF($A436="","",MAX(0,I435+J436-I436))</f>
        <v/>
      </c>
      <c r="L436" s="24" t="str">
        <f aca="false">IF($A436="","",E436+H436+K436)</f>
        <v/>
      </c>
      <c r="M436" s="4" t="str">
        <f aca="false">IF($A436="","",IF(AND(D436+G436+J436&gt;0,SUMIFS(Recepciones!$C$5:$C$2000,Recepciones!$A$5:$A$2000,"&gt;"&amp;$A435,Recepciones!$A$5:$A$2000,"&lt;="&amp;$A436)=0),"Aumento de stock sin recepción registrada",IF(B436&gt;1,"Intervalo de "&amp;B436&amp;" días","")))</f>
        <v/>
      </c>
    </row>
    <row r="437" customFormat="false" ht="15" hidden="false" customHeight="false" outlineLevel="0" collapsed="false">
      <c r="A437" s="5" t="str">
        <f aca="false">IF(Stock_Diario!A437="","",Stock_Diario!A437)</f>
        <v/>
      </c>
      <c r="B437" s="4" t="str">
        <f aca="false">IF($A437="","",$A437-$A436)</f>
        <v/>
      </c>
      <c r="C437" s="24" t="str">
        <f aca="false">IF($A437="","",Stock_Diario!E437)</f>
        <v/>
      </c>
      <c r="D437" s="24" t="str">
        <f aca="false">IF($A437="","",IF(SUMIFS(Recepciones!$C$5:$C$2000,Recepciones!$B$5:$B$2000,Config!$A$23,Recepciones!$A$5:$A$2000,"&gt;"&amp;$A436,Recepciones!$A$5:$A$2000,"&lt;="&amp;$A437)&gt;0,SUMIFS(Recepciones!$C$5:$C$2000,Recepciones!$B$5:$B$2000,Config!$A$23,Recepciones!$A$5:$A$2000,"&gt;"&amp;$A436,Recepciones!$A$5:$A$2000,"&lt;="&amp;$A437),MAX(0,C437-C436)))</f>
        <v/>
      </c>
      <c r="E437" s="24" t="str">
        <f aca="false">IF($A437="","",MAX(0,C436+D437-C437))</f>
        <v/>
      </c>
      <c r="F437" s="24" t="str">
        <f aca="false">IF($A437="","",Stock_Diario!F437)</f>
        <v/>
      </c>
      <c r="G437" s="24" t="str">
        <f aca="false">IF($A437="","",IF(SUMIFS(Recepciones!$C$5:$C$2000,Recepciones!$B$5:$B$2000,Config!$A$24,Recepciones!$A$5:$A$2000,"&gt;"&amp;$A436,Recepciones!$A$5:$A$2000,"&lt;="&amp;$A437)&gt;0,SUMIFS(Recepciones!$C$5:$C$2000,Recepciones!$B$5:$B$2000,Config!$A$24,Recepciones!$A$5:$A$2000,"&gt;"&amp;$A436,Recepciones!$A$5:$A$2000,"&lt;="&amp;$A437),MAX(0,F437-F436)))</f>
        <v/>
      </c>
      <c r="H437" s="24" t="str">
        <f aca="false">IF($A437="","",MAX(0,F436+G437-F437))</f>
        <v/>
      </c>
      <c r="I437" s="24" t="str">
        <f aca="false">IF($A437="","",Stock_Diario!G437)</f>
        <v/>
      </c>
      <c r="J437" s="24" t="str">
        <f aca="false">IF($A437="","",IF(SUMIFS(Recepciones!$C$5:$C$2000,Recepciones!$B$5:$B$2000,Config!$A$25,Recepciones!$A$5:$A$2000,"&gt;"&amp;$A436,Recepciones!$A$5:$A$2000,"&lt;="&amp;$A437)&gt;0,SUMIFS(Recepciones!$C$5:$C$2000,Recepciones!$B$5:$B$2000,Config!$A$25,Recepciones!$A$5:$A$2000,"&gt;"&amp;$A436,Recepciones!$A$5:$A$2000,"&lt;="&amp;$A437),MAX(0,I437-I436)))</f>
        <v/>
      </c>
      <c r="K437" s="24" t="str">
        <f aca="false">IF($A437="","",MAX(0,I436+J437-I437))</f>
        <v/>
      </c>
      <c r="L437" s="24" t="str">
        <f aca="false">IF($A437="","",E437+H437+K437)</f>
        <v/>
      </c>
      <c r="M437" s="4" t="str">
        <f aca="false">IF($A437="","",IF(AND(D437+G437+J437&gt;0,SUMIFS(Recepciones!$C$5:$C$2000,Recepciones!$A$5:$A$2000,"&gt;"&amp;$A436,Recepciones!$A$5:$A$2000,"&lt;="&amp;$A437)=0),"Aumento de stock sin recepción registrada",IF(B437&gt;1,"Intervalo de "&amp;B437&amp;" días","")))</f>
        <v/>
      </c>
    </row>
    <row r="438" customFormat="false" ht="15" hidden="false" customHeight="false" outlineLevel="0" collapsed="false">
      <c r="A438" s="5" t="str">
        <f aca="false">IF(Stock_Diario!A438="","",Stock_Diario!A438)</f>
        <v/>
      </c>
      <c r="B438" s="4" t="str">
        <f aca="false">IF($A438="","",$A438-$A437)</f>
        <v/>
      </c>
      <c r="C438" s="24" t="str">
        <f aca="false">IF($A438="","",Stock_Diario!E438)</f>
        <v/>
      </c>
      <c r="D438" s="24" t="str">
        <f aca="false">IF($A438="","",IF(SUMIFS(Recepciones!$C$5:$C$2000,Recepciones!$B$5:$B$2000,Config!$A$23,Recepciones!$A$5:$A$2000,"&gt;"&amp;$A437,Recepciones!$A$5:$A$2000,"&lt;="&amp;$A438)&gt;0,SUMIFS(Recepciones!$C$5:$C$2000,Recepciones!$B$5:$B$2000,Config!$A$23,Recepciones!$A$5:$A$2000,"&gt;"&amp;$A437,Recepciones!$A$5:$A$2000,"&lt;="&amp;$A438),MAX(0,C438-C437)))</f>
        <v/>
      </c>
      <c r="E438" s="24" t="str">
        <f aca="false">IF($A438="","",MAX(0,C437+D438-C438))</f>
        <v/>
      </c>
      <c r="F438" s="24" t="str">
        <f aca="false">IF($A438="","",Stock_Diario!F438)</f>
        <v/>
      </c>
      <c r="G438" s="24" t="str">
        <f aca="false">IF($A438="","",IF(SUMIFS(Recepciones!$C$5:$C$2000,Recepciones!$B$5:$B$2000,Config!$A$24,Recepciones!$A$5:$A$2000,"&gt;"&amp;$A437,Recepciones!$A$5:$A$2000,"&lt;="&amp;$A438)&gt;0,SUMIFS(Recepciones!$C$5:$C$2000,Recepciones!$B$5:$B$2000,Config!$A$24,Recepciones!$A$5:$A$2000,"&gt;"&amp;$A437,Recepciones!$A$5:$A$2000,"&lt;="&amp;$A438),MAX(0,F438-F437)))</f>
        <v/>
      </c>
      <c r="H438" s="24" t="str">
        <f aca="false">IF($A438="","",MAX(0,F437+G438-F438))</f>
        <v/>
      </c>
      <c r="I438" s="24" t="str">
        <f aca="false">IF($A438="","",Stock_Diario!G438)</f>
        <v/>
      </c>
      <c r="J438" s="24" t="str">
        <f aca="false">IF($A438="","",IF(SUMIFS(Recepciones!$C$5:$C$2000,Recepciones!$B$5:$B$2000,Config!$A$25,Recepciones!$A$5:$A$2000,"&gt;"&amp;$A437,Recepciones!$A$5:$A$2000,"&lt;="&amp;$A438)&gt;0,SUMIFS(Recepciones!$C$5:$C$2000,Recepciones!$B$5:$B$2000,Config!$A$25,Recepciones!$A$5:$A$2000,"&gt;"&amp;$A437,Recepciones!$A$5:$A$2000,"&lt;="&amp;$A438),MAX(0,I438-I437)))</f>
        <v/>
      </c>
      <c r="K438" s="24" t="str">
        <f aca="false">IF($A438="","",MAX(0,I437+J438-I438))</f>
        <v/>
      </c>
      <c r="L438" s="24" t="str">
        <f aca="false">IF($A438="","",E438+H438+K438)</f>
        <v/>
      </c>
      <c r="M438" s="4" t="str">
        <f aca="false">IF($A438="","",IF(AND(D438+G438+J438&gt;0,SUMIFS(Recepciones!$C$5:$C$2000,Recepciones!$A$5:$A$2000,"&gt;"&amp;$A437,Recepciones!$A$5:$A$2000,"&lt;="&amp;$A438)=0),"Aumento de stock sin recepción registrada",IF(B438&gt;1,"Intervalo de "&amp;B438&amp;" días","")))</f>
        <v/>
      </c>
    </row>
    <row r="439" customFormat="false" ht="15" hidden="false" customHeight="false" outlineLevel="0" collapsed="false">
      <c r="A439" s="5" t="str">
        <f aca="false">IF(Stock_Diario!A439="","",Stock_Diario!A439)</f>
        <v/>
      </c>
      <c r="B439" s="4" t="str">
        <f aca="false">IF($A439="","",$A439-$A438)</f>
        <v/>
      </c>
      <c r="C439" s="24" t="str">
        <f aca="false">IF($A439="","",Stock_Diario!E439)</f>
        <v/>
      </c>
      <c r="D439" s="24" t="str">
        <f aca="false">IF($A439="","",IF(SUMIFS(Recepciones!$C$5:$C$2000,Recepciones!$B$5:$B$2000,Config!$A$23,Recepciones!$A$5:$A$2000,"&gt;"&amp;$A438,Recepciones!$A$5:$A$2000,"&lt;="&amp;$A439)&gt;0,SUMIFS(Recepciones!$C$5:$C$2000,Recepciones!$B$5:$B$2000,Config!$A$23,Recepciones!$A$5:$A$2000,"&gt;"&amp;$A438,Recepciones!$A$5:$A$2000,"&lt;="&amp;$A439),MAX(0,C439-C438)))</f>
        <v/>
      </c>
      <c r="E439" s="24" t="str">
        <f aca="false">IF($A439="","",MAX(0,C438+D439-C439))</f>
        <v/>
      </c>
      <c r="F439" s="24" t="str">
        <f aca="false">IF($A439="","",Stock_Diario!F439)</f>
        <v/>
      </c>
      <c r="G439" s="24" t="str">
        <f aca="false">IF($A439="","",IF(SUMIFS(Recepciones!$C$5:$C$2000,Recepciones!$B$5:$B$2000,Config!$A$24,Recepciones!$A$5:$A$2000,"&gt;"&amp;$A438,Recepciones!$A$5:$A$2000,"&lt;="&amp;$A439)&gt;0,SUMIFS(Recepciones!$C$5:$C$2000,Recepciones!$B$5:$B$2000,Config!$A$24,Recepciones!$A$5:$A$2000,"&gt;"&amp;$A438,Recepciones!$A$5:$A$2000,"&lt;="&amp;$A439),MAX(0,F439-F438)))</f>
        <v/>
      </c>
      <c r="H439" s="24" t="str">
        <f aca="false">IF($A439="","",MAX(0,F438+G439-F439))</f>
        <v/>
      </c>
      <c r="I439" s="24" t="str">
        <f aca="false">IF($A439="","",Stock_Diario!G439)</f>
        <v/>
      </c>
      <c r="J439" s="24" t="str">
        <f aca="false">IF($A439="","",IF(SUMIFS(Recepciones!$C$5:$C$2000,Recepciones!$B$5:$B$2000,Config!$A$25,Recepciones!$A$5:$A$2000,"&gt;"&amp;$A438,Recepciones!$A$5:$A$2000,"&lt;="&amp;$A439)&gt;0,SUMIFS(Recepciones!$C$5:$C$2000,Recepciones!$B$5:$B$2000,Config!$A$25,Recepciones!$A$5:$A$2000,"&gt;"&amp;$A438,Recepciones!$A$5:$A$2000,"&lt;="&amp;$A439),MAX(0,I439-I438)))</f>
        <v/>
      </c>
      <c r="K439" s="24" t="str">
        <f aca="false">IF($A439="","",MAX(0,I438+J439-I439))</f>
        <v/>
      </c>
      <c r="L439" s="24" t="str">
        <f aca="false">IF($A439="","",E439+H439+K439)</f>
        <v/>
      </c>
      <c r="M439" s="4" t="str">
        <f aca="false">IF($A439="","",IF(AND(D439+G439+J439&gt;0,SUMIFS(Recepciones!$C$5:$C$2000,Recepciones!$A$5:$A$2000,"&gt;"&amp;$A438,Recepciones!$A$5:$A$2000,"&lt;="&amp;$A439)=0),"Aumento de stock sin recepción registrada",IF(B439&gt;1,"Intervalo de "&amp;B439&amp;" días","")))</f>
        <v/>
      </c>
    </row>
    <row r="440" customFormat="false" ht="15" hidden="false" customHeight="false" outlineLevel="0" collapsed="false">
      <c r="A440" s="5" t="str">
        <f aca="false">IF(Stock_Diario!A440="","",Stock_Diario!A440)</f>
        <v/>
      </c>
      <c r="B440" s="4" t="str">
        <f aca="false">IF($A440="","",$A440-$A439)</f>
        <v/>
      </c>
      <c r="C440" s="24" t="str">
        <f aca="false">IF($A440="","",Stock_Diario!E440)</f>
        <v/>
      </c>
      <c r="D440" s="24" t="str">
        <f aca="false">IF($A440="","",IF(SUMIFS(Recepciones!$C$5:$C$2000,Recepciones!$B$5:$B$2000,Config!$A$23,Recepciones!$A$5:$A$2000,"&gt;"&amp;$A439,Recepciones!$A$5:$A$2000,"&lt;="&amp;$A440)&gt;0,SUMIFS(Recepciones!$C$5:$C$2000,Recepciones!$B$5:$B$2000,Config!$A$23,Recepciones!$A$5:$A$2000,"&gt;"&amp;$A439,Recepciones!$A$5:$A$2000,"&lt;="&amp;$A440),MAX(0,C440-C439)))</f>
        <v/>
      </c>
      <c r="E440" s="24" t="str">
        <f aca="false">IF($A440="","",MAX(0,C439+D440-C440))</f>
        <v/>
      </c>
      <c r="F440" s="24" t="str">
        <f aca="false">IF($A440="","",Stock_Diario!F440)</f>
        <v/>
      </c>
      <c r="G440" s="24" t="str">
        <f aca="false">IF($A440="","",IF(SUMIFS(Recepciones!$C$5:$C$2000,Recepciones!$B$5:$B$2000,Config!$A$24,Recepciones!$A$5:$A$2000,"&gt;"&amp;$A439,Recepciones!$A$5:$A$2000,"&lt;="&amp;$A440)&gt;0,SUMIFS(Recepciones!$C$5:$C$2000,Recepciones!$B$5:$B$2000,Config!$A$24,Recepciones!$A$5:$A$2000,"&gt;"&amp;$A439,Recepciones!$A$5:$A$2000,"&lt;="&amp;$A440),MAX(0,F440-F439)))</f>
        <v/>
      </c>
      <c r="H440" s="24" t="str">
        <f aca="false">IF($A440="","",MAX(0,F439+G440-F440))</f>
        <v/>
      </c>
      <c r="I440" s="24" t="str">
        <f aca="false">IF($A440="","",Stock_Diario!G440)</f>
        <v/>
      </c>
      <c r="J440" s="24" t="str">
        <f aca="false">IF($A440="","",IF(SUMIFS(Recepciones!$C$5:$C$2000,Recepciones!$B$5:$B$2000,Config!$A$25,Recepciones!$A$5:$A$2000,"&gt;"&amp;$A439,Recepciones!$A$5:$A$2000,"&lt;="&amp;$A440)&gt;0,SUMIFS(Recepciones!$C$5:$C$2000,Recepciones!$B$5:$B$2000,Config!$A$25,Recepciones!$A$5:$A$2000,"&gt;"&amp;$A439,Recepciones!$A$5:$A$2000,"&lt;="&amp;$A440),MAX(0,I440-I439)))</f>
        <v/>
      </c>
      <c r="K440" s="24" t="str">
        <f aca="false">IF($A440="","",MAX(0,I439+J440-I440))</f>
        <v/>
      </c>
      <c r="L440" s="24" t="str">
        <f aca="false">IF($A440="","",E440+H440+K440)</f>
        <v/>
      </c>
      <c r="M440" s="4" t="str">
        <f aca="false">IF($A440="","",IF(AND(D440+G440+J440&gt;0,SUMIFS(Recepciones!$C$5:$C$2000,Recepciones!$A$5:$A$2000,"&gt;"&amp;$A439,Recepciones!$A$5:$A$2000,"&lt;="&amp;$A440)=0),"Aumento de stock sin recepción registrada",IF(B440&gt;1,"Intervalo de "&amp;B440&amp;" días","")))</f>
        <v/>
      </c>
    </row>
    <row r="441" customFormat="false" ht="15" hidden="false" customHeight="false" outlineLevel="0" collapsed="false">
      <c r="A441" s="5" t="str">
        <f aca="false">IF(Stock_Diario!A441="","",Stock_Diario!A441)</f>
        <v/>
      </c>
      <c r="B441" s="4" t="str">
        <f aca="false">IF($A441="","",$A441-$A440)</f>
        <v/>
      </c>
      <c r="C441" s="24" t="str">
        <f aca="false">IF($A441="","",Stock_Diario!E441)</f>
        <v/>
      </c>
      <c r="D441" s="24" t="str">
        <f aca="false">IF($A441="","",IF(SUMIFS(Recepciones!$C$5:$C$2000,Recepciones!$B$5:$B$2000,Config!$A$23,Recepciones!$A$5:$A$2000,"&gt;"&amp;$A440,Recepciones!$A$5:$A$2000,"&lt;="&amp;$A441)&gt;0,SUMIFS(Recepciones!$C$5:$C$2000,Recepciones!$B$5:$B$2000,Config!$A$23,Recepciones!$A$5:$A$2000,"&gt;"&amp;$A440,Recepciones!$A$5:$A$2000,"&lt;="&amp;$A441),MAX(0,C441-C440)))</f>
        <v/>
      </c>
      <c r="E441" s="24" t="str">
        <f aca="false">IF($A441="","",MAX(0,C440+D441-C441))</f>
        <v/>
      </c>
      <c r="F441" s="24" t="str">
        <f aca="false">IF($A441="","",Stock_Diario!F441)</f>
        <v/>
      </c>
      <c r="G441" s="24" t="str">
        <f aca="false">IF($A441="","",IF(SUMIFS(Recepciones!$C$5:$C$2000,Recepciones!$B$5:$B$2000,Config!$A$24,Recepciones!$A$5:$A$2000,"&gt;"&amp;$A440,Recepciones!$A$5:$A$2000,"&lt;="&amp;$A441)&gt;0,SUMIFS(Recepciones!$C$5:$C$2000,Recepciones!$B$5:$B$2000,Config!$A$24,Recepciones!$A$5:$A$2000,"&gt;"&amp;$A440,Recepciones!$A$5:$A$2000,"&lt;="&amp;$A441),MAX(0,F441-F440)))</f>
        <v/>
      </c>
      <c r="H441" s="24" t="str">
        <f aca="false">IF($A441="","",MAX(0,F440+G441-F441))</f>
        <v/>
      </c>
      <c r="I441" s="24" t="str">
        <f aca="false">IF($A441="","",Stock_Diario!G441)</f>
        <v/>
      </c>
      <c r="J441" s="24" t="str">
        <f aca="false">IF($A441="","",IF(SUMIFS(Recepciones!$C$5:$C$2000,Recepciones!$B$5:$B$2000,Config!$A$25,Recepciones!$A$5:$A$2000,"&gt;"&amp;$A440,Recepciones!$A$5:$A$2000,"&lt;="&amp;$A441)&gt;0,SUMIFS(Recepciones!$C$5:$C$2000,Recepciones!$B$5:$B$2000,Config!$A$25,Recepciones!$A$5:$A$2000,"&gt;"&amp;$A440,Recepciones!$A$5:$A$2000,"&lt;="&amp;$A441),MAX(0,I441-I440)))</f>
        <v/>
      </c>
      <c r="K441" s="24" t="str">
        <f aca="false">IF($A441="","",MAX(0,I440+J441-I441))</f>
        <v/>
      </c>
      <c r="L441" s="24" t="str">
        <f aca="false">IF($A441="","",E441+H441+K441)</f>
        <v/>
      </c>
      <c r="M441" s="4" t="str">
        <f aca="false">IF($A441="","",IF(AND(D441+G441+J441&gt;0,SUMIFS(Recepciones!$C$5:$C$2000,Recepciones!$A$5:$A$2000,"&gt;"&amp;$A440,Recepciones!$A$5:$A$2000,"&lt;="&amp;$A441)=0),"Aumento de stock sin recepción registrada",IF(B441&gt;1,"Intervalo de "&amp;B441&amp;" días","")))</f>
        <v/>
      </c>
    </row>
    <row r="442" customFormat="false" ht="15" hidden="false" customHeight="false" outlineLevel="0" collapsed="false">
      <c r="A442" s="5" t="str">
        <f aca="false">IF(Stock_Diario!A442="","",Stock_Diario!A442)</f>
        <v/>
      </c>
      <c r="B442" s="4" t="str">
        <f aca="false">IF($A442="","",$A442-$A441)</f>
        <v/>
      </c>
      <c r="C442" s="24" t="str">
        <f aca="false">IF($A442="","",Stock_Diario!E442)</f>
        <v/>
      </c>
      <c r="D442" s="24" t="str">
        <f aca="false">IF($A442="","",IF(SUMIFS(Recepciones!$C$5:$C$2000,Recepciones!$B$5:$B$2000,Config!$A$23,Recepciones!$A$5:$A$2000,"&gt;"&amp;$A441,Recepciones!$A$5:$A$2000,"&lt;="&amp;$A442)&gt;0,SUMIFS(Recepciones!$C$5:$C$2000,Recepciones!$B$5:$B$2000,Config!$A$23,Recepciones!$A$5:$A$2000,"&gt;"&amp;$A441,Recepciones!$A$5:$A$2000,"&lt;="&amp;$A442),MAX(0,C442-C441)))</f>
        <v/>
      </c>
      <c r="E442" s="24" t="str">
        <f aca="false">IF($A442="","",MAX(0,C441+D442-C442))</f>
        <v/>
      </c>
      <c r="F442" s="24" t="str">
        <f aca="false">IF($A442="","",Stock_Diario!F442)</f>
        <v/>
      </c>
      <c r="G442" s="24" t="str">
        <f aca="false">IF($A442="","",IF(SUMIFS(Recepciones!$C$5:$C$2000,Recepciones!$B$5:$B$2000,Config!$A$24,Recepciones!$A$5:$A$2000,"&gt;"&amp;$A441,Recepciones!$A$5:$A$2000,"&lt;="&amp;$A442)&gt;0,SUMIFS(Recepciones!$C$5:$C$2000,Recepciones!$B$5:$B$2000,Config!$A$24,Recepciones!$A$5:$A$2000,"&gt;"&amp;$A441,Recepciones!$A$5:$A$2000,"&lt;="&amp;$A442),MAX(0,F442-F441)))</f>
        <v/>
      </c>
      <c r="H442" s="24" t="str">
        <f aca="false">IF($A442="","",MAX(0,F441+G442-F442))</f>
        <v/>
      </c>
      <c r="I442" s="24" t="str">
        <f aca="false">IF($A442="","",Stock_Diario!G442)</f>
        <v/>
      </c>
      <c r="J442" s="24" t="str">
        <f aca="false">IF($A442="","",IF(SUMIFS(Recepciones!$C$5:$C$2000,Recepciones!$B$5:$B$2000,Config!$A$25,Recepciones!$A$5:$A$2000,"&gt;"&amp;$A441,Recepciones!$A$5:$A$2000,"&lt;="&amp;$A442)&gt;0,SUMIFS(Recepciones!$C$5:$C$2000,Recepciones!$B$5:$B$2000,Config!$A$25,Recepciones!$A$5:$A$2000,"&gt;"&amp;$A441,Recepciones!$A$5:$A$2000,"&lt;="&amp;$A442),MAX(0,I442-I441)))</f>
        <v/>
      </c>
      <c r="K442" s="24" t="str">
        <f aca="false">IF($A442="","",MAX(0,I441+J442-I442))</f>
        <v/>
      </c>
      <c r="L442" s="24" t="str">
        <f aca="false">IF($A442="","",E442+H442+K442)</f>
        <v/>
      </c>
      <c r="M442" s="4" t="str">
        <f aca="false">IF($A442="","",IF(AND(D442+G442+J442&gt;0,SUMIFS(Recepciones!$C$5:$C$2000,Recepciones!$A$5:$A$2000,"&gt;"&amp;$A441,Recepciones!$A$5:$A$2000,"&lt;="&amp;$A442)=0),"Aumento de stock sin recepción registrada",IF(B442&gt;1,"Intervalo de "&amp;B442&amp;" días","")))</f>
        <v/>
      </c>
    </row>
    <row r="443" customFormat="false" ht="15" hidden="false" customHeight="false" outlineLevel="0" collapsed="false">
      <c r="A443" s="5" t="str">
        <f aca="false">IF(Stock_Diario!A443="","",Stock_Diario!A443)</f>
        <v/>
      </c>
      <c r="B443" s="4" t="str">
        <f aca="false">IF($A443="","",$A443-$A442)</f>
        <v/>
      </c>
      <c r="C443" s="24" t="str">
        <f aca="false">IF($A443="","",Stock_Diario!E443)</f>
        <v/>
      </c>
      <c r="D443" s="24" t="str">
        <f aca="false">IF($A443="","",IF(SUMIFS(Recepciones!$C$5:$C$2000,Recepciones!$B$5:$B$2000,Config!$A$23,Recepciones!$A$5:$A$2000,"&gt;"&amp;$A442,Recepciones!$A$5:$A$2000,"&lt;="&amp;$A443)&gt;0,SUMIFS(Recepciones!$C$5:$C$2000,Recepciones!$B$5:$B$2000,Config!$A$23,Recepciones!$A$5:$A$2000,"&gt;"&amp;$A442,Recepciones!$A$5:$A$2000,"&lt;="&amp;$A443),MAX(0,C443-C442)))</f>
        <v/>
      </c>
      <c r="E443" s="24" t="str">
        <f aca="false">IF($A443="","",MAX(0,C442+D443-C443))</f>
        <v/>
      </c>
      <c r="F443" s="24" t="str">
        <f aca="false">IF($A443="","",Stock_Diario!F443)</f>
        <v/>
      </c>
      <c r="G443" s="24" t="str">
        <f aca="false">IF($A443="","",IF(SUMIFS(Recepciones!$C$5:$C$2000,Recepciones!$B$5:$B$2000,Config!$A$24,Recepciones!$A$5:$A$2000,"&gt;"&amp;$A442,Recepciones!$A$5:$A$2000,"&lt;="&amp;$A443)&gt;0,SUMIFS(Recepciones!$C$5:$C$2000,Recepciones!$B$5:$B$2000,Config!$A$24,Recepciones!$A$5:$A$2000,"&gt;"&amp;$A442,Recepciones!$A$5:$A$2000,"&lt;="&amp;$A443),MAX(0,F443-F442)))</f>
        <v/>
      </c>
      <c r="H443" s="24" t="str">
        <f aca="false">IF($A443="","",MAX(0,F442+G443-F443))</f>
        <v/>
      </c>
      <c r="I443" s="24" t="str">
        <f aca="false">IF($A443="","",Stock_Diario!G443)</f>
        <v/>
      </c>
      <c r="J443" s="24" t="str">
        <f aca="false">IF($A443="","",IF(SUMIFS(Recepciones!$C$5:$C$2000,Recepciones!$B$5:$B$2000,Config!$A$25,Recepciones!$A$5:$A$2000,"&gt;"&amp;$A442,Recepciones!$A$5:$A$2000,"&lt;="&amp;$A443)&gt;0,SUMIFS(Recepciones!$C$5:$C$2000,Recepciones!$B$5:$B$2000,Config!$A$25,Recepciones!$A$5:$A$2000,"&gt;"&amp;$A442,Recepciones!$A$5:$A$2000,"&lt;="&amp;$A443),MAX(0,I443-I442)))</f>
        <v/>
      </c>
      <c r="K443" s="24" t="str">
        <f aca="false">IF($A443="","",MAX(0,I442+J443-I443))</f>
        <v/>
      </c>
      <c r="L443" s="24" t="str">
        <f aca="false">IF($A443="","",E443+H443+K443)</f>
        <v/>
      </c>
      <c r="M443" s="4" t="str">
        <f aca="false">IF($A443="","",IF(AND(D443+G443+J443&gt;0,SUMIFS(Recepciones!$C$5:$C$2000,Recepciones!$A$5:$A$2000,"&gt;"&amp;$A442,Recepciones!$A$5:$A$2000,"&lt;="&amp;$A443)=0),"Aumento de stock sin recepción registrada",IF(B443&gt;1,"Intervalo de "&amp;B443&amp;" días","")))</f>
        <v/>
      </c>
    </row>
    <row r="444" customFormat="false" ht="15" hidden="false" customHeight="false" outlineLevel="0" collapsed="false">
      <c r="A444" s="5" t="str">
        <f aca="false">IF(Stock_Diario!A444="","",Stock_Diario!A444)</f>
        <v/>
      </c>
      <c r="B444" s="4" t="str">
        <f aca="false">IF($A444="","",$A444-$A443)</f>
        <v/>
      </c>
      <c r="C444" s="24" t="str">
        <f aca="false">IF($A444="","",Stock_Diario!E444)</f>
        <v/>
      </c>
      <c r="D444" s="24" t="str">
        <f aca="false">IF($A444="","",IF(SUMIFS(Recepciones!$C$5:$C$2000,Recepciones!$B$5:$B$2000,Config!$A$23,Recepciones!$A$5:$A$2000,"&gt;"&amp;$A443,Recepciones!$A$5:$A$2000,"&lt;="&amp;$A444)&gt;0,SUMIFS(Recepciones!$C$5:$C$2000,Recepciones!$B$5:$B$2000,Config!$A$23,Recepciones!$A$5:$A$2000,"&gt;"&amp;$A443,Recepciones!$A$5:$A$2000,"&lt;="&amp;$A444),MAX(0,C444-C443)))</f>
        <v/>
      </c>
      <c r="E444" s="24" t="str">
        <f aca="false">IF($A444="","",MAX(0,C443+D444-C444))</f>
        <v/>
      </c>
      <c r="F444" s="24" t="str">
        <f aca="false">IF($A444="","",Stock_Diario!F444)</f>
        <v/>
      </c>
      <c r="G444" s="24" t="str">
        <f aca="false">IF($A444="","",IF(SUMIFS(Recepciones!$C$5:$C$2000,Recepciones!$B$5:$B$2000,Config!$A$24,Recepciones!$A$5:$A$2000,"&gt;"&amp;$A443,Recepciones!$A$5:$A$2000,"&lt;="&amp;$A444)&gt;0,SUMIFS(Recepciones!$C$5:$C$2000,Recepciones!$B$5:$B$2000,Config!$A$24,Recepciones!$A$5:$A$2000,"&gt;"&amp;$A443,Recepciones!$A$5:$A$2000,"&lt;="&amp;$A444),MAX(0,F444-F443)))</f>
        <v/>
      </c>
      <c r="H444" s="24" t="str">
        <f aca="false">IF($A444="","",MAX(0,F443+G444-F444))</f>
        <v/>
      </c>
      <c r="I444" s="24" t="str">
        <f aca="false">IF($A444="","",Stock_Diario!G444)</f>
        <v/>
      </c>
      <c r="J444" s="24" t="str">
        <f aca="false">IF($A444="","",IF(SUMIFS(Recepciones!$C$5:$C$2000,Recepciones!$B$5:$B$2000,Config!$A$25,Recepciones!$A$5:$A$2000,"&gt;"&amp;$A443,Recepciones!$A$5:$A$2000,"&lt;="&amp;$A444)&gt;0,SUMIFS(Recepciones!$C$5:$C$2000,Recepciones!$B$5:$B$2000,Config!$A$25,Recepciones!$A$5:$A$2000,"&gt;"&amp;$A443,Recepciones!$A$5:$A$2000,"&lt;="&amp;$A444),MAX(0,I444-I443)))</f>
        <v/>
      </c>
      <c r="K444" s="24" t="str">
        <f aca="false">IF($A444="","",MAX(0,I443+J444-I444))</f>
        <v/>
      </c>
      <c r="L444" s="24" t="str">
        <f aca="false">IF($A444="","",E444+H444+K444)</f>
        <v/>
      </c>
      <c r="M444" s="4" t="str">
        <f aca="false">IF($A444="","",IF(AND(D444+G444+J444&gt;0,SUMIFS(Recepciones!$C$5:$C$2000,Recepciones!$A$5:$A$2000,"&gt;"&amp;$A443,Recepciones!$A$5:$A$2000,"&lt;="&amp;$A444)=0),"Aumento de stock sin recepción registrada",IF(B444&gt;1,"Intervalo de "&amp;B444&amp;" días","")))</f>
        <v/>
      </c>
    </row>
    <row r="445" customFormat="false" ht="15" hidden="false" customHeight="false" outlineLevel="0" collapsed="false">
      <c r="A445" s="5" t="str">
        <f aca="false">IF(Stock_Diario!A445="","",Stock_Diario!A445)</f>
        <v/>
      </c>
      <c r="B445" s="4" t="str">
        <f aca="false">IF($A445="","",$A445-$A444)</f>
        <v/>
      </c>
      <c r="C445" s="24" t="str">
        <f aca="false">IF($A445="","",Stock_Diario!E445)</f>
        <v/>
      </c>
      <c r="D445" s="24" t="str">
        <f aca="false">IF($A445="","",IF(SUMIFS(Recepciones!$C$5:$C$2000,Recepciones!$B$5:$B$2000,Config!$A$23,Recepciones!$A$5:$A$2000,"&gt;"&amp;$A444,Recepciones!$A$5:$A$2000,"&lt;="&amp;$A445)&gt;0,SUMIFS(Recepciones!$C$5:$C$2000,Recepciones!$B$5:$B$2000,Config!$A$23,Recepciones!$A$5:$A$2000,"&gt;"&amp;$A444,Recepciones!$A$5:$A$2000,"&lt;="&amp;$A445),MAX(0,C445-C444)))</f>
        <v/>
      </c>
      <c r="E445" s="24" t="str">
        <f aca="false">IF($A445="","",MAX(0,C444+D445-C445))</f>
        <v/>
      </c>
      <c r="F445" s="24" t="str">
        <f aca="false">IF($A445="","",Stock_Diario!F445)</f>
        <v/>
      </c>
      <c r="G445" s="24" t="str">
        <f aca="false">IF($A445="","",IF(SUMIFS(Recepciones!$C$5:$C$2000,Recepciones!$B$5:$B$2000,Config!$A$24,Recepciones!$A$5:$A$2000,"&gt;"&amp;$A444,Recepciones!$A$5:$A$2000,"&lt;="&amp;$A445)&gt;0,SUMIFS(Recepciones!$C$5:$C$2000,Recepciones!$B$5:$B$2000,Config!$A$24,Recepciones!$A$5:$A$2000,"&gt;"&amp;$A444,Recepciones!$A$5:$A$2000,"&lt;="&amp;$A445),MAX(0,F445-F444)))</f>
        <v/>
      </c>
      <c r="H445" s="24" t="str">
        <f aca="false">IF($A445="","",MAX(0,F444+G445-F445))</f>
        <v/>
      </c>
      <c r="I445" s="24" t="str">
        <f aca="false">IF($A445="","",Stock_Diario!G445)</f>
        <v/>
      </c>
      <c r="J445" s="24" t="str">
        <f aca="false">IF($A445="","",IF(SUMIFS(Recepciones!$C$5:$C$2000,Recepciones!$B$5:$B$2000,Config!$A$25,Recepciones!$A$5:$A$2000,"&gt;"&amp;$A444,Recepciones!$A$5:$A$2000,"&lt;="&amp;$A445)&gt;0,SUMIFS(Recepciones!$C$5:$C$2000,Recepciones!$B$5:$B$2000,Config!$A$25,Recepciones!$A$5:$A$2000,"&gt;"&amp;$A444,Recepciones!$A$5:$A$2000,"&lt;="&amp;$A445),MAX(0,I445-I444)))</f>
        <v/>
      </c>
      <c r="K445" s="24" t="str">
        <f aca="false">IF($A445="","",MAX(0,I444+J445-I445))</f>
        <v/>
      </c>
      <c r="L445" s="24" t="str">
        <f aca="false">IF($A445="","",E445+H445+K445)</f>
        <v/>
      </c>
      <c r="M445" s="4" t="str">
        <f aca="false">IF($A445="","",IF(AND(D445+G445+J445&gt;0,SUMIFS(Recepciones!$C$5:$C$2000,Recepciones!$A$5:$A$2000,"&gt;"&amp;$A444,Recepciones!$A$5:$A$2000,"&lt;="&amp;$A445)=0),"Aumento de stock sin recepción registrada",IF(B445&gt;1,"Intervalo de "&amp;B445&amp;" días","")))</f>
        <v/>
      </c>
    </row>
    <row r="446" customFormat="false" ht="15" hidden="false" customHeight="false" outlineLevel="0" collapsed="false">
      <c r="A446" s="5" t="str">
        <f aca="false">IF(Stock_Diario!A446="","",Stock_Diario!A446)</f>
        <v/>
      </c>
      <c r="B446" s="4" t="str">
        <f aca="false">IF($A446="","",$A446-$A445)</f>
        <v/>
      </c>
      <c r="C446" s="24" t="str">
        <f aca="false">IF($A446="","",Stock_Diario!E446)</f>
        <v/>
      </c>
      <c r="D446" s="24" t="str">
        <f aca="false">IF($A446="","",IF(SUMIFS(Recepciones!$C$5:$C$2000,Recepciones!$B$5:$B$2000,Config!$A$23,Recepciones!$A$5:$A$2000,"&gt;"&amp;$A445,Recepciones!$A$5:$A$2000,"&lt;="&amp;$A446)&gt;0,SUMIFS(Recepciones!$C$5:$C$2000,Recepciones!$B$5:$B$2000,Config!$A$23,Recepciones!$A$5:$A$2000,"&gt;"&amp;$A445,Recepciones!$A$5:$A$2000,"&lt;="&amp;$A446),MAX(0,C446-C445)))</f>
        <v/>
      </c>
      <c r="E446" s="24" t="str">
        <f aca="false">IF($A446="","",MAX(0,C445+D446-C446))</f>
        <v/>
      </c>
      <c r="F446" s="24" t="str">
        <f aca="false">IF($A446="","",Stock_Diario!F446)</f>
        <v/>
      </c>
      <c r="G446" s="24" t="str">
        <f aca="false">IF($A446="","",IF(SUMIFS(Recepciones!$C$5:$C$2000,Recepciones!$B$5:$B$2000,Config!$A$24,Recepciones!$A$5:$A$2000,"&gt;"&amp;$A445,Recepciones!$A$5:$A$2000,"&lt;="&amp;$A446)&gt;0,SUMIFS(Recepciones!$C$5:$C$2000,Recepciones!$B$5:$B$2000,Config!$A$24,Recepciones!$A$5:$A$2000,"&gt;"&amp;$A445,Recepciones!$A$5:$A$2000,"&lt;="&amp;$A446),MAX(0,F446-F445)))</f>
        <v/>
      </c>
      <c r="H446" s="24" t="str">
        <f aca="false">IF($A446="","",MAX(0,F445+G446-F446))</f>
        <v/>
      </c>
      <c r="I446" s="24" t="str">
        <f aca="false">IF($A446="","",Stock_Diario!G446)</f>
        <v/>
      </c>
      <c r="J446" s="24" t="str">
        <f aca="false">IF($A446="","",IF(SUMIFS(Recepciones!$C$5:$C$2000,Recepciones!$B$5:$B$2000,Config!$A$25,Recepciones!$A$5:$A$2000,"&gt;"&amp;$A445,Recepciones!$A$5:$A$2000,"&lt;="&amp;$A446)&gt;0,SUMIFS(Recepciones!$C$5:$C$2000,Recepciones!$B$5:$B$2000,Config!$A$25,Recepciones!$A$5:$A$2000,"&gt;"&amp;$A445,Recepciones!$A$5:$A$2000,"&lt;="&amp;$A446),MAX(0,I446-I445)))</f>
        <v/>
      </c>
      <c r="K446" s="24" t="str">
        <f aca="false">IF($A446="","",MAX(0,I445+J446-I446))</f>
        <v/>
      </c>
      <c r="L446" s="24" t="str">
        <f aca="false">IF($A446="","",E446+H446+K446)</f>
        <v/>
      </c>
      <c r="M446" s="4" t="str">
        <f aca="false">IF($A446="","",IF(AND(D446+G446+J446&gt;0,SUMIFS(Recepciones!$C$5:$C$2000,Recepciones!$A$5:$A$2000,"&gt;"&amp;$A445,Recepciones!$A$5:$A$2000,"&lt;="&amp;$A446)=0),"Aumento de stock sin recepción registrada",IF(B446&gt;1,"Intervalo de "&amp;B446&amp;" días","")))</f>
        <v/>
      </c>
    </row>
    <row r="447" customFormat="false" ht="15" hidden="false" customHeight="false" outlineLevel="0" collapsed="false">
      <c r="A447" s="5" t="str">
        <f aca="false">IF(Stock_Diario!A447="","",Stock_Diario!A447)</f>
        <v/>
      </c>
      <c r="B447" s="4" t="str">
        <f aca="false">IF($A447="","",$A447-$A446)</f>
        <v/>
      </c>
      <c r="C447" s="24" t="str">
        <f aca="false">IF($A447="","",Stock_Diario!E447)</f>
        <v/>
      </c>
      <c r="D447" s="24" t="str">
        <f aca="false">IF($A447="","",IF(SUMIFS(Recepciones!$C$5:$C$2000,Recepciones!$B$5:$B$2000,Config!$A$23,Recepciones!$A$5:$A$2000,"&gt;"&amp;$A446,Recepciones!$A$5:$A$2000,"&lt;="&amp;$A447)&gt;0,SUMIFS(Recepciones!$C$5:$C$2000,Recepciones!$B$5:$B$2000,Config!$A$23,Recepciones!$A$5:$A$2000,"&gt;"&amp;$A446,Recepciones!$A$5:$A$2000,"&lt;="&amp;$A447),MAX(0,C447-C446)))</f>
        <v/>
      </c>
      <c r="E447" s="24" t="str">
        <f aca="false">IF($A447="","",MAX(0,C446+D447-C447))</f>
        <v/>
      </c>
      <c r="F447" s="24" t="str">
        <f aca="false">IF($A447="","",Stock_Diario!F447)</f>
        <v/>
      </c>
      <c r="G447" s="24" t="str">
        <f aca="false">IF($A447="","",IF(SUMIFS(Recepciones!$C$5:$C$2000,Recepciones!$B$5:$B$2000,Config!$A$24,Recepciones!$A$5:$A$2000,"&gt;"&amp;$A446,Recepciones!$A$5:$A$2000,"&lt;="&amp;$A447)&gt;0,SUMIFS(Recepciones!$C$5:$C$2000,Recepciones!$B$5:$B$2000,Config!$A$24,Recepciones!$A$5:$A$2000,"&gt;"&amp;$A446,Recepciones!$A$5:$A$2000,"&lt;="&amp;$A447),MAX(0,F447-F446)))</f>
        <v/>
      </c>
      <c r="H447" s="24" t="str">
        <f aca="false">IF($A447="","",MAX(0,F446+G447-F447))</f>
        <v/>
      </c>
      <c r="I447" s="24" t="str">
        <f aca="false">IF($A447="","",Stock_Diario!G447)</f>
        <v/>
      </c>
      <c r="J447" s="24" t="str">
        <f aca="false">IF($A447="","",IF(SUMIFS(Recepciones!$C$5:$C$2000,Recepciones!$B$5:$B$2000,Config!$A$25,Recepciones!$A$5:$A$2000,"&gt;"&amp;$A446,Recepciones!$A$5:$A$2000,"&lt;="&amp;$A447)&gt;0,SUMIFS(Recepciones!$C$5:$C$2000,Recepciones!$B$5:$B$2000,Config!$A$25,Recepciones!$A$5:$A$2000,"&gt;"&amp;$A446,Recepciones!$A$5:$A$2000,"&lt;="&amp;$A447),MAX(0,I447-I446)))</f>
        <v/>
      </c>
      <c r="K447" s="24" t="str">
        <f aca="false">IF($A447="","",MAX(0,I446+J447-I447))</f>
        <v/>
      </c>
      <c r="L447" s="24" t="str">
        <f aca="false">IF($A447="","",E447+H447+K447)</f>
        <v/>
      </c>
      <c r="M447" s="4" t="str">
        <f aca="false">IF($A447="","",IF(AND(D447+G447+J447&gt;0,SUMIFS(Recepciones!$C$5:$C$2000,Recepciones!$A$5:$A$2000,"&gt;"&amp;$A446,Recepciones!$A$5:$A$2000,"&lt;="&amp;$A447)=0),"Aumento de stock sin recepción registrada",IF(B447&gt;1,"Intervalo de "&amp;B447&amp;" días","")))</f>
        <v/>
      </c>
    </row>
    <row r="448" customFormat="false" ht="15" hidden="false" customHeight="false" outlineLevel="0" collapsed="false">
      <c r="A448" s="5" t="str">
        <f aca="false">IF(Stock_Diario!A448="","",Stock_Diario!A448)</f>
        <v/>
      </c>
      <c r="B448" s="4" t="str">
        <f aca="false">IF($A448="","",$A448-$A447)</f>
        <v/>
      </c>
      <c r="C448" s="24" t="str">
        <f aca="false">IF($A448="","",Stock_Diario!E448)</f>
        <v/>
      </c>
      <c r="D448" s="24" t="str">
        <f aca="false">IF($A448="","",IF(SUMIFS(Recepciones!$C$5:$C$2000,Recepciones!$B$5:$B$2000,Config!$A$23,Recepciones!$A$5:$A$2000,"&gt;"&amp;$A447,Recepciones!$A$5:$A$2000,"&lt;="&amp;$A448)&gt;0,SUMIFS(Recepciones!$C$5:$C$2000,Recepciones!$B$5:$B$2000,Config!$A$23,Recepciones!$A$5:$A$2000,"&gt;"&amp;$A447,Recepciones!$A$5:$A$2000,"&lt;="&amp;$A448),MAX(0,C448-C447)))</f>
        <v/>
      </c>
      <c r="E448" s="24" t="str">
        <f aca="false">IF($A448="","",MAX(0,C447+D448-C448))</f>
        <v/>
      </c>
      <c r="F448" s="24" t="str">
        <f aca="false">IF($A448="","",Stock_Diario!F448)</f>
        <v/>
      </c>
      <c r="G448" s="24" t="str">
        <f aca="false">IF($A448="","",IF(SUMIFS(Recepciones!$C$5:$C$2000,Recepciones!$B$5:$B$2000,Config!$A$24,Recepciones!$A$5:$A$2000,"&gt;"&amp;$A447,Recepciones!$A$5:$A$2000,"&lt;="&amp;$A448)&gt;0,SUMIFS(Recepciones!$C$5:$C$2000,Recepciones!$B$5:$B$2000,Config!$A$24,Recepciones!$A$5:$A$2000,"&gt;"&amp;$A447,Recepciones!$A$5:$A$2000,"&lt;="&amp;$A448),MAX(0,F448-F447)))</f>
        <v/>
      </c>
      <c r="H448" s="24" t="str">
        <f aca="false">IF($A448="","",MAX(0,F447+G448-F448))</f>
        <v/>
      </c>
      <c r="I448" s="24" t="str">
        <f aca="false">IF($A448="","",Stock_Diario!G448)</f>
        <v/>
      </c>
      <c r="J448" s="24" t="str">
        <f aca="false">IF($A448="","",IF(SUMIFS(Recepciones!$C$5:$C$2000,Recepciones!$B$5:$B$2000,Config!$A$25,Recepciones!$A$5:$A$2000,"&gt;"&amp;$A447,Recepciones!$A$5:$A$2000,"&lt;="&amp;$A448)&gt;0,SUMIFS(Recepciones!$C$5:$C$2000,Recepciones!$B$5:$B$2000,Config!$A$25,Recepciones!$A$5:$A$2000,"&gt;"&amp;$A447,Recepciones!$A$5:$A$2000,"&lt;="&amp;$A448),MAX(0,I448-I447)))</f>
        <v/>
      </c>
      <c r="K448" s="24" t="str">
        <f aca="false">IF($A448="","",MAX(0,I447+J448-I448))</f>
        <v/>
      </c>
      <c r="L448" s="24" t="str">
        <f aca="false">IF($A448="","",E448+H448+K448)</f>
        <v/>
      </c>
      <c r="M448" s="4" t="str">
        <f aca="false">IF($A448="","",IF(AND(D448+G448+J448&gt;0,SUMIFS(Recepciones!$C$5:$C$2000,Recepciones!$A$5:$A$2000,"&gt;"&amp;$A447,Recepciones!$A$5:$A$2000,"&lt;="&amp;$A448)=0),"Aumento de stock sin recepción registrada",IF(B448&gt;1,"Intervalo de "&amp;B448&amp;" días","")))</f>
        <v/>
      </c>
    </row>
    <row r="449" customFormat="false" ht="15" hidden="false" customHeight="false" outlineLevel="0" collapsed="false">
      <c r="A449" s="5" t="str">
        <f aca="false">IF(Stock_Diario!A449="","",Stock_Diario!A449)</f>
        <v/>
      </c>
      <c r="B449" s="4" t="str">
        <f aca="false">IF($A449="","",$A449-$A448)</f>
        <v/>
      </c>
      <c r="C449" s="24" t="str">
        <f aca="false">IF($A449="","",Stock_Diario!E449)</f>
        <v/>
      </c>
      <c r="D449" s="24" t="str">
        <f aca="false">IF($A449="","",IF(SUMIFS(Recepciones!$C$5:$C$2000,Recepciones!$B$5:$B$2000,Config!$A$23,Recepciones!$A$5:$A$2000,"&gt;"&amp;$A448,Recepciones!$A$5:$A$2000,"&lt;="&amp;$A449)&gt;0,SUMIFS(Recepciones!$C$5:$C$2000,Recepciones!$B$5:$B$2000,Config!$A$23,Recepciones!$A$5:$A$2000,"&gt;"&amp;$A448,Recepciones!$A$5:$A$2000,"&lt;="&amp;$A449),MAX(0,C449-C448)))</f>
        <v/>
      </c>
      <c r="E449" s="24" t="str">
        <f aca="false">IF($A449="","",MAX(0,C448+D449-C449))</f>
        <v/>
      </c>
      <c r="F449" s="24" t="str">
        <f aca="false">IF($A449="","",Stock_Diario!F449)</f>
        <v/>
      </c>
      <c r="G449" s="24" t="str">
        <f aca="false">IF($A449="","",IF(SUMIFS(Recepciones!$C$5:$C$2000,Recepciones!$B$5:$B$2000,Config!$A$24,Recepciones!$A$5:$A$2000,"&gt;"&amp;$A448,Recepciones!$A$5:$A$2000,"&lt;="&amp;$A449)&gt;0,SUMIFS(Recepciones!$C$5:$C$2000,Recepciones!$B$5:$B$2000,Config!$A$24,Recepciones!$A$5:$A$2000,"&gt;"&amp;$A448,Recepciones!$A$5:$A$2000,"&lt;="&amp;$A449),MAX(0,F449-F448)))</f>
        <v/>
      </c>
      <c r="H449" s="24" t="str">
        <f aca="false">IF($A449="","",MAX(0,F448+G449-F449))</f>
        <v/>
      </c>
      <c r="I449" s="24" t="str">
        <f aca="false">IF($A449="","",Stock_Diario!G449)</f>
        <v/>
      </c>
      <c r="J449" s="24" t="str">
        <f aca="false">IF($A449="","",IF(SUMIFS(Recepciones!$C$5:$C$2000,Recepciones!$B$5:$B$2000,Config!$A$25,Recepciones!$A$5:$A$2000,"&gt;"&amp;$A448,Recepciones!$A$5:$A$2000,"&lt;="&amp;$A449)&gt;0,SUMIFS(Recepciones!$C$5:$C$2000,Recepciones!$B$5:$B$2000,Config!$A$25,Recepciones!$A$5:$A$2000,"&gt;"&amp;$A448,Recepciones!$A$5:$A$2000,"&lt;="&amp;$A449),MAX(0,I449-I448)))</f>
        <v/>
      </c>
      <c r="K449" s="24" t="str">
        <f aca="false">IF($A449="","",MAX(0,I448+J449-I449))</f>
        <v/>
      </c>
      <c r="L449" s="24" t="str">
        <f aca="false">IF($A449="","",E449+H449+K449)</f>
        <v/>
      </c>
      <c r="M449" s="4" t="str">
        <f aca="false">IF($A449="","",IF(AND(D449+G449+J449&gt;0,SUMIFS(Recepciones!$C$5:$C$2000,Recepciones!$A$5:$A$2000,"&gt;"&amp;$A448,Recepciones!$A$5:$A$2000,"&lt;="&amp;$A449)=0),"Aumento de stock sin recepción registrada",IF(B449&gt;1,"Intervalo de "&amp;B449&amp;" días","")))</f>
        <v/>
      </c>
    </row>
    <row r="450" customFormat="false" ht="15" hidden="false" customHeight="false" outlineLevel="0" collapsed="false">
      <c r="A450" s="5" t="str">
        <f aca="false">IF(Stock_Diario!A450="","",Stock_Diario!A450)</f>
        <v/>
      </c>
      <c r="B450" s="4" t="str">
        <f aca="false">IF($A450="","",$A450-$A449)</f>
        <v/>
      </c>
      <c r="C450" s="24" t="str">
        <f aca="false">IF($A450="","",Stock_Diario!E450)</f>
        <v/>
      </c>
      <c r="D450" s="24" t="str">
        <f aca="false">IF($A450="","",IF(SUMIFS(Recepciones!$C$5:$C$2000,Recepciones!$B$5:$B$2000,Config!$A$23,Recepciones!$A$5:$A$2000,"&gt;"&amp;$A449,Recepciones!$A$5:$A$2000,"&lt;="&amp;$A450)&gt;0,SUMIFS(Recepciones!$C$5:$C$2000,Recepciones!$B$5:$B$2000,Config!$A$23,Recepciones!$A$5:$A$2000,"&gt;"&amp;$A449,Recepciones!$A$5:$A$2000,"&lt;="&amp;$A450),MAX(0,C450-C449)))</f>
        <v/>
      </c>
      <c r="E450" s="24" t="str">
        <f aca="false">IF($A450="","",MAX(0,C449+D450-C450))</f>
        <v/>
      </c>
      <c r="F450" s="24" t="str">
        <f aca="false">IF($A450="","",Stock_Diario!F450)</f>
        <v/>
      </c>
      <c r="G450" s="24" t="str">
        <f aca="false">IF($A450="","",IF(SUMIFS(Recepciones!$C$5:$C$2000,Recepciones!$B$5:$B$2000,Config!$A$24,Recepciones!$A$5:$A$2000,"&gt;"&amp;$A449,Recepciones!$A$5:$A$2000,"&lt;="&amp;$A450)&gt;0,SUMIFS(Recepciones!$C$5:$C$2000,Recepciones!$B$5:$B$2000,Config!$A$24,Recepciones!$A$5:$A$2000,"&gt;"&amp;$A449,Recepciones!$A$5:$A$2000,"&lt;="&amp;$A450),MAX(0,F450-F449)))</f>
        <v/>
      </c>
      <c r="H450" s="24" t="str">
        <f aca="false">IF($A450="","",MAX(0,F449+G450-F450))</f>
        <v/>
      </c>
      <c r="I450" s="24" t="str">
        <f aca="false">IF($A450="","",Stock_Diario!G450)</f>
        <v/>
      </c>
      <c r="J450" s="24" t="str">
        <f aca="false">IF($A450="","",IF(SUMIFS(Recepciones!$C$5:$C$2000,Recepciones!$B$5:$B$2000,Config!$A$25,Recepciones!$A$5:$A$2000,"&gt;"&amp;$A449,Recepciones!$A$5:$A$2000,"&lt;="&amp;$A450)&gt;0,SUMIFS(Recepciones!$C$5:$C$2000,Recepciones!$B$5:$B$2000,Config!$A$25,Recepciones!$A$5:$A$2000,"&gt;"&amp;$A449,Recepciones!$A$5:$A$2000,"&lt;="&amp;$A450),MAX(0,I450-I449)))</f>
        <v/>
      </c>
      <c r="K450" s="24" t="str">
        <f aca="false">IF($A450="","",MAX(0,I449+J450-I450))</f>
        <v/>
      </c>
      <c r="L450" s="24" t="str">
        <f aca="false">IF($A450="","",E450+H450+K450)</f>
        <v/>
      </c>
      <c r="M450" s="4" t="str">
        <f aca="false">IF($A450="","",IF(AND(D450+G450+J450&gt;0,SUMIFS(Recepciones!$C$5:$C$2000,Recepciones!$A$5:$A$2000,"&gt;"&amp;$A449,Recepciones!$A$5:$A$2000,"&lt;="&amp;$A450)=0),"Aumento de stock sin recepción registrada",IF(B450&gt;1,"Intervalo de "&amp;B450&amp;" días","")))</f>
        <v/>
      </c>
    </row>
    <row r="451" customFormat="false" ht="15" hidden="false" customHeight="false" outlineLevel="0" collapsed="false">
      <c r="A451" s="5" t="str">
        <f aca="false">IF(Stock_Diario!A451="","",Stock_Diario!A451)</f>
        <v/>
      </c>
      <c r="B451" s="4" t="str">
        <f aca="false">IF($A451="","",$A451-$A450)</f>
        <v/>
      </c>
      <c r="C451" s="24" t="str">
        <f aca="false">IF($A451="","",Stock_Diario!E451)</f>
        <v/>
      </c>
      <c r="D451" s="24" t="str">
        <f aca="false">IF($A451="","",IF(SUMIFS(Recepciones!$C$5:$C$2000,Recepciones!$B$5:$B$2000,Config!$A$23,Recepciones!$A$5:$A$2000,"&gt;"&amp;$A450,Recepciones!$A$5:$A$2000,"&lt;="&amp;$A451)&gt;0,SUMIFS(Recepciones!$C$5:$C$2000,Recepciones!$B$5:$B$2000,Config!$A$23,Recepciones!$A$5:$A$2000,"&gt;"&amp;$A450,Recepciones!$A$5:$A$2000,"&lt;="&amp;$A451),MAX(0,C451-C450)))</f>
        <v/>
      </c>
      <c r="E451" s="24" t="str">
        <f aca="false">IF($A451="","",MAX(0,C450+D451-C451))</f>
        <v/>
      </c>
      <c r="F451" s="24" t="str">
        <f aca="false">IF($A451="","",Stock_Diario!F451)</f>
        <v/>
      </c>
      <c r="G451" s="24" t="str">
        <f aca="false">IF($A451="","",IF(SUMIFS(Recepciones!$C$5:$C$2000,Recepciones!$B$5:$B$2000,Config!$A$24,Recepciones!$A$5:$A$2000,"&gt;"&amp;$A450,Recepciones!$A$5:$A$2000,"&lt;="&amp;$A451)&gt;0,SUMIFS(Recepciones!$C$5:$C$2000,Recepciones!$B$5:$B$2000,Config!$A$24,Recepciones!$A$5:$A$2000,"&gt;"&amp;$A450,Recepciones!$A$5:$A$2000,"&lt;="&amp;$A451),MAX(0,F451-F450)))</f>
        <v/>
      </c>
      <c r="H451" s="24" t="str">
        <f aca="false">IF($A451="","",MAX(0,F450+G451-F451))</f>
        <v/>
      </c>
      <c r="I451" s="24" t="str">
        <f aca="false">IF($A451="","",Stock_Diario!G451)</f>
        <v/>
      </c>
      <c r="J451" s="24" t="str">
        <f aca="false">IF($A451="","",IF(SUMIFS(Recepciones!$C$5:$C$2000,Recepciones!$B$5:$B$2000,Config!$A$25,Recepciones!$A$5:$A$2000,"&gt;"&amp;$A450,Recepciones!$A$5:$A$2000,"&lt;="&amp;$A451)&gt;0,SUMIFS(Recepciones!$C$5:$C$2000,Recepciones!$B$5:$B$2000,Config!$A$25,Recepciones!$A$5:$A$2000,"&gt;"&amp;$A450,Recepciones!$A$5:$A$2000,"&lt;="&amp;$A451),MAX(0,I451-I450)))</f>
        <v/>
      </c>
      <c r="K451" s="24" t="str">
        <f aca="false">IF($A451="","",MAX(0,I450+J451-I451))</f>
        <v/>
      </c>
      <c r="L451" s="24" t="str">
        <f aca="false">IF($A451="","",E451+H451+K451)</f>
        <v/>
      </c>
      <c r="M451" s="4" t="str">
        <f aca="false">IF($A451="","",IF(AND(D451+G451+J451&gt;0,SUMIFS(Recepciones!$C$5:$C$2000,Recepciones!$A$5:$A$2000,"&gt;"&amp;$A450,Recepciones!$A$5:$A$2000,"&lt;="&amp;$A451)=0),"Aumento de stock sin recepción registrada",IF(B451&gt;1,"Intervalo de "&amp;B451&amp;" días","")))</f>
        <v/>
      </c>
    </row>
    <row r="452" customFormat="false" ht="15" hidden="false" customHeight="false" outlineLevel="0" collapsed="false">
      <c r="A452" s="5" t="str">
        <f aca="false">IF(Stock_Diario!A452="","",Stock_Diario!A452)</f>
        <v/>
      </c>
      <c r="B452" s="4" t="str">
        <f aca="false">IF($A452="","",$A452-$A451)</f>
        <v/>
      </c>
      <c r="C452" s="24" t="str">
        <f aca="false">IF($A452="","",Stock_Diario!E452)</f>
        <v/>
      </c>
      <c r="D452" s="24" t="str">
        <f aca="false">IF($A452="","",IF(SUMIFS(Recepciones!$C$5:$C$2000,Recepciones!$B$5:$B$2000,Config!$A$23,Recepciones!$A$5:$A$2000,"&gt;"&amp;$A451,Recepciones!$A$5:$A$2000,"&lt;="&amp;$A452)&gt;0,SUMIFS(Recepciones!$C$5:$C$2000,Recepciones!$B$5:$B$2000,Config!$A$23,Recepciones!$A$5:$A$2000,"&gt;"&amp;$A451,Recepciones!$A$5:$A$2000,"&lt;="&amp;$A452),MAX(0,C452-C451)))</f>
        <v/>
      </c>
      <c r="E452" s="24" t="str">
        <f aca="false">IF($A452="","",MAX(0,C451+D452-C452))</f>
        <v/>
      </c>
      <c r="F452" s="24" t="str">
        <f aca="false">IF($A452="","",Stock_Diario!F452)</f>
        <v/>
      </c>
      <c r="G452" s="24" t="str">
        <f aca="false">IF($A452="","",IF(SUMIFS(Recepciones!$C$5:$C$2000,Recepciones!$B$5:$B$2000,Config!$A$24,Recepciones!$A$5:$A$2000,"&gt;"&amp;$A451,Recepciones!$A$5:$A$2000,"&lt;="&amp;$A452)&gt;0,SUMIFS(Recepciones!$C$5:$C$2000,Recepciones!$B$5:$B$2000,Config!$A$24,Recepciones!$A$5:$A$2000,"&gt;"&amp;$A451,Recepciones!$A$5:$A$2000,"&lt;="&amp;$A452),MAX(0,F452-F451)))</f>
        <v/>
      </c>
      <c r="H452" s="24" t="str">
        <f aca="false">IF($A452="","",MAX(0,F451+G452-F452))</f>
        <v/>
      </c>
      <c r="I452" s="24" t="str">
        <f aca="false">IF($A452="","",Stock_Diario!G452)</f>
        <v/>
      </c>
      <c r="J452" s="24" t="str">
        <f aca="false">IF($A452="","",IF(SUMIFS(Recepciones!$C$5:$C$2000,Recepciones!$B$5:$B$2000,Config!$A$25,Recepciones!$A$5:$A$2000,"&gt;"&amp;$A451,Recepciones!$A$5:$A$2000,"&lt;="&amp;$A452)&gt;0,SUMIFS(Recepciones!$C$5:$C$2000,Recepciones!$B$5:$B$2000,Config!$A$25,Recepciones!$A$5:$A$2000,"&gt;"&amp;$A451,Recepciones!$A$5:$A$2000,"&lt;="&amp;$A452),MAX(0,I452-I451)))</f>
        <v/>
      </c>
      <c r="K452" s="24" t="str">
        <f aca="false">IF($A452="","",MAX(0,I451+J452-I452))</f>
        <v/>
      </c>
      <c r="L452" s="24" t="str">
        <f aca="false">IF($A452="","",E452+H452+K452)</f>
        <v/>
      </c>
      <c r="M452" s="4" t="str">
        <f aca="false">IF($A452="","",IF(AND(D452+G452+J452&gt;0,SUMIFS(Recepciones!$C$5:$C$2000,Recepciones!$A$5:$A$2000,"&gt;"&amp;$A451,Recepciones!$A$5:$A$2000,"&lt;="&amp;$A452)=0),"Aumento de stock sin recepción registrada",IF(B452&gt;1,"Intervalo de "&amp;B452&amp;" días","")))</f>
        <v/>
      </c>
    </row>
    <row r="453" customFormat="false" ht="15" hidden="false" customHeight="false" outlineLevel="0" collapsed="false">
      <c r="A453" s="5" t="str">
        <f aca="false">IF(Stock_Diario!A453="","",Stock_Diario!A453)</f>
        <v/>
      </c>
      <c r="B453" s="4" t="str">
        <f aca="false">IF($A453="","",$A453-$A452)</f>
        <v/>
      </c>
      <c r="C453" s="24" t="str">
        <f aca="false">IF($A453="","",Stock_Diario!E453)</f>
        <v/>
      </c>
      <c r="D453" s="24" t="str">
        <f aca="false">IF($A453="","",IF(SUMIFS(Recepciones!$C$5:$C$2000,Recepciones!$B$5:$B$2000,Config!$A$23,Recepciones!$A$5:$A$2000,"&gt;"&amp;$A452,Recepciones!$A$5:$A$2000,"&lt;="&amp;$A453)&gt;0,SUMIFS(Recepciones!$C$5:$C$2000,Recepciones!$B$5:$B$2000,Config!$A$23,Recepciones!$A$5:$A$2000,"&gt;"&amp;$A452,Recepciones!$A$5:$A$2000,"&lt;="&amp;$A453),MAX(0,C453-C452)))</f>
        <v/>
      </c>
      <c r="E453" s="24" t="str">
        <f aca="false">IF($A453="","",MAX(0,C452+D453-C453))</f>
        <v/>
      </c>
      <c r="F453" s="24" t="str">
        <f aca="false">IF($A453="","",Stock_Diario!F453)</f>
        <v/>
      </c>
      <c r="G453" s="24" t="str">
        <f aca="false">IF($A453="","",IF(SUMIFS(Recepciones!$C$5:$C$2000,Recepciones!$B$5:$B$2000,Config!$A$24,Recepciones!$A$5:$A$2000,"&gt;"&amp;$A452,Recepciones!$A$5:$A$2000,"&lt;="&amp;$A453)&gt;0,SUMIFS(Recepciones!$C$5:$C$2000,Recepciones!$B$5:$B$2000,Config!$A$24,Recepciones!$A$5:$A$2000,"&gt;"&amp;$A452,Recepciones!$A$5:$A$2000,"&lt;="&amp;$A453),MAX(0,F453-F452)))</f>
        <v/>
      </c>
      <c r="H453" s="24" t="str">
        <f aca="false">IF($A453="","",MAX(0,F452+G453-F453))</f>
        <v/>
      </c>
      <c r="I453" s="24" t="str">
        <f aca="false">IF($A453="","",Stock_Diario!G453)</f>
        <v/>
      </c>
      <c r="J453" s="24" t="str">
        <f aca="false">IF($A453="","",IF(SUMIFS(Recepciones!$C$5:$C$2000,Recepciones!$B$5:$B$2000,Config!$A$25,Recepciones!$A$5:$A$2000,"&gt;"&amp;$A452,Recepciones!$A$5:$A$2000,"&lt;="&amp;$A453)&gt;0,SUMIFS(Recepciones!$C$5:$C$2000,Recepciones!$B$5:$B$2000,Config!$A$25,Recepciones!$A$5:$A$2000,"&gt;"&amp;$A452,Recepciones!$A$5:$A$2000,"&lt;="&amp;$A453),MAX(0,I453-I452)))</f>
        <v/>
      </c>
      <c r="K453" s="24" t="str">
        <f aca="false">IF($A453="","",MAX(0,I452+J453-I453))</f>
        <v/>
      </c>
      <c r="L453" s="24" t="str">
        <f aca="false">IF($A453="","",E453+H453+K453)</f>
        <v/>
      </c>
      <c r="M453" s="4" t="str">
        <f aca="false">IF($A453="","",IF(AND(D453+G453+J453&gt;0,SUMIFS(Recepciones!$C$5:$C$2000,Recepciones!$A$5:$A$2000,"&gt;"&amp;$A452,Recepciones!$A$5:$A$2000,"&lt;="&amp;$A453)=0),"Aumento de stock sin recepción registrada",IF(B453&gt;1,"Intervalo de "&amp;B453&amp;" días","")))</f>
        <v/>
      </c>
    </row>
    <row r="454" customFormat="false" ht="15" hidden="false" customHeight="false" outlineLevel="0" collapsed="false">
      <c r="A454" s="5" t="str">
        <f aca="false">IF(Stock_Diario!A454="","",Stock_Diario!A454)</f>
        <v/>
      </c>
      <c r="B454" s="4" t="str">
        <f aca="false">IF($A454="","",$A454-$A453)</f>
        <v/>
      </c>
      <c r="C454" s="24" t="str">
        <f aca="false">IF($A454="","",Stock_Diario!E454)</f>
        <v/>
      </c>
      <c r="D454" s="24" t="str">
        <f aca="false">IF($A454="","",IF(SUMIFS(Recepciones!$C$5:$C$2000,Recepciones!$B$5:$B$2000,Config!$A$23,Recepciones!$A$5:$A$2000,"&gt;"&amp;$A453,Recepciones!$A$5:$A$2000,"&lt;="&amp;$A454)&gt;0,SUMIFS(Recepciones!$C$5:$C$2000,Recepciones!$B$5:$B$2000,Config!$A$23,Recepciones!$A$5:$A$2000,"&gt;"&amp;$A453,Recepciones!$A$5:$A$2000,"&lt;="&amp;$A454),MAX(0,C454-C453)))</f>
        <v/>
      </c>
      <c r="E454" s="24" t="str">
        <f aca="false">IF($A454="","",MAX(0,C453+D454-C454))</f>
        <v/>
      </c>
      <c r="F454" s="24" t="str">
        <f aca="false">IF($A454="","",Stock_Diario!F454)</f>
        <v/>
      </c>
      <c r="G454" s="24" t="str">
        <f aca="false">IF($A454="","",IF(SUMIFS(Recepciones!$C$5:$C$2000,Recepciones!$B$5:$B$2000,Config!$A$24,Recepciones!$A$5:$A$2000,"&gt;"&amp;$A453,Recepciones!$A$5:$A$2000,"&lt;="&amp;$A454)&gt;0,SUMIFS(Recepciones!$C$5:$C$2000,Recepciones!$B$5:$B$2000,Config!$A$24,Recepciones!$A$5:$A$2000,"&gt;"&amp;$A453,Recepciones!$A$5:$A$2000,"&lt;="&amp;$A454),MAX(0,F454-F453)))</f>
        <v/>
      </c>
      <c r="H454" s="24" t="str">
        <f aca="false">IF($A454="","",MAX(0,F453+G454-F454))</f>
        <v/>
      </c>
      <c r="I454" s="24" t="str">
        <f aca="false">IF($A454="","",Stock_Diario!G454)</f>
        <v/>
      </c>
      <c r="J454" s="24" t="str">
        <f aca="false">IF($A454="","",IF(SUMIFS(Recepciones!$C$5:$C$2000,Recepciones!$B$5:$B$2000,Config!$A$25,Recepciones!$A$5:$A$2000,"&gt;"&amp;$A453,Recepciones!$A$5:$A$2000,"&lt;="&amp;$A454)&gt;0,SUMIFS(Recepciones!$C$5:$C$2000,Recepciones!$B$5:$B$2000,Config!$A$25,Recepciones!$A$5:$A$2000,"&gt;"&amp;$A453,Recepciones!$A$5:$A$2000,"&lt;="&amp;$A454),MAX(0,I454-I453)))</f>
        <v/>
      </c>
      <c r="K454" s="24" t="str">
        <f aca="false">IF($A454="","",MAX(0,I453+J454-I454))</f>
        <v/>
      </c>
      <c r="L454" s="24" t="str">
        <f aca="false">IF($A454="","",E454+H454+K454)</f>
        <v/>
      </c>
      <c r="M454" s="4" t="str">
        <f aca="false">IF($A454="","",IF(AND(D454+G454+J454&gt;0,SUMIFS(Recepciones!$C$5:$C$2000,Recepciones!$A$5:$A$2000,"&gt;"&amp;$A453,Recepciones!$A$5:$A$2000,"&lt;="&amp;$A454)=0),"Aumento de stock sin recepción registrada",IF(B454&gt;1,"Intervalo de "&amp;B454&amp;" días","")))</f>
        <v/>
      </c>
    </row>
    <row r="455" customFormat="false" ht="15" hidden="false" customHeight="false" outlineLevel="0" collapsed="false">
      <c r="A455" s="5" t="str">
        <f aca="false">IF(Stock_Diario!A455="","",Stock_Diario!A455)</f>
        <v/>
      </c>
      <c r="B455" s="4" t="str">
        <f aca="false">IF($A455="","",$A455-$A454)</f>
        <v/>
      </c>
      <c r="C455" s="24" t="str">
        <f aca="false">IF($A455="","",Stock_Diario!E455)</f>
        <v/>
      </c>
      <c r="D455" s="24" t="str">
        <f aca="false">IF($A455="","",IF(SUMIFS(Recepciones!$C$5:$C$2000,Recepciones!$B$5:$B$2000,Config!$A$23,Recepciones!$A$5:$A$2000,"&gt;"&amp;$A454,Recepciones!$A$5:$A$2000,"&lt;="&amp;$A455)&gt;0,SUMIFS(Recepciones!$C$5:$C$2000,Recepciones!$B$5:$B$2000,Config!$A$23,Recepciones!$A$5:$A$2000,"&gt;"&amp;$A454,Recepciones!$A$5:$A$2000,"&lt;="&amp;$A455),MAX(0,C455-C454)))</f>
        <v/>
      </c>
      <c r="E455" s="24" t="str">
        <f aca="false">IF($A455="","",MAX(0,C454+D455-C455))</f>
        <v/>
      </c>
      <c r="F455" s="24" t="str">
        <f aca="false">IF($A455="","",Stock_Diario!F455)</f>
        <v/>
      </c>
      <c r="G455" s="24" t="str">
        <f aca="false">IF($A455="","",IF(SUMIFS(Recepciones!$C$5:$C$2000,Recepciones!$B$5:$B$2000,Config!$A$24,Recepciones!$A$5:$A$2000,"&gt;"&amp;$A454,Recepciones!$A$5:$A$2000,"&lt;="&amp;$A455)&gt;0,SUMIFS(Recepciones!$C$5:$C$2000,Recepciones!$B$5:$B$2000,Config!$A$24,Recepciones!$A$5:$A$2000,"&gt;"&amp;$A454,Recepciones!$A$5:$A$2000,"&lt;="&amp;$A455),MAX(0,F455-F454)))</f>
        <v/>
      </c>
      <c r="H455" s="24" t="str">
        <f aca="false">IF($A455="","",MAX(0,F454+G455-F455))</f>
        <v/>
      </c>
      <c r="I455" s="24" t="str">
        <f aca="false">IF($A455="","",Stock_Diario!G455)</f>
        <v/>
      </c>
      <c r="J455" s="24" t="str">
        <f aca="false">IF($A455="","",IF(SUMIFS(Recepciones!$C$5:$C$2000,Recepciones!$B$5:$B$2000,Config!$A$25,Recepciones!$A$5:$A$2000,"&gt;"&amp;$A454,Recepciones!$A$5:$A$2000,"&lt;="&amp;$A455)&gt;0,SUMIFS(Recepciones!$C$5:$C$2000,Recepciones!$B$5:$B$2000,Config!$A$25,Recepciones!$A$5:$A$2000,"&gt;"&amp;$A454,Recepciones!$A$5:$A$2000,"&lt;="&amp;$A455),MAX(0,I455-I454)))</f>
        <v/>
      </c>
      <c r="K455" s="24" t="str">
        <f aca="false">IF($A455="","",MAX(0,I454+J455-I455))</f>
        <v/>
      </c>
      <c r="L455" s="24" t="str">
        <f aca="false">IF($A455="","",E455+H455+K455)</f>
        <v/>
      </c>
      <c r="M455" s="4" t="str">
        <f aca="false">IF($A455="","",IF(AND(D455+G455+J455&gt;0,SUMIFS(Recepciones!$C$5:$C$2000,Recepciones!$A$5:$A$2000,"&gt;"&amp;$A454,Recepciones!$A$5:$A$2000,"&lt;="&amp;$A455)=0),"Aumento de stock sin recepción registrada",IF(B455&gt;1,"Intervalo de "&amp;B455&amp;" días","")))</f>
        <v/>
      </c>
    </row>
    <row r="456" customFormat="false" ht="15" hidden="false" customHeight="false" outlineLevel="0" collapsed="false">
      <c r="A456" s="5" t="str">
        <f aca="false">IF(Stock_Diario!A456="","",Stock_Diario!A456)</f>
        <v/>
      </c>
      <c r="B456" s="4" t="str">
        <f aca="false">IF($A456="","",$A456-$A455)</f>
        <v/>
      </c>
      <c r="C456" s="24" t="str">
        <f aca="false">IF($A456="","",Stock_Diario!E456)</f>
        <v/>
      </c>
      <c r="D456" s="24" t="str">
        <f aca="false">IF($A456="","",IF(SUMIFS(Recepciones!$C$5:$C$2000,Recepciones!$B$5:$B$2000,Config!$A$23,Recepciones!$A$5:$A$2000,"&gt;"&amp;$A455,Recepciones!$A$5:$A$2000,"&lt;="&amp;$A456)&gt;0,SUMIFS(Recepciones!$C$5:$C$2000,Recepciones!$B$5:$B$2000,Config!$A$23,Recepciones!$A$5:$A$2000,"&gt;"&amp;$A455,Recepciones!$A$5:$A$2000,"&lt;="&amp;$A456),MAX(0,C456-C455)))</f>
        <v/>
      </c>
      <c r="E456" s="24" t="str">
        <f aca="false">IF($A456="","",MAX(0,C455+D456-C456))</f>
        <v/>
      </c>
      <c r="F456" s="24" t="str">
        <f aca="false">IF($A456="","",Stock_Diario!F456)</f>
        <v/>
      </c>
      <c r="G456" s="24" t="str">
        <f aca="false">IF($A456="","",IF(SUMIFS(Recepciones!$C$5:$C$2000,Recepciones!$B$5:$B$2000,Config!$A$24,Recepciones!$A$5:$A$2000,"&gt;"&amp;$A455,Recepciones!$A$5:$A$2000,"&lt;="&amp;$A456)&gt;0,SUMIFS(Recepciones!$C$5:$C$2000,Recepciones!$B$5:$B$2000,Config!$A$24,Recepciones!$A$5:$A$2000,"&gt;"&amp;$A455,Recepciones!$A$5:$A$2000,"&lt;="&amp;$A456),MAX(0,F456-F455)))</f>
        <v/>
      </c>
      <c r="H456" s="24" t="str">
        <f aca="false">IF($A456="","",MAX(0,F455+G456-F456))</f>
        <v/>
      </c>
      <c r="I456" s="24" t="str">
        <f aca="false">IF($A456="","",Stock_Diario!G456)</f>
        <v/>
      </c>
      <c r="J456" s="24" t="str">
        <f aca="false">IF($A456="","",IF(SUMIFS(Recepciones!$C$5:$C$2000,Recepciones!$B$5:$B$2000,Config!$A$25,Recepciones!$A$5:$A$2000,"&gt;"&amp;$A455,Recepciones!$A$5:$A$2000,"&lt;="&amp;$A456)&gt;0,SUMIFS(Recepciones!$C$5:$C$2000,Recepciones!$B$5:$B$2000,Config!$A$25,Recepciones!$A$5:$A$2000,"&gt;"&amp;$A455,Recepciones!$A$5:$A$2000,"&lt;="&amp;$A456),MAX(0,I456-I455)))</f>
        <v/>
      </c>
      <c r="K456" s="24" t="str">
        <f aca="false">IF($A456="","",MAX(0,I455+J456-I456))</f>
        <v/>
      </c>
      <c r="L456" s="24" t="str">
        <f aca="false">IF($A456="","",E456+H456+K456)</f>
        <v/>
      </c>
      <c r="M456" s="4" t="str">
        <f aca="false">IF($A456="","",IF(AND(D456+G456+J456&gt;0,SUMIFS(Recepciones!$C$5:$C$2000,Recepciones!$A$5:$A$2000,"&gt;"&amp;$A455,Recepciones!$A$5:$A$2000,"&lt;="&amp;$A456)=0),"Aumento de stock sin recepción registrada",IF(B456&gt;1,"Intervalo de "&amp;B456&amp;" días","")))</f>
        <v/>
      </c>
    </row>
    <row r="457" customFormat="false" ht="15" hidden="false" customHeight="false" outlineLevel="0" collapsed="false">
      <c r="A457" s="5" t="str">
        <f aca="false">IF(Stock_Diario!A457="","",Stock_Diario!A457)</f>
        <v/>
      </c>
      <c r="B457" s="4" t="str">
        <f aca="false">IF($A457="","",$A457-$A456)</f>
        <v/>
      </c>
      <c r="C457" s="24" t="str">
        <f aca="false">IF($A457="","",Stock_Diario!E457)</f>
        <v/>
      </c>
      <c r="D457" s="24" t="str">
        <f aca="false">IF($A457="","",IF(SUMIFS(Recepciones!$C$5:$C$2000,Recepciones!$B$5:$B$2000,Config!$A$23,Recepciones!$A$5:$A$2000,"&gt;"&amp;$A456,Recepciones!$A$5:$A$2000,"&lt;="&amp;$A457)&gt;0,SUMIFS(Recepciones!$C$5:$C$2000,Recepciones!$B$5:$B$2000,Config!$A$23,Recepciones!$A$5:$A$2000,"&gt;"&amp;$A456,Recepciones!$A$5:$A$2000,"&lt;="&amp;$A457),MAX(0,C457-C456)))</f>
        <v/>
      </c>
      <c r="E457" s="24" t="str">
        <f aca="false">IF($A457="","",MAX(0,C456+D457-C457))</f>
        <v/>
      </c>
      <c r="F457" s="24" t="str">
        <f aca="false">IF($A457="","",Stock_Diario!F457)</f>
        <v/>
      </c>
      <c r="G457" s="24" t="str">
        <f aca="false">IF($A457="","",IF(SUMIFS(Recepciones!$C$5:$C$2000,Recepciones!$B$5:$B$2000,Config!$A$24,Recepciones!$A$5:$A$2000,"&gt;"&amp;$A456,Recepciones!$A$5:$A$2000,"&lt;="&amp;$A457)&gt;0,SUMIFS(Recepciones!$C$5:$C$2000,Recepciones!$B$5:$B$2000,Config!$A$24,Recepciones!$A$5:$A$2000,"&gt;"&amp;$A456,Recepciones!$A$5:$A$2000,"&lt;="&amp;$A457),MAX(0,F457-F456)))</f>
        <v/>
      </c>
      <c r="H457" s="24" t="str">
        <f aca="false">IF($A457="","",MAX(0,F456+G457-F457))</f>
        <v/>
      </c>
      <c r="I457" s="24" t="str">
        <f aca="false">IF($A457="","",Stock_Diario!G457)</f>
        <v/>
      </c>
      <c r="J457" s="24" t="str">
        <f aca="false">IF($A457="","",IF(SUMIFS(Recepciones!$C$5:$C$2000,Recepciones!$B$5:$B$2000,Config!$A$25,Recepciones!$A$5:$A$2000,"&gt;"&amp;$A456,Recepciones!$A$5:$A$2000,"&lt;="&amp;$A457)&gt;0,SUMIFS(Recepciones!$C$5:$C$2000,Recepciones!$B$5:$B$2000,Config!$A$25,Recepciones!$A$5:$A$2000,"&gt;"&amp;$A456,Recepciones!$A$5:$A$2000,"&lt;="&amp;$A457),MAX(0,I457-I456)))</f>
        <v/>
      </c>
      <c r="K457" s="24" t="str">
        <f aca="false">IF($A457="","",MAX(0,I456+J457-I457))</f>
        <v/>
      </c>
      <c r="L457" s="24" t="str">
        <f aca="false">IF($A457="","",E457+H457+K457)</f>
        <v/>
      </c>
      <c r="M457" s="4" t="str">
        <f aca="false">IF($A457="","",IF(AND(D457+G457+J457&gt;0,SUMIFS(Recepciones!$C$5:$C$2000,Recepciones!$A$5:$A$2000,"&gt;"&amp;$A456,Recepciones!$A$5:$A$2000,"&lt;="&amp;$A457)=0),"Aumento de stock sin recepción registrada",IF(B457&gt;1,"Intervalo de "&amp;B457&amp;" días","")))</f>
        <v/>
      </c>
    </row>
    <row r="458" customFormat="false" ht="15" hidden="false" customHeight="false" outlineLevel="0" collapsed="false">
      <c r="A458" s="5" t="str">
        <f aca="false">IF(Stock_Diario!A458="","",Stock_Diario!A458)</f>
        <v/>
      </c>
      <c r="B458" s="4" t="str">
        <f aca="false">IF($A458="","",$A458-$A457)</f>
        <v/>
      </c>
      <c r="C458" s="24" t="str">
        <f aca="false">IF($A458="","",Stock_Diario!E458)</f>
        <v/>
      </c>
      <c r="D458" s="24" t="str">
        <f aca="false">IF($A458="","",IF(SUMIFS(Recepciones!$C$5:$C$2000,Recepciones!$B$5:$B$2000,Config!$A$23,Recepciones!$A$5:$A$2000,"&gt;"&amp;$A457,Recepciones!$A$5:$A$2000,"&lt;="&amp;$A458)&gt;0,SUMIFS(Recepciones!$C$5:$C$2000,Recepciones!$B$5:$B$2000,Config!$A$23,Recepciones!$A$5:$A$2000,"&gt;"&amp;$A457,Recepciones!$A$5:$A$2000,"&lt;="&amp;$A458),MAX(0,C458-C457)))</f>
        <v/>
      </c>
      <c r="E458" s="24" t="str">
        <f aca="false">IF($A458="","",MAX(0,C457+D458-C458))</f>
        <v/>
      </c>
      <c r="F458" s="24" t="str">
        <f aca="false">IF($A458="","",Stock_Diario!F458)</f>
        <v/>
      </c>
      <c r="G458" s="24" t="str">
        <f aca="false">IF($A458="","",IF(SUMIFS(Recepciones!$C$5:$C$2000,Recepciones!$B$5:$B$2000,Config!$A$24,Recepciones!$A$5:$A$2000,"&gt;"&amp;$A457,Recepciones!$A$5:$A$2000,"&lt;="&amp;$A458)&gt;0,SUMIFS(Recepciones!$C$5:$C$2000,Recepciones!$B$5:$B$2000,Config!$A$24,Recepciones!$A$5:$A$2000,"&gt;"&amp;$A457,Recepciones!$A$5:$A$2000,"&lt;="&amp;$A458),MAX(0,F458-F457)))</f>
        <v/>
      </c>
      <c r="H458" s="24" t="str">
        <f aca="false">IF($A458="","",MAX(0,F457+G458-F458))</f>
        <v/>
      </c>
      <c r="I458" s="24" t="str">
        <f aca="false">IF($A458="","",Stock_Diario!G458)</f>
        <v/>
      </c>
      <c r="J458" s="24" t="str">
        <f aca="false">IF($A458="","",IF(SUMIFS(Recepciones!$C$5:$C$2000,Recepciones!$B$5:$B$2000,Config!$A$25,Recepciones!$A$5:$A$2000,"&gt;"&amp;$A457,Recepciones!$A$5:$A$2000,"&lt;="&amp;$A458)&gt;0,SUMIFS(Recepciones!$C$5:$C$2000,Recepciones!$B$5:$B$2000,Config!$A$25,Recepciones!$A$5:$A$2000,"&gt;"&amp;$A457,Recepciones!$A$5:$A$2000,"&lt;="&amp;$A458),MAX(0,I458-I457)))</f>
        <v/>
      </c>
      <c r="K458" s="24" t="str">
        <f aca="false">IF($A458="","",MAX(0,I457+J458-I458))</f>
        <v/>
      </c>
      <c r="L458" s="24" t="str">
        <f aca="false">IF($A458="","",E458+H458+K458)</f>
        <v/>
      </c>
      <c r="M458" s="4" t="str">
        <f aca="false">IF($A458="","",IF(AND(D458+G458+J458&gt;0,SUMIFS(Recepciones!$C$5:$C$2000,Recepciones!$A$5:$A$2000,"&gt;"&amp;$A457,Recepciones!$A$5:$A$2000,"&lt;="&amp;$A458)=0),"Aumento de stock sin recepción registrada",IF(B458&gt;1,"Intervalo de "&amp;B458&amp;" días","")))</f>
        <v/>
      </c>
    </row>
    <row r="459" customFormat="false" ht="15" hidden="false" customHeight="false" outlineLevel="0" collapsed="false">
      <c r="A459" s="5" t="str">
        <f aca="false">IF(Stock_Diario!A459="","",Stock_Diario!A459)</f>
        <v/>
      </c>
      <c r="B459" s="4" t="str">
        <f aca="false">IF($A459="","",$A459-$A458)</f>
        <v/>
      </c>
      <c r="C459" s="24" t="str">
        <f aca="false">IF($A459="","",Stock_Diario!E459)</f>
        <v/>
      </c>
      <c r="D459" s="24" t="str">
        <f aca="false">IF($A459="","",IF(SUMIFS(Recepciones!$C$5:$C$2000,Recepciones!$B$5:$B$2000,Config!$A$23,Recepciones!$A$5:$A$2000,"&gt;"&amp;$A458,Recepciones!$A$5:$A$2000,"&lt;="&amp;$A459)&gt;0,SUMIFS(Recepciones!$C$5:$C$2000,Recepciones!$B$5:$B$2000,Config!$A$23,Recepciones!$A$5:$A$2000,"&gt;"&amp;$A458,Recepciones!$A$5:$A$2000,"&lt;="&amp;$A459),MAX(0,C459-C458)))</f>
        <v/>
      </c>
      <c r="E459" s="24" t="str">
        <f aca="false">IF($A459="","",MAX(0,C458+D459-C459))</f>
        <v/>
      </c>
      <c r="F459" s="24" t="str">
        <f aca="false">IF($A459="","",Stock_Diario!F459)</f>
        <v/>
      </c>
      <c r="G459" s="24" t="str">
        <f aca="false">IF($A459="","",IF(SUMIFS(Recepciones!$C$5:$C$2000,Recepciones!$B$5:$B$2000,Config!$A$24,Recepciones!$A$5:$A$2000,"&gt;"&amp;$A458,Recepciones!$A$5:$A$2000,"&lt;="&amp;$A459)&gt;0,SUMIFS(Recepciones!$C$5:$C$2000,Recepciones!$B$5:$B$2000,Config!$A$24,Recepciones!$A$5:$A$2000,"&gt;"&amp;$A458,Recepciones!$A$5:$A$2000,"&lt;="&amp;$A459),MAX(0,F459-F458)))</f>
        <v/>
      </c>
      <c r="H459" s="24" t="str">
        <f aca="false">IF($A459="","",MAX(0,F458+G459-F459))</f>
        <v/>
      </c>
      <c r="I459" s="24" t="str">
        <f aca="false">IF($A459="","",Stock_Diario!G459)</f>
        <v/>
      </c>
      <c r="J459" s="24" t="str">
        <f aca="false">IF($A459="","",IF(SUMIFS(Recepciones!$C$5:$C$2000,Recepciones!$B$5:$B$2000,Config!$A$25,Recepciones!$A$5:$A$2000,"&gt;"&amp;$A458,Recepciones!$A$5:$A$2000,"&lt;="&amp;$A459)&gt;0,SUMIFS(Recepciones!$C$5:$C$2000,Recepciones!$B$5:$B$2000,Config!$A$25,Recepciones!$A$5:$A$2000,"&gt;"&amp;$A458,Recepciones!$A$5:$A$2000,"&lt;="&amp;$A459),MAX(0,I459-I458)))</f>
        <v/>
      </c>
      <c r="K459" s="24" t="str">
        <f aca="false">IF($A459="","",MAX(0,I458+J459-I459))</f>
        <v/>
      </c>
      <c r="L459" s="24" t="str">
        <f aca="false">IF($A459="","",E459+H459+K459)</f>
        <v/>
      </c>
      <c r="M459" s="4" t="str">
        <f aca="false">IF($A459="","",IF(AND(D459+G459+J459&gt;0,SUMIFS(Recepciones!$C$5:$C$2000,Recepciones!$A$5:$A$2000,"&gt;"&amp;$A458,Recepciones!$A$5:$A$2000,"&lt;="&amp;$A459)=0),"Aumento de stock sin recepción registrada",IF(B459&gt;1,"Intervalo de "&amp;B459&amp;" días","")))</f>
        <v/>
      </c>
    </row>
    <row r="460" customFormat="false" ht="15" hidden="false" customHeight="false" outlineLevel="0" collapsed="false">
      <c r="A460" s="5" t="str">
        <f aca="false">IF(Stock_Diario!A460="","",Stock_Diario!A460)</f>
        <v/>
      </c>
      <c r="B460" s="4" t="str">
        <f aca="false">IF($A460="","",$A460-$A459)</f>
        <v/>
      </c>
      <c r="C460" s="24" t="str">
        <f aca="false">IF($A460="","",Stock_Diario!E460)</f>
        <v/>
      </c>
      <c r="D460" s="24" t="str">
        <f aca="false">IF($A460="","",IF(SUMIFS(Recepciones!$C$5:$C$2000,Recepciones!$B$5:$B$2000,Config!$A$23,Recepciones!$A$5:$A$2000,"&gt;"&amp;$A459,Recepciones!$A$5:$A$2000,"&lt;="&amp;$A460)&gt;0,SUMIFS(Recepciones!$C$5:$C$2000,Recepciones!$B$5:$B$2000,Config!$A$23,Recepciones!$A$5:$A$2000,"&gt;"&amp;$A459,Recepciones!$A$5:$A$2000,"&lt;="&amp;$A460),MAX(0,C460-C459)))</f>
        <v/>
      </c>
      <c r="E460" s="24" t="str">
        <f aca="false">IF($A460="","",MAX(0,C459+D460-C460))</f>
        <v/>
      </c>
      <c r="F460" s="24" t="str">
        <f aca="false">IF($A460="","",Stock_Diario!F460)</f>
        <v/>
      </c>
      <c r="G460" s="24" t="str">
        <f aca="false">IF($A460="","",IF(SUMIFS(Recepciones!$C$5:$C$2000,Recepciones!$B$5:$B$2000,Config!$A$24,Recepciones!$A$5:$A$2000,"&gt;"&amp;$A459,Recepciones!$A$5:$A$2000,"&lt;="&amp;$A460)&gt;0,SUMIFS(Recepciones!$C$5:$C$2000,Recepciones!$B$5:$B$2000,Config!$A$24,Recepciones!$A$5:$A$2000,"&gt;"&amp;$A459,Recepciones!$A$5:$A$2000,"&lt;="&amp;$A460),MAX(0,F460-F459)))</f>
        <v/>
      </c>
      <c r="H460" s="24" t="str">
        <f aca="false">IF($A460="","",MAX(0,F459+G460-F460))</f>
        <v/>
      </c>
      <c r="I460" s="24" t="str">
        <f aca="false">IF($A460="","",Stock_Diario!G460)</f>
        <v/>
      </c>
      <c r="J460" s="24" t="str">
        <f aca="false">IF($A460="","",IF(SUMIFS(Recepciones!$C$5:$C$2000,Recepciones!$B$5:$B$2000,Config!$A$25,Recepciones!$A$5:$A$2000,"&gt;"&amp;$A459,Recepciones!$A$5:$A$2000,"&lt;="&amp;$A460)&gt;0,SUMIFS(Recepciones!$C$5:$C$2000,Recepciones!$B$5:$B$2000,Config!$A$25,Recepciones!$A$5:$A$2000,"&gt;"&amp;$A459,Recepciones!$A$5:$A$2000,"&lt;="&amp;$A460),MAX(0,I460-I459)))</f>
        <v/>
      </c>
      <c r="K460" s="24" t="str">
        <f aca="false">IF($A460="","",MAX(0,I459+J460-I460))</f>
        <v/>
      </c>
      <c r="L460" s="24" t="str">
        <f aca="false">IF($A460="","",E460+H460+K460)</f>
        <v/>
      </c>
      <c r="M460" s="4" t="str">
        <f aca="false">IF($A460="","",IF(AND(D460+G460+J460&gt;0,SUMIFS(Recepciones!$C$5:$C$2000,Recepciones!$A$5:$A$2000,"&gt;"&amp;$A459,Recepciones!$A$5:$A$2000,"&lt;="&amp;$A460)=0),"Aumento de stock sin recepción registrada",IF(B460&gt;1,"Intervalo de "&amp;B460&amp;" días","")))</f>
        <v/>
      </c>
    </row>
    <row r="461" customFormat="false" ht="15" hidden="false" customHeight="false" outlineLevel="0" collapsed="false">
      <c r="A461" s="5" t="str">
        <f aca="false">IF(Stock_Diario!A461="","",Stock_Diario!A461)</f>
        <v/>
      </c>
      <c r="B461" s="4" t="str">
        <f aca="false">IF($A461="","",$A461-$A460)</f>
        <v/>
      </c>
      <c r="C461" s="24" t="str">
        <f aca="false">IF($A461="","",Stock_Diario!E461)</f>
        <v/>
      </c>
      <c r="D461" s="24" t="str">
        <f aca="false">IF($A461="","",IF(SUMIFS(Recepciones!$C$5:$C$2000,Recepciones!$B$5:$B$2000,Config!$A$23,Recepciones!$A$5:$A$2000,"&gt;"&amp;$A460,Recepciones!$A$5:$A$2000,"&lt;="&amp;$A461)&gt;0,SUMIFS(Recepciones!$C$5:$C$2000,Recepciones!$B$5:$B$2000,Config!$A$23,Recepciones!$A$5:$A$2000,"&gt;"&amp;$A460,Recepciones!$A$5:$A$2000,"&lt;="&amp;$A461),MAX(0,C461-C460)))</f>
        <v/>
      </c>
      <c r="E461" s="24" t="str">
        <f aca="false">IF($A461="","",MAX(0,C460+D461-C461))</f>
        <v/>
      </c>
      <c r="F461" s="24" t="str">
        <f aca="false">IF($A461="","",Stock_Diario!F461)</f>
        <v/>
      </c>
      <c r="G461" s="24" t="str">
        <f aca="false">IF($A461="","",IF(SUMIFS(Recepciones!$C$5:$C$2000,Recepciones!$B$5:$B$2000,Config!$A$24,Recepciones!$A$5:$A$2000,"&gt;"&amp;$A460,Recepciones!$A$5:$A$2000,"&lt;="&amp;$A461)&gt;0,SUMIFS(Recepciones!$C$5:$C$2000,Recepciones!$B$5:$B$2000,Config!$A$24,Recepciones!$A$5:$A$2000,"&gt;"&amp;$A460,Recepciones!$A$5:$A$2000,"&lt;="&amp;$A461),MAX(0,F461-F460)))</f>
        <v/>
      </c>
      <c r="H461" s="24" t="str">
        <f aca="false">IF($A461="","",MAX(0,F460+G461-F461))</f>
        <v/>
      </c>
      <c r="I461" s="24" t="str">
        <f aca="false">IF($A461="","",Stock_Diario!G461)</f>
        <v/>
      </c>
      <c r="J461" s="24" t="str">
        <f aca="false">IF($A461="","",IF(SUMIFS(Recepciones!$C$5:$C$2000,Recepciones!$B$5:$B$2000,Config!$A$25,Recepciones!$A$5:$A$2000,"&gt;"&amp;$A460,Recepciones!$A$5:$A$2000,"&lt;="&amp;$A461)&gt;0,SUMIFS(Recepciones!$C$5:$C$2000,Recepciones!$B$5:$B$2000,Config!$A$25,Recepciones!$A$5:$A$2000,"&gt;"&amp;$A460,Recepciones!$A$5:$A$2000,"&lt;="&amp;$A461),MAX(0,I461-I460)))</f>
        <v/>
      </c>
      <c r="K461" s="24" t="str">
        <f aca="false">IF($A461="","",MAX(0,I460+J461-I461))</f>
        <v/>
      </c>
      <c r="L461" s="24" t="str">
        <f aca="false">IF($A461="","",E461+H461+K461)</f>
        <v/>
      </c>
      <c r="M461" s="4" t="str">
        <f aca="false">IF($A461="","",IF(AND(D461+G461+J461&gt;0,SUMIFS(Recepciones!$C$5:$C$2000,Recepciones!$A$5:$A$2000,"&gt;"&amp;$A460,Recepciones!$A$5:$A$2000,"&lt;="&amp;$A461)=0),"Aumento de stock sin recepción registrada",IF(B461&gt;1,"Intervalo de "&amp;B461&amp;" días","")))</f>
        <v/>
      </c>
    </row>
    <row r="462" customFormat="false" ht="15" hidden="false" customHeight="false" outlineLevel="0" collapsed="false">
      <c r="A462" s="5" t="str">
        <f aca="false">IF(Stock_Diario!A462="","",Stock_Diario!A462)</f>
        <v/>
      </c>
      <c r="B462" s="4" t="str">
        <f aca="false">IF($A462="","",$A462-$A461)</f>
        <v/>
      </c>
      <c r="C462" s="24" t="str">
        <f aca="false">IF($A462="","",Stock_Diario!E462)</f>
        <v/>
      </c>
      <c r="D462" s="24" t="str">
        <f aca="false">IF($A462="","",IF(SUMIFS(Recepciones!$C$5:$C$2000,Recepciones!$B$5:$B$2000,Config!$A$23,Recepciones!$A$5:$A$2000,"&gt;"&amp;$A461,Recepciones!$A$5:$A$2000,"&lt;="&amp;$A462)&gt;0,SUMIFS(Recepciones!$C$5:$C$2000,Recepciones!$B$5:$B$2000,Config!$A$23,Recepciones!$A$5:$A$2000,"&gt;"&amp;$A461,Recepciones!$A$5:$A$2000,"&lt;="&amp;$A462),MAX(0,C462-C461)))</f>
        <v/>
      </c>
      <c r="E462" s="24" t="str">
        <f aca="false">IF($A462="","",MAX(0,C461+D462-C462))</f>
        <v/>
      </c>
      <c r="F462" s="24" t="str">
        <f aca="false">IF($A462="","",Stock_Diario!F462)</f>
        <v/>
      </c>
      <c r="G462" s="24" t="str">
        <f aca="false">IF($A462="","",IF(SUMIFS(Recepciones!$C$5:$C$2000,Recepciones!$B$5:$B$2000,Config!$A$24,Recepciones!$A$5:$A$2000,"&gt;"&amp;$A461,Recepciones!$A$5:$A$2000,"&lt;="&amp;$A462)&gt;0,SUMIFS(Recepciones!$C$5:$C$2000,Recepciones!$B$5:$B$2000,Config!$A$24,Recepciones!$A$5:$A$2000,"&gt;"&amp;$A461,Recepciones!$A$5:$A$2000,"&lt;="&amp;$A462),MAX(0,F462-F461)))</f>
        <v/>
      </c>
      <c r="H462" s="24" t="str">
        <f aca="false">IF($A462="","",MAX(0,F461+G462-F462))</f>
        <v/>
      </c>
      <c r="I462" s="24" t="str">
        <f aca="false">IF($A462="","",Stock_Diario!G462)</f>
        <v/>
      </c>
      <c r="J462" s="24" t="str">
        <f aca="false">IF($A462="","",IF(SUMIFS(Recepciones!$C$5:$C$2000,Recepciones!$B$5:$B$2000,Config!$A$25,Recepciones!$A$5:$A$2000,"&gt;"&amp;$A461,Recepciones!$A$5:$A$2000,"&lt;="&amp;$A462)&gt;0,SUMIFS(Recepciones!$C$5:$C$2000,Recepciones!$B$5:$B$2000,Config!$A$25,Recepciones!$A$5:$A$2000,"&gt;"&amp;$A461,Recepciones!$A$5:$A$2000,"&lt;="&amp;$A462),MAX(0,I462-I461)))</f>
        <v/>
      </c>
      <c r="K462" s="24" t="str">
        <f aca="false">IF($A462="","",MAX(0,I461+J462-I462))</f>
        <v/>
      </c>
      <c r="L462" s="24" t="str">
        <f aca="false">IF($A462="","",E462+H462+K462)</f>
        <v/>
      </c>
      <c r="M462" s="4" t="str">
        <f aca="false">IF($A462="","",IF(AND(D462+G462+J462&gt;0,SUMIFS(Recepciones!$C$5:$C$2000,Recepciones!$A$5:$A$2000,"&gt;"&amp;$A461,Recepciones!$A$5:$A$2000,"&lt;="&amp;$A462)=0),"Aumento de stock sin recepción registrada",IF(B462&gt;1,"Intervalo de "&amp;B462&amp;" días","")))</f>
        <v/>
      </c>
    </row>
    <row r="463" customFormat="false" ht="15" hidden="false" customHeight="false" outlineLevel="0" collapsed="false">
      <c r="A463" s="5" t="str">
        <f aca="false">IF(Stock_Diario!A463="","",Stock_Diario!A463)</f>
        <v/>
      </c>
      <c r="B463" s="4" t="str">
        <f aca="false">IF($A463="","",$A463-$A462)</f>
        <v/>
      </c>
      <c r="C463" s="24" t="str">
        <f aca="false">IF($A463="","",Stock_Diario!E463)</f>
        <v/>
      </c>
      <c r="D463" s="24" t="str">
        <f aca="false">IF($A463="","",IF(SUMIFS(Recepciones!$C$5:$C$2000,Recepciones!$B$5:$B$2000,Config!$A$23,Recepciones!$A$5:$A$2000,"&gt;"&amp;$A462,Recepciones!$A$5:$A$2000,"&lt;="&amp;$A463)&gt;0,SUMIFS(Recepciones!$C$5:$C$2000,Recepciones!$B$5:$B$2000,Config!$A$23,Recepciones!$A$5:$A$2000,"&gt;"&amp;$A462,Recepciones!$A$5:$A$2000,"&lt;="&amp;$A463),MAX(0,C463-C462)))</f>
        <v/>
      </c>
      <c r="E463" s="24" t="str">
        <f aca="false">IF($A463="","",MAX(0,C462+D463-C463))</f>
        <v/>
      </c>
      <c r="F463" s="24" t="str">
        <f aca="false">IF($A463="","",Stock_Diario!F463)</f>
        <v/>
      </c>
      <c r="G463" s="24" t="str">
        <f aca="false">IF($A463="","",IF(SUMIFS(Recepciones!$C$5:$C$2000,Recepciones!$B$5:$B$2000,Config!$A$24,Recepciones!$A$5:$A$2000,"&gt;"&amp;$A462,Recepciones!$A$5:$A$2000,"&lt;="&amp;$A463)&gt;0,SUMIFS(Recepciones!$C$5:$C$2000,Recepciones!$B$5:$B$2000,Config!$A$24,Recepciones!$A$5:$A$2000,"&gt;"&amp;$A462,Recepciones!$A$5:$A$2000,"&lt;="&amp;$A463),MAX(0,F463-F462)))</f>
        <v/>
      </c>
      <c r="H463" s="24" t="str">
        <f aca="false">IF($A463="","",MAX(0,F462+G463-F463))</f>
        <v/>
      </c>
      <c r="I463" s="24" t="str">
        <f aca="false">IF($A463="","",Stock_Diario!G463)</f>
        <v/>
      </c>
      <c r="J463" s="24" t="str">
        <f aca="false">IF($A463="","",IF(SUMIFS(Recepciones!$C$5:$C$2000,Recepciones!$B$5:$B$2000,Config!$A$25,Recepciones!$A$5:$A$2000,"&gt;"&amp;$A462,Recepciones!$A$5:$A$2000,"&lt;="&amp;$A463)&gt;0,SUMIFS(Recepciones!$C$5:$C$2000,Recepciones!$B$5:$B$2000,Config!$A$25,Recepciones!$A$5:$A$2000,"&gt;"&amp;$A462,Recepciones!$A$5:$A$2000,"&lt;="&amp;$A463),MAX(0,I463-I462)))</f>
        <v/>
      </c>
      <c r="K463" s="24" t="str">
        <f aca="false">IF($A463="","",MAX(0,I462+J463-I463))</f>
        <v/>
      </c>
      <c r="L463" s="24" t="str">
        <f aca="false">IF($A463="","",E463+H463+K463)</f>
        <v/>
      </c>
      <c r="M463" s="4" t="str">
        <f aca="false">IF($A463="","",IF(AND(D463+G463+J463&gt;0,SUMIFS(Recepciones!$C$5:$C$2000,Recepciones!$A$5:$A$2000,"&gt;"&amp;$A462,Recepciones!$A$5:$A$2000,"&lt;="&amp;$A463)=0),"Aumento de stock sin recepción registrada",IF(B463&gt;1,"Intervalo de "&amp;B463&amp;" días","")))</f>
        <v/>
      </c>
    </row>
    <row r="464" customFormat="false" ht="15" hidden="false" customHeight="false" outlineLevel="0" collapsed="false">
      <c r="A464" s="5" t="str">
        <f aca="false">IF(Stock_Diario!A464="","",Stock_Diario!A464)</f>
        <v/>
      </c>
      <c r="B464" s="4" t="str">
        <f aca="false">IF($A464="","",$A464-$A463)</f>
        <v/>
      </c>
      <c r="C464" s="24" t="str">
        <f aca="false">IF($A464="","",Stock_Diario!E464)</f>
        <v/>
      </c>
      <c r="D464" s="24" t="str">
        <f aca="false">IF($A464="","",IF(SUMIFS(Recepciones!$C$5:$C$2000,Recepciones!$B$5:$B$2000,Config!$A$23,Recepciones!$A$5:$A$2000,"&gt;"&amp;$A463,Recepciones!$A$5:$A$2000,"&lt;="&amp;$A464)&gt;0,SUMIFS(Recepciones!$C$5:$C$2000,Recepciones!$B$5:$B$2000,Config!$A$23,Recepciones!$A$5:$A$2000,"&gt;"&amp;$A463,Recepciones!$A$5:$A$2000,"&lt;="&amp;$A464),MAX(0,C464-C463)))</f>
        <v/>
      </c>
      <c r="E464" s="24" t="str">
        <f aca="false">IF($A464="","",MAX(0,C463+D464-C464))</f>
        <v/>
      </c>
      <c r="F464" s="24" t="str">
        <f aca="false">IF($A464="","",Stock_Diario!F464)</f>
        <v/>
      </c>
      <c r="G464" s="24" t="str">
        <f aca="false">IF($A464="","",IF(SUMIFS(Recepciones!$C$5:$C$2000,Recepciones!$B$5:$B$2000,Config!$A$24,Recepciones!$A$5:$A$2000,"&gt;"&amp;$A463,Recepciones!$A$5:$A$2000,"&lt;="&amp;$A464)&gt;0,SUMIFS(Recepciones!$C$5:$C$2000,Recepciones!$B$5:$B$2000,Config!$A$24,Recepciones!$A$5:$A$2000,"&gt;"&amp;$A463,Recepciones!$A$5:$A$2000,"&lt;="&amp;$A464),MAX(0,F464-F463)))</f>
        <v/>
      </c>
      <c r="H464" s="24" t="str">
        <f aca="false">IF($A464="","",MAX(0,F463+G464-F464))</f>
        <v/>
      </c>
      <c r="I464" s="24" t="str">
        <f aca="false">IF($A464="","",Stock_Diario!G464)</f>
        <v/>
      </c>
      <c r="J464" s="24" t="str">
        <f aca="false">IF($A464="","",IF(SUMIFS(Recepciones!$C$5:$C$2000,Recepciones!$B$5:$B$2000,Config!$A$25,Recepciones!$A$5:$A$2000,"&gt;"&amp;$A463,Recepciones!$A$5:$A$2000,"&lt;="&amp;$A464)&gt;0,SUMIFS(Recepciones!$C$5:$C$2000,Recepciones!$B$5:$B$2000,Config!$A$25,Recepciones!$A$5:$A$2000,"&gt;"&amp;$A463,Recepciones!$A$5:$A$2000,"&lt;="&amp;$A464),MAX(0,I464-I463)))</f>
        <v/>
      </c>
      <c r="K464" s="24" t="str">
        <f aca="false">IF($A464="","",MAX(0,I463+J464-I464))</f>
        <v/>
      </c>
      <c r="L464" s="24" t="str">
        <f aca="false">IF($A464="","",E464+H464+K464)</f>
        <v/>
      </c>
      <c r="M464" s="4" t="str">
        <f aca="false">IF($A464="","",IF(AND(D464+G464+J464&gt;0,SUMIFS(Recepciones!$C$5:$C$2000,Recepciones!$A$5:$A$2000,"&gt;"&amp;$A463,Recepciones!$A$5:$A$2000,"&lt;="&amp;$A464)=0),"Aumento de stock sin recepción registrada",IF(B464&gt;1,"Intervalo de "&amp;B464&amp;" días","")))</f>
        <v/>
      </c>
    </row>
    <row r="465" customFormat="false" ht="15" hidden="false" customHeight="false" outlineLevel="0" collapsed="false">
      <c r="A465" s="5" t="str">
        <f aca="false">IF(Stock_Diario!A465="","",Stock_Diario!A465)</f>
        <v/>
      </c>
      <c r="B465" s="4" t="str">
        <f aca="false">IF($A465="","",$A465-$A464)</f>
        <v/>
      </c>
      <c r="C465" s="24" t="str">
        <f aca="false">IF($A465="","",Stock_Diario!E465)</f>
        <v/>
      </c>
      <c r="D465" s="24" t="str">
        <f aca="false">IF($A465="","",IF(SUMIFS(Recepciones!$C$5:$C$2000,Recepciones!$B$5:$B$2000,Config!$A$23,Recepciones!$A$5:$A$2000,"&gt;"&amp;$A464,Recepciones!$A$5:$A$2000,"&lt;="&amp;$A465)&gt;0,SUMIFS(Recepciones!$C$5:$C$2000,Recepciones!$B$5:$B$2000,Config!$A$23,Recepciones!$A$5:$A$2000,"&gt;"&amp;$A464,Recepciones!$A$5:$A$2000,"&lt;="&amp;$A465),MAX(0,C465-C464)))</f>
        <v/>
      </c>
      <c r="E465" s="24" t="str">
        <f aca="false">IF($A465="","",MAX(0,C464+D465-C465))</f>
        <v/>
      </c>
      <c r="F465" s="24" t="str">
        <f aca="false">IF($A465="","",Stock_Diario!F465)</f>
        <v/>
      </c>
      <c r="G465" s="24" t="str">
        <f aca="false">IF($A465="","",IF(SUMIFS(Recepciones!$C$5:$C$2000,Recepciones!$B$5:$B$2000,Config!$A$24,Recepciones!$A$5:$A$2000,"&gt;"&amp;$A464,Recepciones!$A$5:$A$2000,"&lt;="&amp;$A465)&gt;0,SUMIFS(Recepciones!$C$5:$C$2000,Recepciones!$B$5:$B$2000,Config!$A$24,Recepciones!$A$5:$A$2000,"&gt;"&amp;$A464,Recepciones!$A$5:$A$2000,"&lt;="&amp;$A465),MAX(0,F465-F464)))</f>
        <v/>
      </c>
      <c r="H465" s="24" t="str">
        <f aca="false">IF($A465="","",MAX(0,F464+G465-F465))</f>
        <v/>
      </c>
      <c r="I465" s="24" t="str">
        <f aca="false">IF($A465="","",Stock_Diario!G465)</f>
        <v/>
      </c>
      <c r="J465" s="24" t="str">
        <f aca="false">IF($A465="","",IF(SUMIFS(Recepciones!$C$5:$C$2000,Recepciones!$B$5:$B$2000,Config!$A$25,Recepciones!$A$5:$A$2000,"&gt;"&amp;$A464,Recepciones!$A$5:$A$2000,"&lt;="&amp;$A465)&gt;0,SUMIFS(Recepciones!$C$5:$C$2000,Recepciones!$B$5:$B$2000,Config!$A$25,Recepciones!$A$5:$A$2000,"&gt;"&amp;$A464,Recepciones!$A$5:$A$2000,"&lt;="&amp;$A465),MAX(0,I465-I464)))</f>
        <v/>
      </c>
      <c r="K465" s="24" t="str">
        <f aca="false">IF($A465="","",MAX(0,I464+J465-I465))</f>
        <v/>
      </c>
      <c r="L465" s="24" t="str">
        <f aca="false">IF($A465="","",E465+H465+K465)</f>
        <v/>
      </c>
      <c r="M465" s="4" t="str">
        <f aca="false">IF($A465="","",IF(AND(D465+G465+J465&gt;0,SUMIFS(Recepciones!$C$5:$C$2000,Recepciones!$A$5:$A$2000,"&gt;"&amp;$A464,Recepciones!$A$5:$A$2000,"&lt;="&amp;$A465)=0),"Aumento de stock sin recepción registrada",IF(B465&gt;1,"Intervalo de "&amp;B465&amp;" días","")))</f>
        <v/>
      </c>
    </row>
    <row r="466" customFormat="false" ht="15" hidden="false" customHeight="false" outlineLevel="0" collapsed="false">
      <c r="A466" s="5" t="str">
        <f aca="false">IF(Stock_Diario!A466="","",Stock_Diario!A466)</f>
        <v/>
      </c>
      <c r="B466" s="4" t="str">
        <f aca="false">IF($A466="","",$A466-$A465)</f>
        <v/>
      </c>
      <c r="C466" s="24" t="str">
        <f aca="false">IF($A466="","",Stock_Diario!E466)</f>
        <v/>
      </c>
      <c r="D466" s="24" t="str">
        <f aca="false">IF($A466="","",IF(SUMIFS(Recepciones!$C$5:$C$2000,Recepciones!$B$5:$B$2000,Config!$A$23,Recepciones!$A$5:$A$2000,"&gt;"&amp;$A465,Recepciones!$A$5:$A$2000,"&lt;="&amp;$A466)&gt;0,SUMIFS(Recepciones!$C$5:$C$2000,Recepciones!$B$5:$B$2000,Config!$A$23,Recepciones!$A$5:$A$2000,"&gt;"&amp;$A465,Recepciones!$A$5:$A$2000,"&lt;="&amp;$A466),MAX(0,C466-C465)))</f>
        <v/>
      </c>
      <c r="E466" s="24" t="str">
        <f aca="false">IF($A466="","",MAX(0,C465+D466-C466))</f>
        <v/>
      </c>
      <c r="F466" s="24" t="str">
        <f aca="false">IF($A466="","",Stock_Diario!F466)</f>
        <v/>
      </c>
      <c r="G466" s="24" t="str">
        <f aca="false">IF($A466="","",IF(SUMIFS(Recepciones!$C$5:$C$2000,Recepciones!$B$5:$B$2000,Config!$A$24,Recepciones!$A$5:$A$2000,"&gt;"&amp;$A465,Recepciones!$A$5:$A$2000,"&lt;="&amp;$A466)&gt;0,SUMIFS(Recepciones!$C$5:$C$2000,Recepciones!$B$5:$B$2000,Config!$A$24,Recepciones!$A$5:$A$2000,"&gt;"&amp;$A465,Recepciones!$A$5:$A$2000,"&lt;="&amp;$A466),MAX(0,F466-F465)))</f>
        <v/>
      </c>
      <c r="H466" s="24" t="str">
        <f aca="false">IF($A466="","",MAX(0,F465+G466-F466))</f>
        <v/>
      </c>
      <c r="I466" s="24" t="str">
        <f aca="false">IF($A466="","",Stock_Diario!G466)</f>
        <v/>
      </c>
      <c r="J466" s="24" t="str">
        <f aca="false">IF($A466="","",IF(SUMIFS(Recepciones!$C$5:$C$2000,Recepciones!$B$5:$B$2000,Config!$A$25,Recepciones!$A$5:$A$2000,"&gt;"&amp;$A465,Recepciones!$A$5:$A$2000,"&lt;="&amp;$A466)&gt;0,SUMIFS(Recepciones!$C$5:$C$2000,Recepciones!$B$5:$B$2000,Config!$A$25,Recepciones!$A$5:$A$2000,"&gt;"&amp;$A465,Recepciones!$A$5:$A$2000,"&lt;="&amp;$A466),MAX(0,I466-I465)))</f>
        <v/>
      </c>
      <c r="K466" s="24" t="str">
        <f aca="false">IF($A466="","",MAX(0,I465+J466-I466))</f>
        <v/>
      </c>
      <c r="L466" s="24" t="str">
        <f aca="false">IF($A466="","",E466+H466+K466)</f>
        <v/>
      </c>
      <c r="M466" s="4" t="str">
        <f aca="false">IF($A466="","",IF(AND(D466+G466+J466&gt;0,SUMIFS(Recepciones!$C$5:$C$2000,Recepciones!$A$5:$A$2000,"&gt;"&amp;$A465,Recepciones!$A$5:$A$2000,"&lt;="&amp;$A466)=0),"Aumento de stock sin recepción registrada",IF(B466&gt;1,"Intervalo de "&amp;B466&amp;" días","")))</f>
        <v/>
      </c>
    </row>
    <row r="467" customFormat="false" ht="15" hidden="false" customHeight="false" outlineLevel="0" collapsed="false">
      <c r="A467" s="5" t="str">
        <f aca="false">IF(Stock_Diario!A467="","",Stock_Diario!A467)</f>
        <v/>
      </c>
      <c r="B467" s="4" t="str">
        <f aca="false">IF($A467="","",$A467-$A466)</f>
        <v/>
      </c>
      <c r="C467" s="24" t="str">
        <f aca="false">IF($A467="","",Stock_Diario!E467)</f>
        <v/>
      </c>
      <c r="D467" s="24" t="str">
        <f aca="false">IF($A467="","",IF(SUMIFS(Recepciones!$C$5:$C$2000,Recepciones!$B$5:$B$2000,Config!$A$23,Recepciones!$A$5:$A$2000,"&gt;"&amp;$A466,Recepciones!$A$5:$A$2000,"&lt;="&amp;$A467)&gt;0,SUMIFS(Recepciones!$C$5:$C$2000,Recepciones!$B$5:$B$2000,Config!$A$23,Recepciones!$A$5:$A$2000,"&gt;"&amp;$A466,Recepciones!$A$5:$A$2000,"&lt;="&amp;$A467),MAX(0,C467-C466)))</f>
        <v/>
      </c>
      <c r="E467" s="24" t="str">
        <f aca="false">IF($A467="","",MAX(0,C466+D467-C467))</f>
        <v/>
      </c>
      <c r="F467" s="24" t="str">
        <f aca="false">IF($A467="","",Stock_Diario!F467)</f>
        <v/>
      </c>
      <c r="G467" s="24" t="str">
        <f aca="false">IF($A467="","",IF(SUMIFS(Recepciones!$C$5:$C$2000,Recepciones!$B$5:$B$2000,Config!$A$24,Recepciones!$A$5:$A$2000,"&gt;"&amp;$A466,Recepciones!$A$5:$A$2000,"&lt;="&amp;$A467)&gt;0,SUMIFS(Recepciones!$C$5:$C$2000,Recepciones!$B$5:$B$2000,Config!$A$24,Recepciones!$A$5:$A$2000,"&gt;"&amp;$A466,Recepciones!$A$5:$A$2000,"&lt;="&amp;$A467),MAX(0,F467-F466)))</f>
        <v/>
      </c>
      <c r="H467" s="24" t="str">
        <f aca="false">IF($A467="","",MAX(0,F466+G467-F467))</f>
        <v/>
      </c>
      <c r="I467" s="24" t="str">
        <f aca="false">IF($A467="","",Stock_Diario!G467)</f>
        <v/>
      </c>
      <c r="J467" s="24" t="str">
        <f aca="false">IF($A467="","",IF(SUMIFS(Recepciones!$C$5:$C$2000,Recepciones!$B$5:$B$2000,Config!$A$25,Recepciones!$A$5:$A$2000,"&gt;"&amp;$A466,Recepciones!$A$5:$A$2000,"&lt;="&amp;$A467)&gt;0,SUMIFS(Recepciones!$C$5:$C$2000,Recepciones!$B$5:$B$2000,Config!$A$25,Recepciones!$A$5:$A$2000,"&gt;"&amp;$A466,Recepciones!$A$5:$A$2000,"&lt;="&amp;$A467),MAX(0,I467-I466)))</f>
        <v/>
      </c>
      <c r="K467" s="24" t="str">
        <f aca="false">IF($A467="","",MAX(0,I466+J467-I467))</f>
        <v/>
      </c>
      <c r="L467" s="24" t="str">
        <f aca="false">IF($A467="","",E467+H467+K467)</f>
        <v/>
      </c>
      <c r="M467" s="4" t="str">
        <f aca="false">IF($A467="","",IF(AND(D467+G467+J467&gt;0,SUMIFS(Recepciones!$C$5:$C$2000,Recepciones!$A$5:$A$2000,"&gt;"&amp;$A466,Recepciones!$A$5:$A$2000,"&lt;="&amp;$A467)=0),"Aumento de stock sin recepción registrada",IF(B467&gt;1,"Intervalo de "&amp;B467&amp;" días","")))</f>
        <v/>
      </c>
    </row>
    <row r="468" customFormat="false" ht="15" hidden="false" customHeight="false" outlineLevel="0" collapsed="false">
      <c r="A468" s="5" t="str">
        <f aca="false">IF(Stock_Diario!A468="","",Stock_Diario!A468)</f>
        <v/>
      </c>
      <c r="B468" s="4" t="str">
        <f aca="false">IF($A468="","",$A468-$A467)</f>
        <v/>
      </c>
      <c r="C468" s="24" t="str">
        <f aca="false">IF($A468="","",Stock_Diario!E468)</f>
        <v/>
      </c>
      <c r="D468" s="24" t="str">
        <f aca="false">IF($A468="","",IF(SUMIFS(Recepciones!$C$5:$C$2000,Recepciones!$B$5:$B$2000,Config!$A$23,Recepciones!$A$5:$A$2000,"&gt;"&amp;$A467,Recepciones!$A$5:$A$2000,"&lt;="&amp;$A468)&gt;0,SUMIFS(Recepciones!$C$5:$C$2000,Recepciones!$B$5:$B$2000,Config!$A$23,Recepciones!$A$5:$A$2000,"&gt;"&amp;$A467,Recepciones!$A$5:$A$2000,"&lt;="&amp;$A468),MAX(0,C468-C467)))</f>
        <v/>
      </c>
      <c r="E468" s="24" t="str">
        <f aca="false">IF($A468="","",MAX(0,C467+D468-C468))</f>
        <v/>
      </c>
      <c r="F468" s="24" t="str">
        <f aca="false">IF($A468="","",Stock_Diario!F468)</f>
        <v/>
      </c>
      <c r="G468" s="24" t="str">
        <f aca="false">IF($A468="","",IF(SUMIFS(Recepciones!$C$5:$C$2000,Recepciones!$B$5:$B$2000,Config!$A$24,Recepciones!$A$5:$A$2000,"&gt;"&amp;$A467,Recepciones!$A$5:$A$2000,"&lt;="&amp;$A468)&gt;0,SUMIFS(Recepciones!$C$5:$C$2000,Recepciones!$B$5:$B$2000,Config!$A$24,Recepciones!$A$5:$A$2000,"&gt;"&amp;$A467,Recepciones!$A$5:$A$2000,"&lt;="&amp;$A468),MAX(0,F468-F467)))</f>
        <v/>
      </c>
      <c r="H468" s="24" t="str">
        <f aca="false">IF($A468="","",MAX(0,F467+G468-F468))</f>
        <v/>
      </c>
      <c r="I468" s="24" t="str">
        <f aca="false">IF($A468="","",Stock_Diario!G468)</f>
        <v/>
      </c>
      <c r="J468" s="24" t="str">
        <f aca="false">IF($A468="","",IF(SUMIFS(Recepciones!$C$5:$C$2000,Recepciones!$B$5:$B$2000,Config!$A$25,Recepciones!$A$5:$A$2000,"&gt;"&amp;$A467,Recepciones!$A$5:$A$2000,"&lt;="&amp;$A468)&gt;0,SUMIFS(Recepciones!$C$5:$C$2000,Recepciones!$B$5:$B$2000,Config!$A$25,Recepciones!$A$5:$A$2000,"&gt;"&amp;$A467,Recepciones!$A$5:$A$2000,"&lt;="&amp;$A468),MAX(0,I468-I467)))</f>
        <v/>
      </c>
      <c r="K468" s="24" t="str">
        <f aca="false">IF($A468="","",MAX(0,I467+J468-I468))</f>
        <v/>
      </c>
      <c r="L468" s="24" t="str">
        <f aca="false">IF($A468="","",E468+H468+K468)</f>
        <v/>
      </c>
      <c r="M468" s="4" t="str">
        <f aca="false">IF($A468="","",IF(AND(D468+G468+J468&gt;0,SUMIFS(Recepciones!$C$5:$C$2000,Recepciones!$A$5:$A$2000,"&gt;"&amp;$A467,Recepciones!$A$5:$A$2000,"&lt;="&amp;$A468)=0),"Aumento de stock sin recepción registrada",IF(B468&gt;1,"Intervalo de "&amp;B468&amp;" días","")))</f>
        <v/>
      </c>
    </row>
    <row r="469" customFormat="false" ht="15" hidden="false" customHeight="false" outlineLevel="0" collapsed="false">
      <c r="A469" s="5" t="str">
        <f aca="false">IF(Stock_Diario!A469="","",Stock_Diario!A469)</f>
        <v/>
      </c>
      <c r="B469" s="4" t="str">
        <f aca="false">IF($A469="","",$A469-$A468)</f>
        <v/>
      </c>
      <c r="C469" s="24" t="str">
        <f aca="false">IF($A469="","",Stock_Diario!E469)</f>
        <v/>
      </c>
      <c r="D469" s="24" t="str">
        <f aca="false">IF($A469="","",IF(SUMIFS(Recepciones!$C$5:$C$2000,Recepciones!$B$5:$B$2000,Config!$A$23,Recepciones!$A$5:$A$2000,"&gt;"&amp;$A468,Recepciones!$A$5:$A$2000,"&lt;="&amp;$A469)&gt;0,SUMIFS(Recepciones!$C$5:$C$2000,Recepciones!$B$5:$B$2000,Config!$A$23,Recepciones!$A$5:$A$2000,"&gt;"&amp;$A468,Recepciones!$A$5:$A$2000,"&lt;="&amp;$A469),MAX(0,C469-C468)))</f>
        <v/>
      </c>
      <c r="E469" s="24" t="str">
        <f aca="false">IF($A469="","",MAX(0,C468+D469-C469))</f>
        <v/>
      </c>
      <c r="F469" s="24" t="str">
        <f aca="false">IF($A469="","",Stock_Diario!F469)</f>
        <v/>
      </c>
      <c r="G469" s="24" t="str">
        <f aca="false">IF($A469="","",IF(SUMIFS(Recepciones!$C$5:$C$2000,Recepciones!$B$5:$B$2000,Config!$A$24,Recepciones!$A$5:$A$2000,"&gt;"&amp;$A468,Recepciones!$A$5:$A$2000,"&lt;="&amp;$A469)&gt;0,SUMIFS(Recepciones!$C$5:$C$2000,Recepciones!$B$5:$B$2000,Config!$A$24,Recepciones!$A$5:$A$2000,"&gt;"&amp;$A468,Recepciones!$A$5:$A$2000,"&lt;="&amp;$A469),MAX(0,F469-F468)))</f>
        <v/>
      </c>
      <c r="H469" s="24" t="str">
        <f aca="false">IF($A469="","",MAX(0,F468+G469-F469))</f>
        <v/>
      </c>
      <c r="I469" s="24" t="str">
        <f aca="false">IF($A469="","",Stock_Diario!G469)</f>
        <v/>
      </c>
      <c r="J469" s="24" t="str">
        <f aca="false">IF($A469="","",IF(SUMIFS(Recepciones!$C$5:$C$2000,Recepciones!$B$5:$B$2000,Config!$A$25,Recepciones!$A$5:$A$2000,"&gt;"&amp;$A468,Recepciones!$A$5:$A$2000,"&lt;="&amp;$A469)&gt;0,SUMIFS(Recepciones!$C$5:$C$2000,Recepciones!$B$5:$B$2000,Config!$A$25,Recepciones!$A$5:$A$2000,"&gt;"&amp;$A468,Recepciones!$A$5:$A$2000,"&lt;="&amp;$A469),MAX(0,I469-I468)))</f>
        <v/>
      </c>
      <c r="K469" s="24" t="str">
        <f aca="false">IF($A469="","",MAX(0,I468+J469-I469))</f>
        <v/>
      </c>
      <c r="L469" s="24" t="str">
        <f aca="false">IF($A469="","",E469+H469+K469)</f>
        <v/>
      </c>
      <c r="M469" s="4" t="str">
        <f aca="false">IF($A469="","",IF(AND(D469+G469+J469&gt;0,SUMIFS(Recepciones!$C$5:$C$2000,Recepciones!$A$5:$A$2000,"&gt;"&amp;$A468,Recepciones!$A$5:$A$2000,"&lt;="&amp;$A469)=0),"Aumento de stock sin recepción registrada",IF(B469&gt;1,"Intervalo de "&amp;B469&amp;" días","")))</f>
        <v/>
      </c>
    </row>
    <row r="470" customFormat="false" ht="15" hidden="false" customHeight="false" outlineLevel="0" collapsed="false">
      <c r="A470" s="5" t="str">
        <f aca="false">IF(Stock_Diario!A470="","",Stock_Diario!A470)</f>
        <v/>
      </c>
      <c r="B470" s="4" t="str">
        <f aca="false">IF($A470="","",$A470-$A469)</f>
        <v/>
      </c>
      <c r="C470" s="24" t="str">
        <f aca="false">IF($A470="","",Stock_Diario!E470)</f>
        <v/>
      </c>
      <c r="D470" s="24" t="str">
        <f aca="false">IF($A470="","",IF(SUMIFS(Recepciones!$C$5:$C$2000,Recepciones!$B$5:$B$2000,Config!$A$23,Recepciones!$A$5:$A$2000,"&gt;"&amp;$A469,Recepciones!$A$5:$A$2000,"&lt;="&amp;$A470)&gt;0,SUMIFS(Recepciones!$C$5:$C$2000,Recepciones!$B$5:$B$2000,Config!$A$23,Recepciones!$A$5:$A$2000,"&gt;"&amp;$A469,Recepciones!$A$5:$A$2000,"&lt;="&amp;$A470),MAX(0,C470-C469)))</f>
        <v/>
      </c>
      <c r="E470" s="24" t="str">
        <f aca="false">IF($A470="","",MAX(0,C469+D470-C470))</f>
        <v/>
      </c>
      <c r="F470" s="24" t="str">
        <f aca="false">IF($A470="","",Stock_Diario!F470)</f>
        <v/>
      </c>
      <c r="G470" s="24" t="str">
        <f aca="false">IF($A470="","",IF(SUMIFS(Recepciones!$C$5:$C$2000,Recepciones!$B$5:$B$2000,Config!$A$24,Recepciones!$A$5:$A$2000,"&gt;"&amp;$A469,Recepciones!$A$5:$A$2000,"&lt;="&amp;$A470)&gt;0,SUMIFS(Recepciones!$C$5:$C$2000,Recepciones!$B$5:$B$2000,Config!$A$24,Recepciones!$A$5:$A$2000,"&gt;"&amp;$A469,Recepciones!$A$5:$A$2000,"&lt;="&amp;$A470),MAX(0,F470-F469)))</f>
        <v/>
      </c>
      <c r="H470" s="24" t="str">
        <f aca="false">IF($A470="","",MAX(0,F469+G470-F470))</f>
        <v/>
      </c>
      <c r="I470" s="24" t="str">
        <f aca="false">IF($A470="","",Stock_Diario!G470)</f>
        <v/>
      </c>
      <c r="J470" s="24" t="str">
        <f aca="false">IF($A470="","",IF(SUMIFS(Recepciones!$C$5:$C$2000,Recepciones!$B$5:$B$2000,Config!$A$25,Recepciones!$A$5:$A$2000,"&gt;"&amp;$A469,Recepciones!$A$5:$A$2000,"&lt;="&amp;$A470)&gt;0,SUMIFS(Recepciones!$C$5:$C$2000,Recepciones!$B$5:$B$2000,Config!$A$25,Recepciones!$A$5:$A$2000,"&gt;"&amp;$A469,Recepciones!$A$5:$A$2000,"&lt;="&amp;$A470),MAX(0,I470-I469)))</f>
        <v/>
      </c>
      <c r="K470" s="24" t="str">
        <f aca="false">IF($A470="","",MAX(0,I469+J470-I470))</f>
        <v/>
      </c>
      <c r="L470" s="24" t="str">
        <f aca="false">IF($A470="","",E470+H470+K470)</f>
        <v/>
      </c>
      <c r="M470" s="4" t="str">
        <f aca="false">IF($A470="","",IF(AND(D470+G470+J470&gt;0,SUMIFS(Recepciones!$C$5:$C$2000,Recepciones!$A$5:$A$2000,"&gt;"&amp;$A469,Recepciones!$A$5:$A$2000,"&lt;="&amp;$A470)=0),"Aumento de stock sin recepción registrada",IF(B470&gt;1,"Intervalo de "&amp;B470&amp;" días","")))</f>
        <v/>
      </c>
    </row>
    <row r="471" customFormat="false" ht="15" hidden="false" customHeight="false" outlineLevel="0" collapsed="false">
      <c r="A471" s="5" t="str">
        <f aca="false">IF(Stock_Diario!A471="","",Stock_Diario!A471)</f>
        <v/>
      </c>
      <c r="B471" s="4" t="str">
        <f aca="false">IF($A471="","",$A471-$A470)</f>
        <v/>
      </c>
      <c r="C471" s="24" t="str">
        <f aca="false">IF($A471="","",Stock_Diario!E471)</f>
        <v/>
      </c>
      <c r="D471" s="24" t="str">
        <f aca="false">IF($A471="","",IF(SUMIFS(Recepciones!$C$5:$C$2000,Recepciones!$B$5:$B$2000,Config!$A$23,Recepciones!$A$5:$A$2000,"&gt;"&amp;$A470,Recepciones!$A$5:$A$2000,"&lt;="&amp;$A471)&gt;0,SUMIFS(Recepciones!$C$5:$C$2000,Recepciones!$B$5:$B$2000,Config!$A$23,Recepciones!$A$5:$A$2000,"&gt;"&amp;$A470,Recepciones!$A$5:$A$2000,"&lt;="&amp;$A471),MAX(0,C471-C470)))</f>
        <v/>
      </c>
      <c r="E471" s="24" t="str">
        <f aca="false">IF($A471="","",MAX(0,C470+D471-C471))</f>
        <v/>
      </c>
      <c r="F471" s="24" t="str">
        <f aca="false">IF($A471="","",Stock_Diario!F471)</f>
        <v/>
      </c>
      <c r="G471" s="24" t="str">
        <f aca="false">IF($A471="","",IF(SUMIFS(Recepciones!$C$5:$C$2000,Recepciones!$B$5:$B$2000,Config!$A$24,Recepciones!$A$5:$A$2000,"&gt;"&amp;$A470,Recepciones!$A$5:$A$2000,"&lt;="&amp;$A471)&gt;0,SUMIFS(Recepciones!$C$5:$C$2000,Recepciones!$B$5:$B$2000,Config!$A$24,Recepciones!$A$5:$A$2000,"&gt;"&amp;$A470,Recepciones!$A$5:$A$2000,"&lt;="&amp;$A471),MAX(0,F471-F470)))</f>
        <v/>
      </c>
      <c r="H471" s="24" t="str">
        <f aca="false">IF($A471="","",MAX(0,F470+G471-F471))</f>
        <v/>
      </c>
      <c r="I471" s="24" t="str">
        <f aca="false">IF($A471="","",Stock_Diario!G471)</f>
        <v/>
      </c>
      <c r="J471" s="24" t="str">
        <f aca="false">IF($A471="","",IF(SUMIFS(Recepciones!$C$5:$C$2000,Recepciones!$B$5:$B$2000,Config!$A$25,Recepciones!$A$5:$A$2000,"&gt;"&amp;$A470,Recepciones!$A$5:$A$2000,"&lt;="&amp;$A471)&gt;0,SUMIFS(Recepciones!$C$5:$C$2000,Recepciones!$B$5:$B$2000,Config!$A$25,Recepciones!$A$5:$A$2000,"&gt;"&amp;$A470,Recepciones!$A$5:$A$2000,"&lt;="&amp;$A471),MAX(0,I471-I470)))</f>
        <v/>
      </c>
      <c r="K471" s="24" t="str">
        <f aca="false">IF($A471="","",MAX(0,I470+J471-I471))</f>
        <v/>
      </c>
      <c r="L471" s="24" t="str">
        <f aca="false">IF($A471="","",E471+H471+K471)</f>
        <v/>
      </c>
      <c r="M471" s="4" t="str">
        <f aca="false">IF($A471="","",IF(AND(D471+G471+J471&gt;0,SUMIFS(Recepciones!$C$5:$C$2000,Recepciones!$A$5:$A$2000,"&gt;"&amp;$A470,Recepciones!$A$5:$A$2000,"&lt;="&amp;$A471)=0),"Aumento de stock sin recepción registrada",IF(B471&gt;1,"Intervalo de "&amp;B471&amp;" días","")))</f>
        <v/>
      </c>
    </row>
    <row r="472" customFormat="false" ht="15" hidden="false" customHeight="false" outlineLevel="0" collapsed="false">
      <c r="A472" s="5" t="str">
        <f aca="false">IF(Stock_Diario!A472="","",Stock_Diario!A472)</f>
        <v/>
      </c>
      <c r="B472" s="4" t="str">
        <f aca="false">IF($A472="","",$A472-$A471)</f>
        <v/>
      </c>
      <c r="C472" s="24" t="str">
        <f aca="false">IF($A472="","",Stock_Diario!E472)</f>
        <v/>
      </c>
      <c r="D472" s="24" t="str">
        <f aca="false">IF($A472="","",IF(SUMIFS(Recepciones!$C$5:$C$2000,Recepciones!$B$5:$B$2000,Config!$A$23,Recepciones!$A$5:$A$2000,"&gt;"&amp;$A471,Recepciones!$A$5:$A$2000,"&lt;="&amp;$A472)&gt;0,SUMIFS(Recepciones!$C$5:$C$2000,Recepciones!$B$5:$B$2000,Config!$A$23,Recepciones!$A$5:$A$2000,"&gt;"&amp;$A471,Recepciones!$A$5:$A$2000,"&lt;="&amp;$A472),MAX(0,C472-C471)))</f>
        <v/>
      </c>
      <c r="E472" s="24" t="str">
        <f aca="false">IF($A472="","",MAX(0,C471+D472-C472))</f>
        <v/>
      </c>
      <c r="F472" s="24" t="str">
        <f aca="false">IF($A472="","",Stock_Diario!F472)</f>
        <v/>
      </c>
      <c r="G472" s="24" t="str">
        <f aca="false">IF($A472="","",IF(SUMIFS(Recepciones!$C$5:$C$2000,Recepciones!$B$5:$B$2000,Config!$A$24,Recepciones!$A$5:$A$2000,"&gt;"&amp;$A471,Recepciones!$A$5:$A$2000,"&lt;="&amp;$A472)&gt;0,SUMIFS(Recepciones!$C$5:$C$2000,Recepciones!$B$5:$B$2000,Config!$A$24,Recepciones!$A$5:$A$2000,"&gt;"&amp;$A471,Recepciones!$A$5:$A$2000,"&lt;="&amp;$A472),MAX(0,F472-F471)))</f>
        <v/>
      </c>
      <c r="H472" s="24" t="str">
        <f aca="false">IF($A472="","",MAX(0,F471+G472-F472))</f>
        <v/>
      </c>
      <c r="I472" s="24" t="str">
        <f aca="false">IF($A472="","",Stock_Diario!G472)</f>
        <v/>
      </c>
      <c r="J472" s="24" t="str">
        <f aca="false">IF($A472="","",IF(SUMIFS(Recepciones!$C$5:$C$2000,Recepciones!$B$5:$B$2000,Config!$A$25,Recepciones!$A$5:$A$2000,"&gt;"&amp;$A471,Recepciones!$A$5:$A$2000,"&lt;="&amp;$A472)&gt;0,SUMIFS(Recepciones!$C$5:$C$2000,Recepciones!$B$5:$B$2000,Config!$A$25,Recepciones!$A$5:$A$2000,"&gt;"&amp;$A471,Recepciones!$A$5:$A$2000,"&lt;="&amp;$A472),MAX(0,I472-I471)))</f>
        <v/>
      </c>
      <c r="K472" s="24" t="str">
        <f aca="false">IF($A472="","",MAX(0,I471+J472-I472))</f>
        <v/>
      </c>
      <c r="L472" s="24" t="str">
        <f aca="false">IF($A472="","",E472+H472+K472)</f>
        <v/>
      </c>
      <c r="M472" s="4" t="str">
        <f aca="false">IF($A472="","",IF(AND(D472+G472+J472&gt;0,SUMIFS(Recepciones!$C$5:$C$2000,Recepciones!$A$5:$A$2000,"&gt;"&amp;$A471,Recepciones!$A$5:$A$2000,"&lt;="&amp;$A472)=0),"Aumento de stock sin recepción registrada",IF(B472&gt;1,"Intervalo de "&amp;B472&amp;" días","")))</f>
        <v/>
      </c>
    </row>
    <row r="473" customFormat="false" ht="15" hidden="false" customHeight="false" outlineLevel="0" collapsed="false">
      <c r="A473" s="5" t="str">
        <f aca="false">IF(Stock_Diario!A473="","",Stock_Diario!A473)</f>
        <v/>
      </c>
      <c r="B473" s="4" t="str">
        <f aca="false">IF($A473="","",$A473-$A472)</f>
        <v/>
      </c>
      <c r="C473" s="24" t="str">
        <f aca="false">IF($A473="","",Stock_Diario!E473)</f>
        <v/>
      </c>
      <c r="D473" s="24" t="str">
        <f aca="false">IF($A473="","",IF(SUMIFS(Recepciones!$C$5:$C$2000,Recepciones!$B$5:$B$2000,Config!$A$23,Recepciones!$A$5:$A$2000,"&gt;"&amp;$A472,Recepciones!$A$5:$A$2000,"&lt;="&amp;$A473)&gt;0,SUMIFS(Recepciones!$C$5:$C$2000,Recepciones!$B$5:$B$2000,Config!$A$23,Recepciones!$A$5:$A$2000,"&gt;"&amp;$A472,Recepciones!$A$5:$A$2000,"&lt;="&amp;$A473),MAX(0,C473-C472)))</f>
        <v/>
      </c>
      <c r="E473" s="24" t="str">
        <f aca="false">IF($A473="","",MAX(0,C472+D473-C473))</f>
        <v/>
      </c>
      <c r="F473" s="24" t="str">
        <f aca="false">IF($A473="","",Stock_Diario!F473)</f>
        <v/>
      </c>
      <c r="G473" s="24" t="str">
        <f aca="false">IF($A473="","",IF(SUMIFS(Recepciones!$C$5:$C$2000,Recepciones!$B$5:$B$2000,Config!$A$24,Recepciones!$A$5:$A$2000,"&gt;"&amp;$A472,Recepciones!$A$5:$A$2000,"&lt;="&amp;$A473)&gt;0,SUMIFS(Recepciones!$C$5:$C$2000,Recepciones!$B$5:$B$2000,Config!$A$24,Recepciones!$A$5:$A$2000,"&gt;"&amp;$A472,Recepciones!$A$5:$A$2000,"&lt;="&amp;$A473),MAX(0,F473-F472)))</f>
        <v/>
      </c>
      <c r="H473" s="24" t="str">
        <f aca="false">IF($A473="","",MAX(0,F472+G473-F473))</f>
        <v/>
      </c>
      <c r="I473" s="24" t="str">
        <f aca="false">IF($A473="","",Stock_Diario!G473)</f>
        <v/>
      </c>
      <c r="J473" s="24" t="str">
        <f aca="false">IF($A473="","",IF(SUMIFS(Recepciones!$C$5:$C$2000,Recepciones!$B$5:$B$2000,Config!$A$25,Recepciones!$A$5:$A$2000,"&gt;"&amp;$A472,Recepciones!$A$5:$A$2000,"&lt;="&amp;$A473)&gt;0,SUMIFS(Recepciones!$C$5:$C$2000,Recepciones!$B$5:$B$2000,Config!$A$25,Recepciones!$A$5:$A$2000,"&gt;"&amp;$A472,Recepciones!$A$5:$A$2000,"&lt;="&amp;$A473),MAX(0,I473-I472)))</f>
        <v/>
      </c>
      <c r="K473" s="24" t="str">
        <f aca="false">IF($A473="","",MAX(0,I472+J473-I473))</f>
        <v/>
      </c>
      <c r="L473" s="24" t="str">
        <f aca="false">IF($A473="","",E473+H473+K473)</f>
        <v/>
      </c>
      <c r="M473" s="4" t="str">
        <f aca="false">IF($A473="","",IF(AND(D473+G473+J473&gt;0,SUMIFS(Recepciones!$C$5:$C$2000,Recepciones!$A$5:$A$2000,"&gt;"&amp;$A472,Recepciones!$A$5:$A$2000,"&lt;="&amp;$A473)=0),"Aumento de stock sin recepción registrada",IF(B473&gt;1,"Intervalo de "&amp;B473&amp;" días","")))</f>
        <v/>
      </c>
    </row>
    <row r="474" customFormat="false" ht="15" hidden="false" customHeight="false" outlineLevel="0" collapsed="false">
      <c r="A474" s="5" t="str">
        <f aca="false">IF(Stock_Diario!A474="","",Stock_Diario!A474)</f>
        <v/>
      </c>
      <c r="B474" s="4" t="str">
        <f aca="false">IF($A474="","",$A474-$A473)</f>
        <v/>
      </c>
      <c r="C474" s="24" t="str">
        <f aca="false">IF($A474="","",Stock_Diario!E474)</f>
        <v/>
      </c>
      <c r="D474" s="24" t="str">
        <f aca="false">IF($A474="","",IF(SUMIFS(Recepciones!$C$5:$C$2000,Recepciones!$B$5:$B$2000,Config!$A$23,Recepciones!$A$5:$A$2000,"&gt;"&amp;$A473,Recepciones!$A$5:$A$2000,"&lt;="&amp;$A474)&gt;0,SUMIFS(Recepciones!$C$5:$C$2000,Recepciones!$B$5:$B$2000,Config!$A$23,Recepciones!$A$5:$A$2000,"&gt;"&amp;$A473,Recepciones!$A$5:$A$2000,"&lt;="&amp;$A474),MAX(0,C474-C473)))</f>
        <v/>
      </c>
      <c r="E474" s="24" t="str">
        <f aca="false">IF($A474="","",MAX(0,C473+D474-C474))</f>
        <v/>
      </c>
      <c r="F474" s="24" t="str">
        <f aca="false">IF($A474="","",Stock_Diario!F474)</f>
        <v/>
      </c>
      <c r="G474" s="24" t="str">
        <f aca="false">IF($A474="","",IF(SUMIFS(Recepciones!$C$5:$C$2000,Recepciones!$B$5:$B$2000,Config!$A$24,Recepciones!$A$5:$A$2000,"&gt;"&amp;$A473,Recepciones!$A$5:$A$2000,"&lt;="&amp;$A474)&gt;0,SUMIFS(Recepciones!$C$5:$C$2000,Recepciones!$B$5:$B$2000,Config!$A$24,Recepciones!$A$5:$A$2000,"&gt;"&amp;$A473,Recepciones!$A$5:$A$2000,"&lt;="&amp;$A474),MAX(0,F474-F473)))</f>
        <v/>
      </c>
      <c r="H474" s="24" t="str">
        <f aca="false">IF($A474="","",MAX(0,F473+G474-F474))</f>
        <v/>
      </c>
      <c r="I474" s="24" t="str">
        <f aca="false">IF($A474="","",Stock_Diario!G474)</f>
        <v/>
      </c>
      <c r="J474" s="24" t="str">
        <f aca="false">IF($A474="","",IF(SUMIFS(Recepciones!$C$5:$C$2000,Recepciones!$B$5:$B$2000,Config!$A$25,Recepciones!$A$5:$A$2000,"&gt;"&amp;$A473,Recepciones!$A$5:$A$2000,"&lt;="&amp;$A474)&gt;0,SUMIFS(Recepciones!$C$5:$C$2000,Recepciones!$B$5:$B$2000,Config!$A$25,Recepciones!$A$5:$A$2000,"&gt;"&amp;$A473,Recepciones!$A$5:$A$2000,"&lt;="&amp;$A474),MAX(0,I474-I473)))</f>
        <v/>
      </c>
      <c r="K474" s="24" t="str">
        <f aca="false">IF($A474="","",MAX(0,I473+J474-I474))</f>
        <v/>
      </c>
      <c r="L474" s="24" t="str">
        <f aca="false">IF($A474="","",E474+H474+K474)</f>
        <v/>
      </c>
      <c r="M474" s="4" t="str">
        <f aca="false">IF($A474="","",IF(AND(D474+G474+J474&gt;0,SUMIFS(Recepciones!$C$5:$C$2000,Recepciones!$A$5:$A$2000,"&gt;"&amp;$A473,Recepciones!$A$5:$A$2000,"&lt;="&amp;$A474)=0),"Aumento de stock sin recepción registrada",IF(B474&gt;1,"Intervalo de "&amp;B474&amp;" días","")))</f>
        <v/>
      </c>
    </row>
    <row r="475" customFormat="false" ht="15" hidden="false" customHeight="false" outlineLevel="0" collapsed="false">
      <c r="A475" s="5" t="str">
        <f aca="false">IF(Stock_Diario!A475="","",Stock_Diario!A475)</f>
        <v/>
      </c>
      <c r="B475" s="4" t="str">
        <f aca="false">IF($A475="","",$A475-$A474)</f>
        <v/>
      </c>
      <c r="C475" s="24" t="str">
        <f aca="false">IF($A475="","",Stock_Diario!E475)</f>
        <v/>
      </c>
      <c r="D475" s="24" t="str">
        <f aca="false">IF($A475="","",IF(SUMIFS(Recepciones!$C$5:$C$2000,Recepciones!$B$5:$B$2000,Config!$A$23,Recepciones!$A$5:$A$2000,"&gt;"&amp;$A474,Recepciones!$A$5:$A$2000,"&lt;="&amp;$A475)&gt;0,SUMIFS(Recepciones!$C$5:$C$2000,Recepciones!$B$5:$B$2000,Config!$A$23,Recepciones!$A$5:$A$2000,"&gt;"&amp;$A474,Recepciones!$A$5:$A$2000,"&lt;="&amp;$A475),MAX(0,C475-C474)))</f>
        <v/>
      </c>
      <c r="E475" s="24" t="str">
        <f aca="false">IF($A475="","",MAX(0,C474+D475-C475))</f>
        <v/>
      </c>
      <c r="F475" s="24" t="str">
        <f aca="false">IF($A475="","",Stock_Diario!F475)</f>
        <v/>
      </c>
      <c r="G475" s="24" t="str">
        <f aca="false">IF($A475="","",IF(SUMIFS(Recepciones!$C$5:$C$2000,Recepciones!$B$5:$B$2000,Config!$A$24,Recepciones!$A$5:$A$2000,"&gt;"&amp;$A474,Recepciones!$A$5:$A$2000,"&lt;="&amp;$A475)&gt;0,SUMIFS(Recepciones!$C$5:$C$2000,Recepciones!$B$5:$B$2000,Config!$A$24,Recepciones!$A$5:$A$2000,"&gt;"&amp;$A474,Recepciones!$A$5:$A$2000,"&lt;="&amp;$A475),MAX(0,F475-F474)))</f>
        <v/>
      </c>
      <c r="H475" s="24" t="str">
        <f aca="false">IF($A475="","",MAX(0,F474+G475-F475))</f>
        <v/>
      </c>
      <c r="I475" s="24" t="str">
        <f aca="false">IF($A475="","",Stock_Diario!G475)</f>
        <v/>
      </c>
      <c r="J475" s="24" t="str">
        <f aca="false">IF($A475="","",IF(SUMIFS(Recepciones!$C$5:$C$2000,Recepciones!$B$5:$B$2000,Config!$A$25,Recepciones!$A$5:$A$2000,"&gt;"&amp;$A474,Recepciones!$A$5:$A$2000,"&lt;="&amp;$A475)&gt;0,SUMIFS(Recepciones!$C$5:$C$2000,Recepciones!$B$5:$B$2000,Config!$A$25,Recepciones!$A$5:$A$2000,"&gt;"&amp;$A474,Recepciones!$A$5:$A$2000,"&lt;="&amp;$A475),MAX(0,I475-I474)))</f>
        <v/>
      </c>
      <c r="K475" s="24" t="str">
        <f aca="false">IF($A475="","",MAX(0,I474+J475-I475))</f>
        <v/>
      </c>
      <c r="L475" s="24" t="str">
        <f aca="false">IF($A475="","",E475+H475+K475)</f>
        <v/>
      </c>
      <c r="M475" s="4" t="str">
        <f aca="false">IF($A475="","",IF(AND(D475+G475+J475&gt;0,SUMIFS(Recepciones!$C$5:$C$2000,Recepciones!$A$5:$A$2000,"&gt;"&amp;$A474,Recepciones!$A$5:$A$2000,"&lt;="&amp;$A475)=0),"Aumento de stock sin recepción registrada",IF(B475&gt;1,"Intervalo de "&amp;B475&amp;" días","")))</f>
        <v/>
      </c>
    </row>
    <row r="476" customFormat="false" ht="15" hidden="false" customHeight="false" outlineLevel="0" collapsed="false">
      <c r="A476" s="5" t="str">
        <f aca="false">IF(Stock_Diario!A476="","",Stock_Diario!A476)</f>
        <v/>
      </c>
      <c r="B476" s="4" t="str">
        <f aca="false">IF($A476="","",$A476-$A475)</f>
        <v/>
      </c>
      <c r="C476" s="24" t="str">
        <f aca="false">IF($A476="","",Stock_Diario!E476)</f>
        <v/>
      </c>
      <c r="D476" s="24" t="str">
        <f aca="false">IF($A476="","",IF(SUMIFS(Recepciones!$C$5:$C$2000,Recepciones!$B$5:$B$2000,Config!$A$23,Recepciones!$A$5:$A$2000,"&gt;"&amp;$A475,Recepciones!$A$5:$A$2000,"&lt;="&amp;$A476)&gt;0,SUMIFS(Recepciones!$C$5:$C$2000,Recepciones!$B$5:$B$2000,Config!$A$23,Recepciones!$A$5:$A$2000,"&gt;"&amp;$A475,Recepciones!$A$5:$A$2000,"&lt;="&amp;$A476),MAX(0,C476-C475)))</f>
        <v/>
      </c>
      <c r="E476" s="24" t="str">
        <f aca="false">IF($A476="","",MAX(0,C475+D476-C476))</f>
        <v/>
      </c>
      <c r="F476" s="24" t="str">
        <f aca="false">IF($A476="","",Stock_Diario!F476)</f>
        <v/>
      </c>
      <c r="G476" s="24" t="str">
        <f aca="false">IF($A476="","",IF(SUMIFS(Recepciones!$C$5:$C$2000,Recepciones!$B$5:$B$2000,Config!$A$24,Recepciones!$A$5:$A$2000,"&gt;"&amp;$A475,Recepciones!$A$5:$A$2000,"&lt;="&amp;$A476)&gt;0,SUMIFS(Recepciones!$C$5:$C$2000,Recepciones!$B$5:$B$2000,Config!$A$24,Recepciones!$A$5:$A$2000,"&gt;"&amp;$A475,Recepciones!$A$5:$A$2000,"&lt;="&amp;$A476),MAX(0,F476-F475)))</f>
        <v/>
      </c>
      <c r="H476" s="24" t="str">
        <f aca="false">IF($A476="","",MAX(0,F475+G476-F476))</f>
        <v/>
      </c>
      <c r="I476" s="24" t="str">
        <f aca="false">IF($A476="","",Stock_Diario!G476)</f>
        <v/>
      </c>
      <c r="J476" s="24" t="str">
        <f aca="false">IF($A476="","",IF(SUMIFS(Recepciones!$C$5:$C$2000,Recepciones!$B$5:$B$2000,Config!$A$25,Recepciones!$A$5:$A$2000,"&gt;"&amp;$A475,Recepciones!$A$5:$A$2000,"&lt;="&amp;$A476)&gt;0,SUMIFS(Recepciones!$C$5:$C$2000,Recepciones!$B$5:$B$2000,Config!$A$25,Recepciones!$A$5:$A$2000,"&gt;"&amp;$A475,Recepciones!$A$5:$A$2000,"&lt;="&amp;$A476),MAX(0,I476-I475)))</f>
        <v/>
      </c>
      <c r="K476" s="24" t="str">
        <f aca="false">IF($A476="","",MAX(0,I475+J476-I476))</f>
        <v/>
      </c>
      <c r="L476" s="24" t="str">
        <f aca="false">IF($A476="","",E476+H476+K476)</f>
        <v/>
      </c>
      <c r="M476" s="4" t="str">
        <f aca="false">IF($A476="","",IF(AND(D476+G476+J476&gt;0,SUMIFS(Recepciones!$C$5:$C$2000,Recepciones!$A$5:$A$2000,"&gt;"&amp;$A475,Recepciones!$A$5:$A$2000,"&lt;="&amp;$A476)=0),"Aumento de stock sin recepción registrada",IF(B476&gt;1,"Intervalo de "&amp;B476&amp;" días","")))</f>
        <v/>
      </c>
    </row>
    <row r="477" customFormat="false" ht="15" hidden="false" customHeight="false" outlineLevel="0" collapsed="false">
      <c r="A477" s="5" t="str">
        <f aca="false">IF(Stock_Diario!A477="","",Stock_Diario!A477)</f>
        <v/>
      </c>
      <c r="B477" s="4" t="str">
        <f aca="false">IF($A477="","",$A477-$A476)</f>
        <v/>
      </c>
      <c r="C477" s="24" t="str">
        <f aca="false">IF($A477="","",Stock_Diario!E477)</f>
        <v/>
      </c>
      <c r="D477" s="24" t="str">
        <f aca="false">IF($A477="","",IF(SUMIFS(Recepciones!$C$5:$C$2000,Recepciones!$B$5:$B$2000,Config!$A$23,Recepciones!$A$5:$A$2000,"&gt;"&amp;$A476,Recepciones!$A$5:$A$2000,"&lt;="&amp;$A477)&gt;0,SUMIFS(Recepciones!$C$5:$C$2000,Recepciones!$B$5:$B$2000,Config!$A$23,Recepciones!$A$5:$A$2000,"&gt;"&amp;$A476,Recepciones!$A$5:$A$2000,"&lt;="&amp;$A477),MAX(0,C477-C476)))</f>
        <v/>
      </c>
      <c r="E477" s="24" t="str">
        <f aca="false">IF($A477="","",MAX(0,C476+D477-C477))</f>
        <v/>
      </c>
      <c r="F477" s="24" t="str">
        <f aca="false">IF($A477="","",Stock_Diario!F477)</f>
        <v/>
      </c>
      <c r="G477" s="24" t="str">
        <f aca="false">IF($A477="","",IF(SUMIFS(Recepciones!$C$5:$C$2000,Recepciones!$B$5:$B$2000,Config!$A$24,Recepciones!$A$5:$A$2000,"&gt;"&amp;$A476,Recepciones!$A$5:$A$2000,"&lt;="&amp;$A477)&gt;0,SUMIFS(Recepciones!$C$5:$C$2000,Recepciones!$B$5:$B$2000,Config!$A$24,Recepciones!$A$5:$A$2000,"&gt;"&amp;$A476,Recepciones!$A$5:$A$2000,"&lt;="&amp;$A477),MAX(0,F477-F476)))</f>
        <v/>
      </c>
      <c r="H477" s="24" t="str">
        <f aca="false">IF($A477="","",MAX(0,F476+G477-F477))</f>
        <v/>
      </c>
      <c r="I477" s="24" t="str">
        <f aca="false">IF($A477="","",Stock_Diario!G477)</f>
        <v/>
      </c>
      <c r="J477" s="24" t="str">
        <f aca="false">IF($A477="","",IF(SUMIFS(Recepciones!$C$5:$C$2000,Recepciones!$B$5:$B$2000,Config!$A$25,Recepciones!$A$5:$A$2000,"&gt;"&amp;$A476,Recepciones!$A$5:$A$2000,"&lt;="&amp;$A477)&gt;0,SUMIFS(Recepciones!$C$5:$C$2000,Recepciones!$B$5:$B$2000,Config!$A$25,Recepciones!$A$5:$A$2000,"&gt;"&amp;$A476,Recepciones!$A$5:$A$2000,"&lt;="&amp;$A477),MAX(0,I477-I476)))</f>
        <v/>
      </c>
      <c r="K477" s="24" t="str">
        <f aca="false">IF($A477="","",MAX(0,I476+J477-I477))</f>
        <v/>
      </c>
      <c r="L477" s="24" t="str">
        <f aca="false">IF($A477="","",E477+H477+K477)</f>
        <v/>
      </c>
      <c r="M477" s="4" t="str">
        <f aca="false">IF($A477="","",IF(AND(D477+G477+J477&gt;0,SUMIFS(Recepciones!$C$5:$C$2000,Recepciones!$A$5:$A$2000,"&gt;"&amp;$A476,Recepciones!$A$5:$A$2000,"&lt;="&amp;$A477)=0),"Aumento de stock sin recepción registrada",IF(B477&gt;1,"Intervalo de "&amp;B477&amp;" días","")))</f>
        <v/>
      </c>
    </row>
    <row r="478" customFormat="false" ht="15" hidden="false" customHeight="false" outlineLevel="0" collapsed="false">
      <c r="A478" s="5" t="str">
        <f aca="false">IF(Stock_Diario!A478="","",Stock_Diario!A478)</f>
        <v/>
      </c>
      <c r="B478" s="4" t="str">
        <f aca="false">IF($A478="","",$A478-$A477)</f>
        <v/>
      </c>
      <c r="C478" s="24" t="str">
        <f aca="false">IF($A478="","",Stock_Diario!E478)</f>
        <v/>
      </c>
      <c r="D478" s="24" t="str">
        <f aca="false">IF($A478="","",IF(SUMIFS(Recepciones!$C$5:$C$2000,Recepciones!$B$5:$B$2000,Config!$A$23,Recepciones!$A$5:$A$2000,"&gt;"&amp;$A477,Recepciones!$A$5:$A$2000,"&lt;="&amp;$A478)&gt;0,SUMIFS(Recepciones!$C$5:$C$2000,Recepciones!$B$5:$B$2000,Config!$A$23,Recepciones!$A$5:$A$2000,"&gt;"&amp;$A477,Recepciones!$A$5:$A$2000,"&lt;="&amp;$A478),MAX(0,C478-C477)))</f>
        <v/>
      </c>
      <c r="E478" s="24" t="str">
        <f aca="false">IF($A478="","",MAX(0,C477+D478-C478))</f>
        <v/>
      </c>
      <c r="F478" s="24" t="str">
        <f aca="false">IF($A478="","",Stock_Diario!F478)</f>
        <v/>
      </c>
      <c r="G478" s="24" t="str">
        <f aca="false">IF($A478="","",IF(SUMIFS(Recepciones!$C$5:$C$2000,Recepciones!$B$5:$B$2000,Config!$A$24,Recepciones!$A$5:$A$2000,"&gt;"&amp;$A477,Recepciones!$A$5:$A$2000,"&lt;="&amp;$A478)&gt;0,SUMIFS(Recepciones!$C$5:$C$2000,Recepciones!$B$5:$B$2000,Config!$A$24,Recepciones!$A$5:$A$2000,"&gt;"&amp;$A477,Recepciones!$A$5:$A$2000,"&lt;="&amp;$A478),MAX(0,F478-F477)))</f>
        <v/>
      </c>
      <c r="H478" s="24" t="str">
        <f aca="false">IF($A478="","",MAX(0,F477+G478-F478))</f>
        <v/>
      </c>
      <c r="I478" s="24" t="str">
        <f aca="false">IF($A478="","",Stock_Diario!G478)</f>
        <v/>
      </c>
      <c r="J478" s="24" t="str">
        <f aca="false">IF($A478="","",IF(SUMIFS(Recepciones!$C$5:$C$2000,Recepciones!$B$5:$B$2000,Config!$A$25,Recepciones!$A$5:$A$2000,"&gt;"&amp;$A477,Recepciones!$A$5:$A$2000,"&lt;="&amp;$A478)&gt;0,SUMIFS(Recepciones!$C$5:$C$2000,Recepciones!$B$5:$B$2000,Config!$A$25,Recepciones!$A$5:$A$2000,"&gt;"&amp;$A477,Recepciones!$A$5:$A$2000,"&lt;="&amp;$A478),MAX(0,I478-I477)))</f>
        <v/>
      </c>
      <c r="K478" s="24" t="str">
        <f aca="false">IF($A478="","",MAX(0,I477+J478-I478))</f>
        <v/>
      </c>
      <c r="L478" s="24" t="str">
        <f aca="false">IF($A478="","",E478+H478+K478)</f>
        <v/>
      </c>
      <c r="M478" s="4" t="str">
        <f aca="false">IF($A478="","",IF(AND(D478+G478+J478&gt;0,SUMIFS(Recepciones!$C$5:$C$2000,Recepciones!$A$5:$A$2000,"&gt;"&amp;$A477,Recepciones!$A$5:$A$2000,"&lt;="&amp;$A478)=0),"Aumento de stock sin recepción registrada",IF(B478&gt;1,"Intervalo de "&amp;B478&amp;" días","")))</f>
        <v/>
      </c>
    </row>
    <row r="479" customFormat="false" ht="15" hidden="false" customHeight="false" outlineLevel="0" collapsed="false">
      <c r="A479" s="5" t="str">
        <f aca="false">IF(Stock_Diario!A479="","",Stock_Diario!A479)</f>
        <v/>
      </c>
      <c r="B479" s="4" t="str">
        <f aca="false">IF($A479="","",$A479-$A478)</f>
        <v/>
      </c>
      <c r="C479" s="24" t="str">
        <f aca="false">IF($A479="","",Stock_Diario!E479)</f>
        <v/>
      </c>
      <c r="D479" s="24" t="str">
        <f aca="false">IF($A479="","",IF(SUMIFS(Recepciones!$C$5:$C$2000,Recepciones!$B$5:$B$2000,Config!$A$23,Recepciones!$A$5:$A$2000,"&gt;"&amp;$A478,Recepciones!$A$5:$A$2000,"&lt;="&amp;$A479)&gt;0,SUMIFS(Recepciones!$C$5:$C$2000,Recepciones!$B$5:$B$2000,Config!$A$23,Recepciones!$A$5:$A$2000,"&gt;"&amp;$A478,Recepciones!$A$5:$A$2000,"&lt;="&amp;$A479),MAX(0,C479-C478)))</f>
        <v/>
      </c>
      <c r="E479" s="24" t="str">
        <f aca="false">IF($A479="","",MAX(0,C478+D479-C479))</f>
        <v/>
      </c>
      <c r="F479" s="24" t="str">
        <f aca="false">IF($A479="","",Stock_Diario!F479)</f>
        <v/>
      </c>
      <c r="G479" s="24" t="str">
        <f aca="false">IF($A479="","",IF(SUMIFS(Recepciones!$C$5:$C$2000,Recepciones!$B$5:$B$2000,Config!$A$24,Recepciones!$A$5:$A$2000,"&gt;"&amp;$A478,Recepciones!$A$5:$A$2000,"&lt;="&amp;$A479)&gt;0,SUMIFS(Recepciones!$C$5:$C$2000,Recepciones!$B$5:$B$2000,Config!$A$24,Recepciones!$A$5:$A$2000,"&gt;"&amp;$A478,Recepciones!$A$5:$A$2000,"&lt;="&amp;$A479),MAX(0,F479-F478)))</f>
        <v/>
      </c>
      <c r="H479" s="24" t="str">
        <f aca="false">IF($A479="","",MAX(0,F478+G479-F479))</f>
        <v/>
      </c>
      <c r="I479" s="24" t="str">
        <f aca="false">IF($A479="","",Stock_Diario!G479)</f>
        <v/>
      </c>
      <c r="J479" s="24" t="str">
        <f aca="false">IF($A479="","",IF(SUMIFS(Recepciones!$C$5:$C$2000,Recepciones!$B$5:$B$2000,Config!$A$25,Recepciones!$A$5:$A$2000,"&gt;"&amp;$A478,Recepciones!$A$5:$A$2000,"&lt;="&amp;$A479)&gt;0,SUMIFS(Recepciones!$C$5:$C$2000,Recepciones!$B$5:$B$2000,Config!$A$25,Recepciones!$A$5:$A$2000,"&gt;"&amp;$A478,Recepciones!$A$5:$A$2000,"&lt;="&amp;$A479),MAX(0,I479-I478)))</f>
        <v/>
      </c>
      <c r="K479" s="24" t="str">
        <f aca="false">IF($A479="","",MAX(0,I478+J479-I479))</f>
        <v/>
      </c>
      <c r="L479" s="24" t="str">
        <f aca="false">IF($A479="","",E479+H479+K479)</f>
        <v/>
      </c>
      <c r="M479" s="4" t="str">
        <f aca="false">IF($A479="","",IF(AND(D479+G479+J479&gt;0,SUMIFS(Recepciones!$C$5:$C$2000,Recepciones!$A$5:$A$2000,"&gt;"&amp;$A478,Recepciones!$A$5:$A$2000,"&lt;="&amp;$A479)=0),"Aumento de stock sin recepción registrada",IF(B479&gt;1,"Intervalo de "&amp;B479&amp;" días","")))</f>
        <v/>
      </c>
    </row>
    <row r="480" customFormat="false" ht="15" hidden="false" customHeight="false" outlineLevel="0" collapsed="false">
      <c r="A480" s="5" t="str">
        <f aca="false">IF(Stock_Diario!A480="","",Stock_Diario!A480)</f>
        <v/>
      </c>
      <c r="B480" s="4" t="str">
        <f aca="false">IF($A480="","",$A480-$A479)</f>
        <v/>
      </c>
      <c r="C480" s="24" t="str">
        <f aca="false">IF($A480="","",Stock_Diario!E480)</f>
        <v/>
      </c>
      <c r="D480" s="24" t="str">
        <f aca="false">IF($A480="","",IF(SUMIFS(Recepciones!$C$5:$C$2000,Recepciones!$B$5:$B$2000,Config!$A$23,Recepciones!$A$5:$A$2000,"&gt;"&amp;$A479,Recepciones!$A$5:$A$2000,"&lt;="&amp;$A480)&gt;0,SUMIFS(Recepciones!$C$5:$C$2000,Recepciones!$B$5:$B$2000,Config!$A$23,Recepciones!$A$5:$A$2000,"&gt;"&amp;$A479,Recepciones!$A$5:$A$2000,"&lt;="&amp;$A480),MAX(0,C480-C479)))</f>
        <v/>
      </c>
      <c r="E480" s="24" t="str">
        <f aca="false">IF($A480="","",MAX(0,C479+D480-C480))</f>
        <v/>
      </c>
      <c r="F480" s="24" t="str">
        <f aca="false">IF($A480="","",Stock_Diario!F480)</f>
        <v/>
      </c>
      <c r="G480" s="24" t="str">
        <f aca="false">IF($A480="","",IF(SUMIFS(Recepciones!$C$5:$C$2000,Recepciones!$B$5:$B$2000,Config!$A$24,Recepciones!$A$5:$A$2000,"&gt;"&amp;$A479,Recepciones!$A$5:$A$2000,"&lt;="&amp;$A480)&gt;0,SUMIFS(Recepciones!$C$5:$C$2000,Recepciones!$B$5:$B$2000,Config!$A$24,Recepciones!$A$5:$A$2000,"&gt;"&amp;$A479,Recepciones!$A$5:$A$2000,"&lt;="&amp;$A480),MAX(0,F480-F479)))</f>
        <v/>
      </c>
      <c r="H480" s="24" t="str">
        <f aca="false">IF($A480="","",MAX(0,F479+G480-F480))</f>
        <v/>
      </c>
      <c r="I480" s="24" t="str">
        <f aca="false">IF($A480="","",Stock_Diario!G480)</f>
        <v/>
      </c>
      <c r="J480" s="24" t="str">
        <f aca="false">IF($A480="","",IF(SUMIFS(Recepciones!$C$5:$C$2000,Recepciones!$B$5:$B$2000,Config!$A$25,Recepciones!$A$5:$A$2000,"&gt;"&amp;$A479,Recepciones!$A$5:$A$2000,"&lt;="&amp;$A480)&gt;0,SUMIFS(Recepciones!$C$5:$C$2000,Recepciones!$B$5:$B$2000,Config!$A$25,Recepciones!$A$5:$A$2000,"&gt;"&amp;$A479,Recepciones!$A$5:$A$2000,"&lt;="&amp;$A480),MAX(0,I480-I479)))</f>
        <v/>
      </c>
      <c r="K480" s="24" t="str">
        <f aca="false">IF($A480="","",MAX(0,I479+J480-I480))</f>
        <v/>
      </c>
      <c r="L480" s="24" t="str">
        <f aca="false">IF($A480="","",E480+H480+K480)</f>
        <v/>
      </c>
      <c r="M480" s="4" t="str">
        <f aca="false">IF($A480="","",IF(AND(D480+G480+J480&gt;0,SUMIFS(Recepciones!$C$5:$C$2000,Recepciones!$A$5:$A$2000,"&gt;"&amp;$A479,Recepciones!$A$5:$A$2000,"&lt;="&amp;$A480)=0),"Aumento de stock sin recepción registrada",IF(B480&gt;1,"Intervalo de "&amp;B480&amp;" días","")))</f>
        <v/>
      </c>
    </row>
    <row r="481" customFormat="false" ht="15" hidden="false" customHeight="false" outlineLevel="0" collapsed="false">
      <c r="A481" s="5" t="str">
        <f aca="false">IF(Stock_Diario!A481="","",Stock_Diario!A481)</f>
        <v/>
      </c>
      <c r="B481" s="4" t="str">
        <f aca="false">IF($A481="","",$A481-$A480)</f>
        <v/>
      </c>
      <c r="C481" s="24" t="str">
        <f aca="false">IF($A481="","",Stock_Diario!E481)</f>
        <v/>
      </c>
      <c r="D481" s="24" t="str">
        <f aca="false">IF($A481="","",IF(SUMIFS(Recepciones!$C$5:$C$2000,Recepciones!$B$5:$B$2000,Config!$A$23,Recepciones!$A$5:$A$2000,"&gt;"&amp;$A480,Recepciones!$A$5:$A$2000,"&lt;="&amp;$A481)&gt;0,SUMIFS(Recepciones!$C$5:$C$2000,Recepciones!$B$5:$B$2000,Config!$A$23,Recepciones!$A$5:$A$2000,"&gt;"&amp;$A480,Recepciones!$A$5:$A$2000,"&lt;="&amp;$A481),MAX(0,C481-C480)))</f>
        <v/>
      </c>
      <c r="E481" s="24" t="str">
        <f aca="false">IF($A481="","",MAX(0,C480+D481-C481))</f>
        <v/>
      </c>
      <c r="F481" s="24" t="str">
        <f aca="false">IF($A481="","",Stock_Diario!F481)</f>
        <v/>
      </c>
      <c r="G481" s="24" t="str">
        <f aca="false">IF($A481="","",IF(SUMIFS(Recepciones!$C$5:$C$2000,Recepciones!$B$5:$B$2000,Config!$A$24,Recepciones!$A$5:$A$2000,"&gt;"&amp;$A480,Recepciones!$A$5:$A$2000,"&lt;="&amp;$A481)&gt;0,SUMIFS(Recepciones!$C$5:$C$2000,Recepciones!$B$5:$B$2000,Config!$A$24,Recepciones!$A$5:$A$2000,"&gt;"&amp;$A480,Recepciones!$A$5:$A$2000,"&lt;="&amp;$A481),MAX(0,F481-F480)))</f>
        <v/>
      </c>
      <c r="H481" s="24" t="str">
        <f aca="false">IF($A481="","",MAX(0,F480+G481-F481))</f>
        <v/>
      </c>
      <c r="I481" s="24" t="str">
        <f aca="false">IF($A481="","",Stock_Diario!G481)</f>
        <v/>
      </c>
      <c r="J481" s="24" t="str">
        <f aca="false">IF($A481="","",IF(SUMIFS(Recepciones!$C$5:$C$2000,Recepciones!$B$5:$B$2000,Config!$A$25,Recepciones!$A$5:$A$2000,"&gt;"&amp;$A480,Recepciones!$A$5:$A$2000,"&lt;="&amp;$A481)&gt;0,SUMIFS(Recepciones!$C$5:$C$2000,Recepciones!$B$5:$B$2000,Config!$A$25,Recepciones!$A$5:$A$2000,"&gt;"&amp;$A480,Recepciones!$A$5:$A$2000,"&lt;="&amp;$A481),MAX(0,I481-I480)))</f>
        <v/>
      </c>
      <c r="K481" s="24" t="str">
        <f aca="false">IF($A481="","",MAX(0,I480+J481-I481))</f>
        <v/>
      </c>
      <c r="L481" s="24" t="str">
        <f aca="false">IF($A481="","",E481+H481+K481)</f>
        <v/>
      </c>
      <c r="M481" s="4" t="str">
        <f aca="false">IF($A481="","",IF(AND(D481+G481+J481&gt;0,SUMIFS(Recepciones!$C$5:$C$2000,Recepciones!$A$5:$A$2000,"&gt;"&amp;$A480,Recepciones!$A$5:$A$2000,"&lt;="&amp;$A481)=0),"Aumento de stock sin recepción registrada",IF(B481&gt;1,"Intervalo de "&amp;B481&amp;" días","")))</f>
        <v/>
      </c>
    </row>
    <row r="482" customFormat="false" ht="15" hidden="false" customHeight="false" outlineLevel="0" collapsed="false">
      <c r="A482" s="5" t="str">
        <f aca="false">IF(Stock_Diario!A482="","",Stock_Diario!A482)</f>
        <v/>
      </c>
      <c r="B482" s="4" t="str">
        <f aca="false">IF($A482="","",$A482-$A481)</f>
        <v/>
      </c>
      <c r="C482" s="24" t="str">
        <f aca="false">IF($A482="","",Stock_Diario!E482)</f>
        <v/>
      </c>
      <c r="D482" s="24" t="str">
        <f aca="false">IF($A482="","",IF(SUMIFS(Recepciones!$C$5:$C$2000,Recepciones!$B$5:$B$2000,Config!$A$23,Recepciones!$A$5:$A$2000,"&gt;"&amp;$A481,Recepciones!$A$5:$A$2000,"&lt;="&amp;$A482)&gt;0,SUMIFS(Recepciones!$C$5:$C$2000,Recepciones!$B$5:$B$2000,Config!$A$23,Recepciones!$A$5:$A$2000,"&gt;"&amp;$A481,Recepciones!$A$5:$A$2000,"&lt;="&amp;$A482),MAX(0,C482-C481)))</f>
        <v/>
      </c>
      <c r="E482" s="24" t="str">
        <f aca="false">IF($A482="","",MAX(0,C481+D482-C482))</f>
        <v/>
      </c>
      <c r="F482" s="24" t="str">
        <f aca="false">IF($A482="","",Stock_Diario!F482)</f>
        <v/>
      </c>
      <c r="G482" s="24" t="str">
        <f aca="false">IF($A482="","",IF(SUMIFS(Recepciones!$C$5:$C$2000,Recepciones!$B$5:$B$2000,Config!$A$24,Recepciones!$A$5:$A$2000,"&gt;"&amp;$A481,Recepciones!$A$5:$A$2000,"&lt;="&amp;$A482)&gt;0,SUMIFS(Recepciones!$C$5:$C$2000,Recepciones!$B$5:$B$2000,Config!$A$24,Recepciones!$A$5:$A$2000,"&gt;"&amp;$A481,Recepciones!$A$5:$A$2000,"&lt;="&amp;$A482),MAX(0,F482-F481)))</f>
        <v/>
      </c>
      <c r="H482" s="24" t="str">
        <f aca="false">IF($A482="","",MAX(0,F481+G482-F482))</f>
        <v/>
      </c>
      <c r="I482" s="24" t="str">
        <f aca="false">IF($A482="","",Stock_Diario!G482)</f>
        <v/>
      </c>
      <c r="J482" s="24" t="str">
        <f aca="false">IF($A482="","",IF(SUMIFS(Recepciones!$C$5:$C$2000,Recepciones!$B$5:$B$2000,Config!$A$25,Recepciones!$A$5:$A$2000,"&gt;"&amp;$A481,Recepciones!$A$5:$A$2000,"&lt;="&amp;$A482)&gt;0,SUMIFS(Recepciones!$C$5:$C$2000,Recepciones!$B$5:$B$2000,Config!$A$25,Recepciones!$A$5:$A$2000,"&gt;"&amp;$A481,Recepciones!$A$5:$A$2000,"&lt;="&amp;$A482),MAX(0,I482-I481)))</f>
        <v/>
      </c>
      <c r="K482" s="24" t="str">
        <f aca="false">IF($A482="","",MAX(0,I481+J482-I482))</f>
        <v/>
      </c>
      <c r="L482" s="24" t="str">
        <f aca="false">IF($A482="","",E482+H482+K482)</f>
        <v/>
      </c>
      <c r="M482" s="4" t="str">
        <f aca="false">IF($A482="","",IF(AND(D482+G482+J482&gt;0,SUMIFS(Recepciones!$C$5:$C$2000,Recepciones!$A$5:$A$2000,"&gt;"&amp;$A481,Recepciones!$A$5:$A$2000,"&lt;="&amp;$A482)=0),"Aumento de stock sin recepción registrada",IF(B482&gt;1,"Intervalo de "&amp;B482&amp;" días","")))</f>
        <v/>
      </c>
    </row>
    <row r="483" customFormat="false" ht="15" hidden="false" customHeight="false" outlineLevel="0" collapsed="false">
      <c r="A483" s="5" t="str">
        <f aca="false">IF(Stock_Diario!A483="","",Stock_Diario!A483)</f>
        <v/>
      </c>
      <c r="B483" s="4" t="str">
        <f aca="false">IF($A483="","",$A483-$A482)</f>
        <v/>
      </c>
      <c r="C483" s="24" t="str">
        <f aca="false">IF($A483="","",Stock_Diario!E483)</f>
        <v/>
      </c>
      <c r="D483" s="24" t="str">
        <f aca="false">IF($A483="","",IF(SUMIFS(Recepciones!$C$5:$C$2000,Recepciones!$B$5:$B$2000,Config!$A$23,Recepciones!$A$5:$A$2000,"&gt;"&amp;$A482,Recepciones!$A$5:$A$2000,"&lt;="&amp;$A483)&gt;0,SUMIFS(Recepciones!$C$5:$C$2000,Recepciones!$B$5:$B$2000,Config!$A$23,Recepciones!$A$5:$A$2000,"&gt;"&amp;$A482,Recepciones!$A$5:$A$2000,"&lt;="&amp;$A483),MAX(0,C483-C482)))</f>
        <v/>
      </c>
      <c r="E483" s="24" t="str">
        <f aca="false">IF($A483="","",MAX(0,C482+D483-C483))</f>
        <v/>
      </c>
      <c r="F483" s="24" t="str">
        <f aca="false">IF($A483="","",Stock_Diario!F483)</f>
        <v/>
      </c>
      <c r="G483" s="24" t="str">
        <f aca="false">IF($A483="","",IF(SUMIFS(Recepciones!$C$5:$C$2000,Recepciones!$B$5:$B$2000,Config!$A$24,Recepciones!$A$5:$A$2000,"&gt;"&amp;$A482,Recepciones!$A$5:$A$2000,"&lt;="&amp;$A483)&gt;0,SUMIFS(Recepciones!$C$5:$C$2000,Recepciones!$B$5:$B$2000,Config!$A$24,Recepciones!$A$5:$A$2000,"&gt;"&amp;$A482,Recepciones!$A$5:$A$2000,"&lt;="&amp;$A483),MAX(0,F483-F482)))</f>
        <v/>
      </c>
      <c r="H483" s="24" t="str">
        <f aca="false">IF($A483="","",MAX(0,F482+G483-F483))</f>
        <v/>
      </c>
      <c r="I483" s="24" t="str">
        <f aca="false">IF($A483="","",Stock_Diario!G483)</f>
        <v/>
      </c>
      <c r="J483" s="24" t="str">
        <f aca="false">IF($A483="","",IF(SUMIFS(Recepciones!$C$5:$C$2000,Recepciones!$B$5:$B$2000,Config!$A$25,Recepciones!$A$5:$A$2000,"&gt;"&amp;$A482,Recepciones!$A$5:$A$2000,"&lt;="&amp;$A483)&gt;0,SUMIFS(Recepciones!$C$5:$C$2000,Recepciones!$B$5:$B$2000,Config!$A$25,Recepciones!$A$5:$A$2000,"&gt;"&amp;$A482,Recepciones!$A$5:$A$2000,"&lt;="&amp;$A483),MAX(0,I483-I482)))</f>
        <v/>
      </c>
      <c r="K483" s="24" t="str">
        <f aca="false">IF($A483="","",MAX(0,I482+J483-I483))</f>
        <v/>
      </c>
      <c r="L483" s="24" t="str">
        <f aca="false">IF($A483="","",E483+H483+K483)</f>
        <v/>
      </c>
      <c r="M483" s="4" t="str">
        <f aca="false">IF($A483="","",IF(AND(D483+G483+J483&gt;0,SUMIFS(Recepciones!$C$5:$C$2000,Recepciones!$A$5:$A$2000,"&gt;"&amp;$A482,Recepciones!$A$5:$A$2000,"&lt;="&amp;$A483)=0),"Aumento de stock sin recepción registrada",IF(B483&gt;1,"Intervalo de "&amp;B483&amp;" días","")))</f>
        <v/>
      </c>
    </row>
    <row r="484" customFormat="false" ht="15" hidden="false" customHeight="false" outlineLevel="0" collapsed="false">
      <c r="A484" s="5" t="str">
        <f aca="false">IF(Stock_Diario!A484="","",Stock_Diario!A484)</f>
        <v/>
      </c>
      <c r="B484" s="4" t="str">
        <f aca="false">IF($A484="","",$A484-$A483)</f>
        <v/>
      </c>
      <c r="C484" s="24" t="str">
        <f aca="false">IF($A484="","",Stock_Diario!E484)</f>
        <v/>
      </c>
      <c r="D484" s="24" t="str">
        <f aca="false">IF($A484="","",IF(SUMIFS(Recepciones!$C$5:$C$2000,Recepciones!$B$5:$B$2000,Config!$A$23,Recepciones!$A$5:$A$2000,"&gt;"&amp;$A483,Recepciones!$A$5:$A$2000,"&lt;="&amp;$A484)&gt;0,SUMIFS(Recepciones!$C$5:$C$2000,Recepciones!$B$5:$B$2000,Config!$A$23,Recepciones!$A$5:$A$2000,"&gt;"&amp;$A483,Recepciones!$A$5:$A$2000,"&lt;="&amp;$A484),MAX(0,C484-C483)))</f>
        <v/>
      </c>
      <c r="E484" s="24" t="str">
        <f aca="false">IF($A484="","",MAX(0,C483+D484-C484))</f>
        <v/>
      </c>
      <c r="F484" s="24" t="str">
        <f aca="false">IF($A484="","",Stock_Diario!F484)</f>
        <v/>
      </c>
      <c r="G484" s="24" t="str">
        <f aca="false">IF($A484="","",IF(SUMIFS(Recepciones!$C$5:$C$2000,Recepciones!$B$5:$B$2000,Config!$A$24,Recepciones!$A$5:$A$2000,"&gt;"&amp;$A483,Recepciones!$A$5:$A$2000,"&lt;="&amp;$A484)&gt;0,SUMIFS(Recepciones!$C$5:$C$2000,Recepciones!$B$5:$B$2000,Config!$A$24,Recepciones!$A$5:$A$2000,"&gt;"&amp;$A483,Recepciones!$A$5:$A$2000,"&lt;="&amp;$A484),MAX(0,F484-F483)))</f>
        <v/>
      </c>
      <c r="H484" s="24" t="str">
        <f aca="false">IF($A484="","",MAX(0,F483+G484-F484))</f>
        <v/>
      </c>
      <c r="I484" s="24" t="str">
        <f aca="false">IF($A484="","",Stock_Diario!G484)</f>
        <v/>
      </c>
      <c r="J484" s="24" t="str">
        <f aca="false">IF($A484="","",IF(SUMIFS(Recepciones!$C$5:$C$2000,Recepciones!$B$5:$B$2000,Config!$A$25,Recepciones!$A$5:$A$2000,"&gt;"&amp;$A483,Recepciones!$A$5:$A$2000,"&lt;="&amp;$A484)&gt;0,SUMIFS(Recepciones!$C$5:$C$2000,Recepciones!$B$5:$B$2000,Config!$A$25,Recepciones!$A$5:$A$2000,"&gt;"&amp;$A483,Recepciones!$A$5:$A$2000,"&lt;="&amp;$A484),MAX(0,I484-I483)))</f>
        <v/>
      </c>
      <c r="K484" s="24" t="str">
        <f aca="false">IF($A484="","",MAX(0,I483+J484-I484))</f>
        <v/>
      </c>
      <c r="L484" s="24" t="str">
        <f aca="false">IF($A484="","",E484+H484+K484)</f>
        <v/>
      </c>
      <c r="M484" s="4" t="str">
        <f aca="false">IF($A484="","",IF(AND(D484+G484+J484&gt;0,SUMIFS(Recepciones!$C$5:$C$2000,Recepciones!$A$5:$A$2000,"&gt;"&amp;$A483,Recepciones!$A$5:$A$2000,"&lt;="&amp;$A484)=0),"Aumento de stock sin recepción registrada",IF(B484&gt;1,"Intervalo de "&amp;B484&amp;" días","")))</f>
        <v/>
      </c>
    </row>
    <row r="485" customFormat="false" ht="15" hidden="false" customHeight="false" outlineLevel="0" collapsed="false">
      <c r="A485" s="5" t="str">
        <f aca="false">IF(Stock_Diario!A485="","",Stock_Diario!A485)</f>
        <v/>
      </c>
      <c r="B485" s="4" t="str">
        <f aca="false">IF($A485="","",$A485-$A484)</f>
        <v/>
      </c>
      <c r="C485" s="24" t="str">
        <f aca="false">IF($A485="","",Stock_Diario!E485)</f>
        <v/>
      </c>
      <c r="D485" s="24" t="str">
        <f aca="false">IF($A485="","",IF(SUMIFS(Recepciones!$C$5:$C$2000,Recepciones!$B$5:$B$2000,Config!$A$23,Recepciones!$A$5:$A$2000,"&gt;"&amp;$A484,Recepciones!$A$5:$A$2000,"&lt;="&amp;$A485)&gt;0,SUMIFS(Recepciones!$C$5:$C$2000,Recepciones!$B$5:$B$2000,Config!$A$23,Recepciones!$A$5:$A$2000,"&gt;"&amp;$A484,Recepciones!$A$5:$A$2000,"&lt;="&amp;$A485),MAX(0,C485-C484)))</f>
        <v/>
      </c>
      <c r="E485" s="24" t="str">
        <f aca="false">IF($A485="","",MAX(0,C484+D485-C485))</f>
        <v/>
      </c>
      <c r="F485" s="24" t="str">
        <f aca="false">IF($A485="","",Stock_Diario!F485)</f>
        <v/>
      </c>
      <c r="G485" s="24" t="str">
        <f aca="false">IF($A485="","",IF(SUMIFS(Recepciones!$C$5:$C$2000,Recepciones!$B$5:$B$2000,Config!$A$24,Recepciones!$A$5:$A$2000,"&gt;"&amp;$A484,Recepciones!$A$5:$A$2000,"&lt;="&amp;$A485)&gt;0,SUMIFS(Recepciones!$C$5:$C$2000,Recepciones!$B$5:$B$2000,Config!$A$24,Recepciones!$A$5:$A$2000,"&gt;"&amp;$A484,Recepciones!$A$5:$A$2000,"&lt;="&amp;$A485),MAX(0,F485-F484)))</f>
        <v/>
      </c>
      <c r="H485" s="24" t="str">
        <f aca="false">IF($A485="","",MAX(0,F484+G485-F485))</f>
        <v/>
      </c>
      <c r="I485" s="24" t="str">
        <f aca="false">IF($A485="","",Stock_Diario!G485)</f>
        <v/>
      </c>
      <c r="J485" s="24" t="str">
        <f aca="false">IF($A485="","",IF(SUMIFS(Recepciones!$C$5:$C$2000,Recepciones!$B$5:$B$2000,Config!$A$25,Recepciones!$A$5:$A$2000,"&gt;"&amp;$A484,Recepciones!$A$5:$A$2000,"&lt;="&amp;$A485)&gt;0,SUMIFS(Recepciones!$C$5:$C$2000,Recepciones!$B$5:$B$2000,Config!$A$25,Recepciones!$A$5:$A$2000,"&gt;"&amp;$A484,Recepciones!$A$5:$A$2000,"&lt;="&amp;$A485),MAX(0,I485-I484)))</f>
        <v/>
      </c>
      <c r="K485" s="24" t="str">
        <f aca="false">IF($A485="","",MAX(0,I484+J485-I485))</f>
        <v/>
      </c>
      <c r="L485" s="24" t="str">
        <f aca="false">IF($A485="","",E485+H485+K485)</f>
        <v/>
      </c>
      <c r="M485" s="4" t="str">
        <f aca="false">IF($A485="","",IF(AND(D485+G485+J485&gt;0,SUMIFS(Recepciones!$C$5:$C$2000,Recepciones!$A$5:$A$2000,"&gt;"&amp;$A484,Recepciones!$A$5:$A$2000,"&lt;="&amp;$A485)=0),"Aumento de stock sin recepción registrada",IF(B485&gt;1,"Intervalo de "&amp;B485&amp;" días","")))</f>
        <v/>
      </c>
    </row>
    <row r="486" customFormat="false" ht="15" hidden="false" customHeight="false" outlineLevel="0" collapsed="false">
      <c r="A486" s="5" t="str">
        <f aca="false">IF(Stock_Diario!A486="","",Stock_Diario!A486)</f>
        <v/>
      </c>
      <c r="B486" s="4" t="str">
        <f aca="false">IF($A486="","",$A486-$A485)</f>
        <v/>
      </c>
      <c r="C486" s="24" t="str">
        <f aca="false">IF($A486="","",Stock_Diario!E486)</f>
        <v/>
      </c>
      <c r="D486" s="24" t="str">
        <f aca="false">IF($A486="","",IF(SUMIFS(Recepciones!$C$5:$C$2000,Recepciones!$B$5:$B$2000,Config!$A$23,Recepciones!$A$5:$A$2000,"&gt;"&amp;$A485,Recepciones!$A$5:$A$2000,"&lt;="&amp;$A486)&gt;0,SUMIFS(Recepciones!$C$5:$C$2000,Recepciones!$B$5:$B$2000,Config!$A$23,Recepciones!$A$5:$A$2000,"&gt;"&amp;$A485,Recepciones!$A$5:$A$2000,"&lt;="&amp;$A486),MAX(0,C486-C485)))</f>
        <v/>
      </c>
      <c r="E486" s="24" t="str">
        <f aca="false">IF($A486="","",MAX(0,C485+D486-C486))</f>
        <v/>
      </c>
      <c r="F486" s="24" t="str">
        <f aca="false">IF($A486="","",Stock_Diario!F486)</f>
        <v/>
      </c>
      <c r="G486" s="24" t="str">
        <f aca="false">IF($A486="","",IF(SUMIFS(Recepciones!$C$5:$C$2000,Recepciones!$B$5:$B$2000,Config!$A$24,Recepciones!$A$5:$A$2000,"&gt;"&amp;$A485,Recepciones!$A$5:$A$2000,"&lt;="&amp;$A486)&gt;0,SUMIFS(Recepciones!$C$5:$C$2000,Recepciones!$B$5:$B$2000,Config!$A$24,Recepciones!$A$5:$A$2000,"&gt;"&amp;$A485,Recepciones!$A$5:$A$2000,"&lt;="&amp;$A486),MAX(0,F486-F485)))</f>
        <v/>
      </c>
      <c r="H486" s="24" t="str">
        <f aca="false">IF($A486="","",MAX(0,F485+G486-F486))</f>
        <v/>
      </c>
      <c r="I486" s="24" t="str">
        <f aca="false">IF($A486="","",Stock_Diario!G486)</f>
        <v/>
      </c>
      <c r="J486" s="24" t="str">
        <f aca="false">IF($A486="","",IF(SUMIFS(Recepciones!$C$5:$C$2000,Recepciones!$B$5:$B$2000,Config!$A$25,Recepciones!$A$5:$A$2000,"&gt;"&amp;$A485,Recepciones!$A$5:$A$2000,"&lt;="&amp;$A486)&gt;0,SUMIFS(Recepciones!$C$5:$C$2000,Recepciones!$B$5:$B$2000,Config!$A$25,Recepciones!$A$5:$A$2000,"&gt;"&amp;$A485,Recepciones!$A$5:$A$2000,"&lt;="&amp;$A486),MAX(0,I486-I485)))</f>
        <v/>
      </c>
      <c r="K486" s="24" t="str">
        <f aca="false">IF($A486="","",MAX(0,I485+J486-I486))</f>
        <v/>
      </c>
      <c r="L486" s="24" t="str">
        <f aca="false">IF($A486="","",E486+H486+K486)</f>
        <v/>
      </c>
      <c r="M486" s="4" t="str">
        <f aca="false">IF($A486="","",IF(AND(D486+G486+J486&gt;0,SUMIFS(Recepciones!$C$5:$C$2000,Recepciones!$A$5:$A$2000,"&gt;"&amp;$A485,Recepciones!$A$5:$A$2000,"&lt;="&amp;$A486)=0),"Aumento de stock sin recepción registrada",IF(B486&gt;1,"Intervalo de "&amp;B486&amp;" días","")))</f>
        <v/>
      </c>
    </row>
    <row r="487" customFormat="false" ht="15" hidden="false" customHeight="false" outlineLevel="0" collapsed="false">
      <c r="A487" s="5" t="str">
        <f aca="false">IF(Stock_Diario!A487="","",Stock_Diario!A487)</f>
        <v/>
      </c>
      <c r="B487" s="4" t="str">
        <f aca="false">IF($A487="","",$A487-$A486)</f>
        <v/>
      </c>
      <c r="C487" s="24" t="str">
        <f aca="false">IF($A487="","",Stock_Diario!E487)</f>
        <v/>
      </c>
      <c r="D487" s="24" t="str">
        <f aca="false">IF($A487="","",IF(SUMIFS(Recepciones!$C$5:$C$2000,Recepciones!$B$5:$B$2000,Config!$A$23,Recepciones!$A$5:$A$2000,"&gt;"&amp;$A486,Recepciones!$A$5:$A$2000,"&lt;="&amp;$A487)&gt;0,SUMIFS(Recepciones!$C$5:$C$2000,Recepciones!$B$5:$B$2000,Config!$A$23,Recepciones!$A$5:$A$2000,"&gt;"&amp;$A486,Recepciones!$A$5:$A$2000,"&lt;="&amp;$A487),MAX(0,C487-C486)))</f>
        <v/>
      </c>
      <c r="E487" s="24" t="str">
        <f aca="false">IF($A487="","",MAX(0,C486+D487-C487))</f>
        <v/>
      </c>
      <c r="F487" s="24" t="str">
        <f aca="false">IF($A487="","",Stock_Diario!F487)</f>
        <v/>
      </c>
      <c r="G487" s="24" t="str">
        <f aca="false">IF($A487="","",IF(SUMIFS(Recepciones!$C$5:$C$2000,Recepciones!$B$5:$B$2000,Config!$A$24,Recepciones!$A$5:$A$2000,"&gt;"&amp;$A486,Recepciones!$A$5:$A$2000,"&lt;="&amp;$A487)&gt;0,SUMIFS(Recepciones!$C$5:$C$2000,Recepciones!$B$5:$B$2000,Config!$A$24,Recepciones!$A$5:$A$2000,"&gt;"&amp;$A486,Recepciones!$A$5:$A$2000,"&lt;="&amp;$A487),MAX(0,F487-F486)))</f>
        <v/>
      </c>
      <c r="H487" s="24" t="str">
        <f aca="false">IF($A487="","",MAX(0,F486+G487-F487))</f>
        <v/>
      </c>
      <c r="I487" s="24" t="str">
        <f aca="false">IF($A487="","",Stock_Diario!G487)</f>
        <v/>
      </c>
      <c r="J487" s="24" t="str">
        <f aca="false">IF($A487="","",IF(SUMIFS(Recepciones!$C$5:$C$2000,Recepciones!$B$5:$B$2000,Config!$A$25,Recepciones!$A$5:$A$2000,"&gt;"&amp;$A486,Recepciones!$A$5:$A$2000,"&lt;="&amp;$A487)&gt;0,SUMIFS(Recepciones!$C$5:$C$2000,Recepciones!$B$5:$B$2000,Config!$A$25,Recepciones!$A$5:$A$2000,"&gt;"&amp;$A486,Recepciones!$A$5:$A$2000,"&lt;="&amp;$A487),MAX(0,I487-I486)))</f>
        <v/>
      </c>
      <c r="K487" s="24" t="str">
        <f aca="false">IF($A487="","",MAX(0,I486+J487-I487))</f>
        <v/>
      </c>
      <c r="L487" s="24" t="str">
        <f aca="false">IF($A487="","",E487+H487+K487)</f>
        <v/>
      </c>
      <c r="M487" s="4" t="str">
        <f aca="false">IF($A487="","",IF(AND(D487+G487+J487&gt;0,SUMIFS(Recepciones!$C$5:$C$2000,Recepciones!$A$5:$A$2000,"&gt;"&amp;$A486,Recepciones!$A$5:$A$2000,"&lt;="&amp;$A487)=0),"Aumento de stock sin recepción registrada",IF(B487&gt;1,"Intervalo de "&amp;B487&amp;" días","")))</f>
        <v/>
      </c>
    </row>
    <row r="488" customFormat="false" ht="15" hidden="false" customHeight="false" outlineLevel="0" collapsed="false">
      <c r="A488" s="5" t="str">
        <f aca="false">IF(Stock_Diario!A488="","",Stock_Diario!A488)</f>
        <v/>
      </c>
      <c r="B488" s="4" t="str">
        <f aca="false">IF($A488="","",$A488-$A487)</f>
        <v/>
      </c>
      <c r="C488" s="24" t="str">
        <f aca="false">IF($A488="","",Stock_Diario!E488)</f>
        <v/>
      </c>
      <c r="D488" s="24" t="str">
        <f aca="false">IF($A488="","",IF(SUMIFS(Recepciones!$C$5:$C$2000,Recepciones!$B$5:$B$2000,Config!$A$23,Recepciones!$A$5:$A$2000,"&gt;"&amp;$A487,Recepciones!$A$5:$A$2000,"&lt;="&amp;$A488)&gt;0,SUMIFS(Recepciones!$C$5:$C$2000,Recepciones!$B$5:$B$2000,Config!$A$23,Recepciones!$A$5:$A$2000,"&gt;"&amp;$A487,Recepciones!$A$5:$A$2000,"&lt;="&amp;$A488),MAX(0,C488-C487)))</f>
        <v/>
      </c>
      <c r="E488" s="24" t="str">
        <f aca="false">IF($A488="","",MAX(0,C487+D488-C488))</f>
        <v/>
      </c>
      <c r="F488" s="24" t="str">
        <f aca="false">IF($A488="","",Stock_Diario!F488)</f>
        <v/>
      </c>
      <c r="G488" s="24" t="str">
        <f aca="false">IF($A488="","",IF(SUMIFS(Recepciones!$C$5:$C$2000,Recepciones!$B$5:$B$2000,Config!$A$24,Recepciones!$A$5:$A$2000,"&gt;"&amp;$A487,Recepciones!$A$5:$A$2000,"&lt;="&amp;$A488)&gt;0,SUMIFS(Recepciones!$C$5:$C$2000,Recepciones!$B$5:$B$2000,Config!$A$24,Recepciones!$A$5:$A$2000,"&gt;"&amp;$A487,Recepciones!$A$5:$A$2000,"&lt;="&amp;$A488),MAX(0,F488-F487)))</f>
        <v/>
      </c>
      <c r="H488" s="24" t="str">
        <f aca="false">IF($A488="","",MAX(0,F487+G488-F488))</f>
        <v/>
      </c>
      <c r="I488" s="24" t="str">
        <f aca="false">IF($A488="","",Stock_Diario!G488)</f>
        <v/>
      </c>
      <c r="J488" s="24" t="str">
        <f aca="false">IF($A488="","",IF(SUMIFS(Recepciones!$C$5:$C$2000,Recepciones!$B$5:$B$2000,Config!$A$25,Recepciones!$A$5:$A$2000,"&gt;"&amp;$A487,Recepciones!$A$5:$A$2000,"&lt;="&amp;$A488)&gt;0,SUMIFS(Recepciones!$C$5:$C$2000,Recepciones!$B$5:$B$2000,Config!$A$25,Recepciones!$A$5:$A$2000,"&gt;"&amp;$A487,Recepciones!$A$5:$A$2000,"&lt;="&amp;$A488),MAX(0,I488-I487)))</f>
        <v/>
      </c>
      <c r="K488" s="24" t="str">
        <f aca="false">IF($A488="","",MAX(0,I487+J488-I488))</f>
        <v/>
      </c>
      <c r="L488" s="24" t="str">
        <f aca="false">IF($A488="","",E488+H488+K488)</f>
        <v/>
      </c>
      <c r="M488" s="4" t="str">
        <f aca="false">IF($A488="","",IF(AND(D488+G488+J488&gt;0,SUMIFS(Recepciones!$C$5:$C$2000,Recepciones!$A$5:$A$2000,"&gt;"&amp;$A487,Recepciones!$A$5:$A$2000,"&lt;="&amp;$A488)=0),"Aumento de stock sin recepción registrada",IF(B488&gt;1,"Intervalo de "&amp;B488&amp;" días","")))</f>
        <v/>
      </c>
    </row>
    <row r="489" customFormat="false" ht="15" hidden="false" customHeight="false" outlineLevel="0" collapsed="false">
      <c r="A489" s="5" t="str">
        <f aca="false">IF(Stock_Diario!A489="","",Stock_Diario!A489)</f>
        <v/>
      </c>
      <c r="B489" s="4" t="str">
        <f aca="false">IF($A489="","",$A489-$A488)</f>
        <v/>
      </c>
      <c r="C489" s="24" t="str">
        <f aca="false">IF($A489="","",Stock_Diario!E489)</f>
        <v/>
      </c>
      <c r="D489" s="24" t="str">
        <f aca="false">IF($A489="","",IF(SUMIFS(Recepciones!$C$5:$C$2000,Recepciones!$B$5:$B$2000,Config!$A$23,Recepciones!$A$5:$A$2000,"&gt;"&amp;$A488,Recepciones!$A$5:$A$2000,"&lt;="&amp;$A489)&gt;0,SUMIFS(Recepciones!$C$5:$C$2000,Recepciones!$B$5:$B$2000,Config!$A$23,Recepciones!$A$5:$A$2000,"&gt;"&amp;$A488,Recepciones!$A$5:$A$2000,"&lt;="&amp;$A489),MAX(0,C489-C488)))</f>
        <v/>
      </c>
      <c r="E489" s="24" t="str">
        <f aca="false">IF($A489="","",MAX(0,C488+D489-C489))</f>
        <v/>
      </c>
      <c r="F489" s="24" t="str">
        <f aca="false">IF($A489="","",Stock_Diario!F489)</f>
        <v/>
      </c>
      <c r="G489" s="24" t="str">
        <f aca="false">IF($A489="","",IF(SUMIFS(Recepciones!$C$5:$C$2000,Recepciones!$B$5:$B$2000,Config!$A$24,Recepciones!$A$5:$A$2000,"&gt;"&amp;$A488,Recepciones!$A$5:$A$2000,"&lt;="&amp;$A489)&gt;0,SUMIFS(Recepciones!$C$5:$C$2000,Recepciones!$B$5:$B$2000,Config!$A$24,Recepciones!$A$5:$A$2000,"&gt;"&amp;$A488,Recepciones!$A$5:$A$2000,"&lt;="&amp;$A489),MAX(0,F489-F488)))</f>
        <v/>
      </c>
      <c r="H489" s="24" t="str">
        <f aca="false">IF($A489="","",MAX(0,F488+G489-F489))</f>
        <v/>
      </c>
      <c r="I489" s="24" t="str">
        <f aca="false">IF($A489="","",Stock_Diario!G489)</f>
        <v/>
      </c>
      <c r="J489" s="24" t="str">
        <f aca="false">IF($A489="","",IF(SUMIFS(Recepciones!$C$5:$C$2000,Recepciones!$B$5:$B$2000,Config!$A$25,Recepciones!$A$5:$A$2000,"&gt;"&amp;$A488,Recepciones!$A$5:$A$2000,"&lt;="&amp;$A489)&gt;0,SUMIFS(Recepciones!$C$5:$C$2000,Recepciones!$B$5:$B$2000,Config!$A$25,Recepciones!$A$5:$A$2000,"&gt;"&amp;$A488,Recepciones!$A$5:$A$2000,"&lt;="&amp;$A489),MAX(0,I489-I488)))</f>
        <v/>
      </c>
      <c r="K489" s="24" t="str">
        <f aca="false">IF($A489="","",MAX(0,I488+J489-I489))</f>
        <v/>
      </c>
      <c r="L489" s="24" t="str">
        <f aca="false">IF($A489="","",E489+H489+K489)</f>
        <v/>
      </c>
      <c r="M489" s="4" t="str">
        <f aca="false">IF($A489="","",IF(AND(D489+G489+J489&gt;0,SUMIFS(Recepciones!$C$5:$C$2000,Recepciones!$A$5:$A$2000,"&gt;"&amp;$A488,Recepciones!$A$5:$A$2000,"&lt;="&amp;$A489)=0),"Aumento de stock sin recepción registrada",IF(B489&gt;1,"Intervalo de "&amp;B489&amp;" días","")))</f>
        <v/>
      </c>
    </row>
    <row r="490" customFormat="false" ht="15" hidden="false" customHeight="false" outlineLevel="0" collapsed="false">
      <c r="A490" s="5" t="str">
        <f aca="false">IF(Stock_Diario!A490="","",Stock_Diario!A490)</f>
        <v/>
      </c>
      <c r="B490" s="4" t="str">
        <f aca="false">IF($A490="","",$A490-$A489)</f>
        <v/>
      </c>
      <c r="C490" s="24" t="str">
        <f aca="false">IF($A490="","",Stock_Diario!E490)</f>
        <v/>
      </c>
      <c r="D490" s="24" t="str">
        <f aca="false">IF($A490="","",IF(SUMIFS(Recepciones!$C$5:$C$2000,Recepciones!$B$5:$B$2000,Config!$A$23,Recepciones!$A$5:$A$2000,"&gt;"&amp;$A489,Recepciones!$A$5:$A$2000,"&lt;="&amp;$A490)&gt;0,SUMIFS(Recepciones!$C$5:$C$2000,Recepciones!$B$5:$B$2000,Config!$A$23,Recepciones!$A$5:$A$2000,"&gt;"&amp;$A489,Recepciones!$A$5:$A$2000,"&lt;="&amp;$A490),MAX(0,C490-C489)))</f>
        <v/>
      </c>
      <c r="E490" s="24" t="str">
        <f aca="false">IF($A490="","",MAX(0,C489+D490-C490))</f>
        <v/>
      </c>
      <c r="F490" s="24" t="str">
        <f aca="false">IF($A490="","",Stock_Diario!F490)</f>
        <v/>
      </c>
      <c r="G490" s="24" t="str">
        <f aca="false">IF($A490="","",IF(SUMIFS(Recepciones!$C$5:$C$2000,Recepciones!$B$5:$B$2000,Config!$A$24,Recepciones!$A$5:$A$2000,"&gt;"&amp;$A489,Recepciones!$A$5:$A$2000,"&lt;="&amp;$A490)&gt;0,SUMIFS(Recepciones!$C$5:$C$2000,Recepciones!$B$5:$B$2000,Config!$A$24,Recepciones!$A$5:$A$2000,"&gt;"&amp;$A489,Recepciones!$A$5:$A$2000,"&lt;="&amp;$A490),MAX(0,F490-F489)))</f>
        <v/>
      </c>
      <c r="H490" s="24" t="str">
        <f aca="false">IF($A490="","",MAX(0,F489+G490-F490))</f>
        <v/>
      </c>
      <c r="I490" s="24" t="str">
        <f aca="false">IF($A490="","",Stock_Diario!G490)</f>
        <v/>
      </c>
      <c r="J490" s="24" t="str">
        <f aca="false">IF($A490="","",IF(SUMIFS(Recepciones!$C$5:$C$2000,Recepciones!$B$5:$B$2000,Config!$A$25,Recepciones!$A$5:$A$2000,"&gt;"&amp;$A489,Recepciones!$A$5:$A$2000,"&lt;="&amp;$A490)&gt;0,SUMIFS(Recepciones!$C$5:$C$2000,Recepciones!$B$5:$B$2000,Config!$A$25,Recepciones!$A$5:$A$2000,"&gt;"&amp;$A489,Recepciones!$A$5:$A$2000,"&lt;="&amp;$A490),MAX(0,I490-I489)))</f>
        <v/>
      </c>
      <c r="K490" s="24" t="str">
        <f aca="false">IF($A490="","",MAX(0,I489+J490-I490))</f>
        <v/>
      </c>
      <c r="L490" s="24" t="str">
        <f aca="false">IF($A490="","",E490+H490+K490)</f>
        <v/>
      </c>
      <c r="M490" s="4" t="str">
        <f aca="false">IF($A490="","",IF(AND(D490+G490+J490&gt;0,SUMIFS(Recepciones!$C$5:$C$2000,Recepciones!$A$5:$A$2000,"&gt;"&amp;$A489,Recepciones!$A$5:$A$2000,"&lt;="&amp;$A490)=0),"Aumento de stock sin recepción registrada",IF(B490&gt;1,"Intervalo de "&amp;B490&amp;" días","")))</f>
        <v/>
      </c>
    </row>
    <row r="491" customFormat="false" ht="15" hidden="false" customHeight="false" outlineLevel="0" collapsed="false">
      <c r="A491" s="5" t="str">
        <f aca="false">IF(Stock_Diario!A491="","",Stock_Diario!A491)</f>
        <v/>
      </c>
      <c r="B491" s="4" t="str">
        <f aca="false">IF($A491="","",$A491-$A490)</f>
        <v/>
      </c>
      <c r="C491" s="24" t="str">
        <f aca="false">IF($A491="","",Stock_Diario!E491)</f>
        <v/>
      </c>
      <c r="D491" s="24" t="str">
        <f aca="false">IF($A491="","",IF(SUMIFS(Recepciones!$C$5:$C$2000,Recepciones!$B$5:$B$2000,Config!$A$23,Recepciones!$A$5:$A$2000,"&gt;"&amp;$A490,Recepciones!$A$5:$A$2000,"&lt;="&amp;$A491)&gt;0,SUMIFS(Recepciones!$C$5:$C$2000,Recepciones!$B$5:$B$2000,Config!$A$23,Recepciones!$A$5:$A$2000,"&gt;"&amp;$A490,Recepciones!$A$5:$A$2000,"&lt;="&amp;$A491),MAX(0,C491-C490)))</f>
        <v/>
      </c>
      <c r="E491" s="24" t="str">
        <f aca="false">IF($A491="","",MAX(0,C490+D491-C491))</f>
        <v/>
      </c>
      <c r="F491" s="24" t="str">
        <f aca="false">IF($A491="","",Stock_Diario!F491)</f>
        <v/>
      </c>
      <c r="G491" s="24" t="str">
        <f aca="false">IF($A491="","",IF(SUMIFS(Recepciones!$C$5:$C$2000,Recepciones!$B$5:$B$2000,Config!$A$24,Recepciones!$A$5:$A$2000,"&gt;"&amp;$A490,Recepciones!$A$5:$A$2000,"&lt;="&amp;$A491)&gt;0,SUMIFS(Recepciones!$C$5:$C$2000,Recepciones!$B$5:$B$2000,Config!$A$24,Recepciones!$A$5:$A$2000,"&gt;"&amp;$A490,Recepciones!$A$5:$A$2000,"&lt;="&amp;$A491),MAX(0,F491-F490)))</f>
        <v/>
      </c>
      <c r="H491" s="24" t="str">
        <f aca="false">IF($A491="","",MAX(0,F490+G491-F491))</f>
        <v/>
      </c>
      <c r="I491" s="24" t="str">
        <f aca="false">IF($A491="","",Stock_Diario!G491)</f>
        <v/>
      </c>
      <c r="J491" s="24" t="str">
        <f aca="false">IF($A491="","",IF(SUMIFS(Recepciones!$C$5:$C$2000,Recepciones!$B$5:$B$2000,Config!$A$25,Recepciones!$A$5:$A$2000,"&gt;"&amp;$A490,Recepciones!$A$5:$A$2000,"&lt;="&amp;$A491)&gt;0,SUMIFS(Recepciones!$C$5:$C$2000,Recepciones!$B$5:$B$2000,Config!$A$25,Recepciones!$A$5:$A$2000,"&gt;"&amp;$A490,Recepciones!$A$5:$A$2000,"&lt;="&amp;$A491),MAX(0,I491-I490)))</f>
        <v/>
      </c>
      <c r="K491" s="24" t="str">
        <f aca="false">IF($A491="","",MAX(0,I490+J491-I491))</f>
        <v/>
      </c>
      <c r="L491" s="24" t="str">
        <f aca="false">IF($A491="","",E491+H491+K491)</f>
        <v/>
      </c>
      <c r="M491" s="4" t="str">
        <f aca="false">IF($A491="","",IF(AND(D491+G491+J491&gt;0,SUMIFS(Recepciones!$C$5:$C$2000,Recepciones!$A$5:$A$2000,"&gt;"&amp;$A490,Recepciones!$A$5:$A$2000,"&lt;="&amp;$A491)=0),"Aumento de stock sin recepción registrada",IF(B491&gt;1,"Intervalo de "&amp;B491&amp;" días","")))</f>
        <v/>
      </c>
    </row>
    <row r="492" customFormat="false" ht="15" hidden="false" customHeight="false" outlineLevel="0" collapsed="false">
      <c r="A492" s="5" t="str">
        <f aca="false">IF(Stock_Diario!A492="","",Stock_Diario!A492)</f>
        <v/>
      </c>
      <c r="B492" s="4" t="str">
        <f aca="false">IF($A492="","",$A492-$A491)</f>
        <v/>
      </c>
      <c r="C492" s="24" t="str">
        <f aca="false">IF($A492="","",Stock_Diario!E492)</f>
        <v/>
      </c>
      <c r="D492" s="24" t="str">
        <f aca="false">IF($A492="","",IF(SUMIFS(Recepciones!$C$5:$C$2000,Recepciones!$B$5:$B$2000,Config!$A$23,Recepciones!$A$5:$A$2000,"&gt;"&amp;$A491,Recepciones!$A$5:$A$2000,"&lt;="&amp;$A492)&gt;0,SUMIFS(Recepciones!$C$5:$C$2000,Recepciones!$B$5:$B$2000,Config!$A$23,Recepciones!$A$5:$A$2000,"&gt;"&amp;$A491,Recepciones!$A$5:$A$2000,"&lt;="&amp;$A492),MAX(0,C492-C491)))</f>
        <v/>
      </c>
      <c r="E492" s="24" t="str">
        <f aca="false">IF($A492="","",MAX(0,C491+D492-C492))</f>
        <v/>
      </c>
      <c r="F492" s="24" t="str">
        <f aca="false">IF($A492="","",Stock_Diario!F492)</f>
        <v/>
      </c>
      <c r="G492" s="24" t="str">
        <f aca="false">IF($A492="","",IF(SUMIFS(Recepciones!$C$5:$C$2000,Recepciones!$B$5:$B$2000,Config!$A$24,Recepciones!$A$5:$A$2000,"&gt;"&amp;$A491,Recepciones!$A$5:$A$2000,"&lt;="&amp;$A492)&gt;0,SUMIFS(Recepciones!$C$5:$C$2000,Recepciones!$B$5:$B$2000,Config!$A$24,Recepciones!$A$5:$A$2000,"&gt;"&amp;$A491,Recepciones!$A$5:$A$2000,"&lt;="&amp;$A492),MAX(0,F492-F491)))</f>
        <v/>
      </c>
      <c r="H492" s="24" t="str">
        <f aca="false">IF($A492="","",MAX(0,F491+G492-F492))</f>
        <v/>
      </c>
      <c r="I492" s="24" t="str">
        <f aca="false">IF($A492="","",Stock_Diario!G492)</f>
        <v/>
      </c>
      <c r="J492" s="24" t="str">
        <f aca="false">IF($A492="","",IF(SUMIFS(Recepciones!$C$5:$C$2000,Recepciones!$B$5:$B$2000,Config!$A$25,Recepciones!$A$5:$A$2000,"&gt;"&amp;$A491,Recepciones!$A$5:$A$2000,"&lt;="&amp;$A492)&gt;0,SUMIFS(Recepciones!$C$5:$C$2000,Recepciones!$B$5:$B$2000,Config!$A$25,Recepciones!$A$5:$A$2000,"&gt;"&amp;$A491,Recepciones!$A$5:$A$2000,"&lt;="&amp;$A492),MAX(0,I492-I491)))</f>
        <v/>
      </c>
      <c r="K492" s="24" t="str">
        <f aca="false">IF($A492="","",MAX(0,I491+J492-I492))</f>
        <v/>
      </c>
      <c r="L492" s="24" t="str">
        <f aca="false">IF($A492="","",E492+H492+K492)</f>
        <v/>
      </c>
      <c r="M492" s="4" t="str">
        <f aca="false">IF($A492="","",IF(AND(D492+G492+J492&gt;0,SUMIFS(Recepciones!$C$5:$C$2000,Recepciones!$A$5:$A$2000,"&gt;"&amp;$A491,Recepciones!$A$5:$A$2000,"&lt;="&amp;$A492)=0),"Aumento de stock sin recepción registrada",IF(B492&gt;1,"Intervalo de "&amp;B492&amp;" días","")))</f>
        <v/>
      </c>
    </row>
    <row r="493" customFormat="false" ht="15" hidden="false" customHeight="false" outlineLevel="0" collapsed="false">
      <c r="A493" s="5" t="str">
        <f aca="false">IF(Stock_Diario!A493="","",Stock_Diario!A493)</f>
        <v/>
      </c>
      <c r="B493" s="4" t="str">
        <f aca="false">IF($A493="","",$A493-$A492)</f>
        <v/>
      </c>
      <c r="C493" s="24" t="str">
        <f aca="false">IF($A493="","",Stock_Diario!E493)</f>
        <v/>
      </c>
      <c r="D493" s="24" t="str">
        <f aca="false">IF($A493="","",IF(SUMIFS(Recepciones!$C$5:$C$2000,Recepciones!$B$5:$B$2000,Config!$A$23,Recepciones!$A$5:$A$2000,"&gt;"&amp;$A492,Recepciones!$A$5:$A$2000,"&lt;="&amp;$A493)&gt;0,SUMIFS(Recepciones!$C$5:$C$2000,Recepciones!$B$5:$B$2000,Config!$A$23,Recepciones!$A$5:$A$2000,"&gt;"&amp;$A492,Recepciones!$A$5:$A$2000,"&lt;="&amp;$A493),MAX(0,C493-C492)))</f>
        <v/>
      </c>
      <c r="E493" s="24" t="str">
        <f aca="false">IF($A493="","",MAX(0,C492+D493-C493))</f>
        <v/>
      </c>
      <c r="F493" s="24" t="str">
        <f aca="false">IF($A493="","",Stock_Diario!F493)</f>
        <v/>
      </c>
      <c r="G493" s="24" t="str">
        <f aca="false">IF($A493="","",IF(SUMIFS(Recepciones!$C$5:$C$2000,Recepciones!$B$5:$B$2000,Config!$A$24,Recepciones!$A$5:$A$2000,"&gt;"&amp;$A492,Recepciones!$A$5:$A$2000,"&lt;="&amp;$A493)&gt;0,SUMIFS(Recepciones!$C$5:$C$2000,Recepciones!$B$5:$B$2000,Config!$A$24,Recepciones!$A$5:$A$2000,"&gt;"&amp;$A492,Recepciones!$A$5:$A$2000,"&lt;="&amp;$A493),MAX(0,F493-F492)))</f>
        <v/>
      </c>
      <c r="H493" s="24" t="str">
        <f aca="false">IF($A493="","",MAX(0,F492+G493-F493))</f>
        <v/>
      </c>
      <c r="I493" s="24" t="str">
        <f aca="false">IF($A493="","",Stock_Diario!G493)</f>
        <v/>
      </c>
      <c r="J493" s="24" t="str">
        <f aca="false">IF($A493="","",IF(SUMIFS(Recepciones!$C$5:$C$2000,Recepciones!$B$5:$B$2000,Config!$A$25,Recepciones!$A$5:$A$2000,"&gt;"&amp;$A492,Recepciones!$A$5:$A$2000,"&lt;="&amp;$A493)&gt;0,SUMIFS(Recepciones!$C$5:$C$2000,Recepciones!$B$5:$B$2000,Config!$A$25,Recepciones!$A$5:$A$2000,"&gt;"&amp;$A492,Recepciones!$A$5:$A$2000,"&lt;="&amp;$A493),MAX(0,I493-I492)))</f>
        <v/>
      </c>
      <c r="K493" s="24" t="str">
        <f aca="false">IF($A493="","",MAX(0,I492+J493-I493))</f>
        <v/>
      </c>
      <c r="L493" s="24" t="str">
        <f aca="false">IF($A493="","",E493+H493+K493)</f>
        <v/>
      </c>
      <c r="M493" s="4" t="str">
        <f aca="false">IF($A493="","",IF(AND(D493+G493+J493&gt;0,SUMIFS(Recepciones!$C$5:$C$2000,Recepciones!$A$5:$A$2000,"&gt;"&amp;$A492,Recepciones!$A$5:$A$2000,"&lt;="&amp;$A493)=0),"Aumento de stock sin recepción registrada",IF(B493&gt;1,"Intervalo de "&amp;B493&amp;" días","")))</f>
        <v/>
      </c>
    </row>
    <row r="494" customFormat="false" ht="15" hidden="false" customHeight="false" outlineLevel="0" collapsed="false">
      <c r="A494" s="5" t="str">
        <f aca="false">IF(Stock_Diario!A494="","",Stock_Diario!A494)</f>
        <v/>
      </c>
      <c r="B494" s="4" t="str">
        <f aca="false">IF($A494="","",$A494-$A493)</f>
        <v/>
      </c>
      <c r="C494" s="24" t="str">
        <f aca="false">IF($A494="","",Stock_Diario!E494)</f>
        <v/>
      </c>
      <c r="D494" s="24" t="str">
        <f aca="false">IF($A494="","",IF(SUMIFS(Recepciones!$C$5:$C$2000,Recepciones!$B$5:$B$2000,Config!$A$23,Recepciones!$A$5:$A$2000,"&gt;"&amp;$A493,Recepciones!$A$5:$A$2000,"&lt;="&amp;$A494)&gt;0,SUMIFS(Recepciones!$C$5:$C$2000,Recepciones!$B$5:$B$2000,Config!$A$23,Recepciones!$A$5:$A$2000,"&gt;"&amp;$A493,Recepciones!$A$5:$A$2000,"&lt;="&amp;$A494),MAX(0,C494-C493)))</f>
        <v/>
      </c>
      <c r="E494" s="24" t="str">
        <f aca="false">IF($A494="","",MAX(0,C493+D494-C494))</f>
        <v/>
      </c>
      <c r="F494" s="24" t="str">
        <f aca="false">IF($A494="","",Stock_Diario!F494)</f>
        <v/>
      </c>
      <c r="G494" s="24" t="str">
        <f aca="false">IF($A494="","",IF(SUMIFS(Recepciones!$C$5:$C$2000,Recepciones!$B$5:$B$2000,Config!$A$24,Recepciones!$A$5:$A$2000,"&gt;"&amp;$A493,Recepciones!$A$5:$A$2000,"&lt;="&amp;$A494)&gt;0,SUMIFS(Recepciones!$C$5:$C$2000,Recepciones!$B$5:$B$2000,Config!$A$24,Recepciones!$A$5:$A$2000,"&gt;"&amp;$A493,Recepciones!$A$5:$A$2000,"&lt;="&amp;$A494),MAX(0,F494-F493)))</f>
        <v/>
      </c>
      <c r="H494" s="24" t="str">
        <f aca="false">IF($A494="","",MAX(0,F493+G494-F494))</f>
        <v/>
      </c>
      <c r="I494" s="24" t="str">
        <f aca="false">IF($A494="","",Stock_Diario!G494)</f>
        <v/>
      </c>
      <c r="J494" s="24" t="str">
        <f aca="false">IF($A494="","",IF(SUMIFS(Recepciones!$C$5:$C$2000,Recepciones!$B$5:$B$2000,Config!$A$25,Recepciones!$A$5:$A$2000,"&gt;"&amp;$A493,Recepciones!$A$5:$A$2000,"&lt;="&amp;$A494)&gt;0,SUMIFS(Recepciones!$C$5:$C$2000,Recepciones!$B$5:$B$2000,Config!$A$25,Recepciones!$A$5:$A$2000,"&gt;"&amp;$A493,Recepciones!$A$5:$A$2000,"&lt;="&amp;$A494),MAX(0,I494-I493)))</f>
        <v/>
      </c>
      <c r="K494" s="24" t="str">
        <f aca="false">IF($A494="","",MAX(0,I493+J494-I494))</f>
        <v/>
      </c>
      <c r="L494" s="24" t="str">
        <f aca="false">IF($A494="","",E494+H494+K494)</f>
        <v/>
      </c>
      <c r="M494" s="4" t="str">
        <f aca="false">IF($A494="","",IF(AND(D494+G494+J494&gt;0,SUMIFS(Recepciones!$C$5:$C$2000,Recepciones!$A$5:$A$2000,"&gt;"&amp;$A493,Recepciones!$A$5:$A$2000,"&lt;="&amp;$A494)=0),"Aumento de stock sin recepción registrada",IF(B494&gt;1,"Intervalo de "&amp;B494&amp;" días","")))</f>
        <v/>
      </c>
    </row>
    <row r="495" customFormat="false" ht="15" hidden="false" customHeight="false" outlineLevel="0" collapsed="false">
      <c r="A495" s="5" t="str">
        <f aca="false">IF(Stock_Diario!A495="","",Stock_Diario!A495)</f>
        <v/>
      </c>
      <c r="B495" s="4" t="str">
        <f aca="false">IF($A495="","",$A495-$A494)</f>
        <v/>
      </c>
      <c r="C495" s="24" t="str">
        <f aca="false">IF($A495="","",Stock_Diario!E495)</f>
        <v/>
      </c>
      <c r="D495" s="24" t="str">
        <f aca="false">IF($A495="","",IF(SUMIFS(Recepciones!$C$5:$C$2000,Recepciones!$B$5:$B$2000,Config!$A$23,Recepciones!$A$5:$A$2000,"&gt;"&amp;$A494,Recepciones!$A$5:$A$2000,"&lt;="&amp;$A495)&gt;0,SUMIFS(Recepciones!$C$5:$C$2000,Recepciones!$B$5:$B$2000,Config!$A$23,Recepciones!$A$5:$A$2000,"&gt;"&amp;$A494,Recepciones!$A$5:$A$2000,"&lt;="&amp;$A495),MAX(0,C495-C494)))</f>
        <v/>
      </c>
      <c r="E495" s="24" t="str">
        <f aca="false">IF($A495="","",MAX(0,C494+D495-C495))</f>
        <v/>
      </c>
      <c r="F495" s="24" t="str">
        <f aca="false">IF($A495="","",Stock_Diario!F495)</f>
        <v/>
      </c>
      <c r="G495" s="24" t="str">
        <f aca="false">IF($A495="","",IF(SUMIFS(Recepciones!$C$5:$C$2000,Recepciones!$B$5:$B$2000,Config!$A$24,Recepciones!$A$5:$A$2000,"&gt;"&amp;$A494,Recepciones!$A$5:$A$2000,"&lt;="&amp;$A495)&gt;0,SUMIFS(Recepciones!$C$5:$C$2000,Recepciones!$B$5:$B$2000,Config!$A$24,Recepciones!$A$5:$A$2000,"&gt;"&amp;$A494,Recepciones!$A$5:$A$2000,"&lt;="&amp;$A495),MAX(0,F495-F494)))</f>
        <v/>
      </c>
      <c r="H495" s="24" t="str">
        <f aca="false">IF($A495="","",MAX(0,F494+G495-F495))</f>
        <v/>
      </c>
      <c r="I495" s="24" t="str">
        <f aca="false">IF($A495="","",Stock_Diario!G495)</f>
        <v/>
      </c>
      <c r="J495" s="24" t="str">
        <f aca="false">IF($A495="","",IF(SUMIFS(Recepciones!$C$5:$C$2000,Recepciones!$B$5:$B$2000,Config!$A$25,Recepciones!$A$5:$A$2000,"&gt;"&amp;$A494,Recepciones!$A$5:$A$2000,"&lt;="&amp;$A495)&gt;0,SUMIFS(Recepciones!$C$5:$C$2000,Recepciones!$B$5:$B$2000,Config!$A$25,Recepciones!$A$5:$A$2000,"&gt;"&amp;$A494,Recepciones!$A$5:$A$2000,"&lt;="&amp;$A495),MAX(0,I495-I494)))</f>
        <v/>
      </c>
      <c r="K495" s="24" t="str">
        <f aca="false">IF($A495="","",MAX(0,I494+J495-I495))</f>
        <v/>
      </c>
      <c r="L495" s="24" t="str">
        <f aca="false">IF($A495="","",E495+H495+K495)</f>
        <v/>
      </c>
      <c r="M495" s="4" t="str">
        <f aca="false">IF($A495="","",IF(AND(D495+G495+J495&gt;0,SUMIFS(Recepciones!$C$5:$C$2000,Recepciones!$A$5:$A$2000,"&gt;"&amp;$A494,Recepciones!$A$5:$A$2000,"&lt;="&amp;$A495)=0),"Aumento de stock sin recepción registrada",IF(B495&gt;1,"Intervalo de "&amp;B495&amp;" días","")))</f>
        <v/>
      </c>
    </row>
    <row r="496" customFormat="false" ht="15" hidden="false" customHeight="false" outlineLevel="0" collapsed="false">
      <c r="A496" s="5" t="str">
        <f aca="false">IF(Stock_Diario!A496="","",Stock_Diario!A496)</f>
        <v/>
      </c>
      <c r="B496" s="4" t="str">
        <f aca="false">IF($A496="","",$A496-$A495)</f>
        <v/>
      </c>
      <c r="C496" s="24" t="str">
        <f aca="false">IF($A496="","",Stock_Diario!E496)</f>
        <v/>
      </c>
      <c r="D496" s="24" t="str">
        <f aca="false">IF($A496="","",IF(SUMIFS(Recepciones!$C$5:$C$2000,Recepciones!$B$5:$B$2000,Config!$A$23,Recepciones!$A$5:$A$2000,"&gt;"&amp;$A495,Recepciones!$A$5:$A$2000,"&lt;="&amp;$A496)&gt;0,SUMIFS(Recepciones!$C$5:$C$2000,Recepciones!$B$5:$B$2000,Config!$A$23,Recepciones!$A$5:$A$2000,"&gt;"&amp;$A495,Recepciones!$A$5:$A$2000,"&lt;="&amp;$A496),MAX(0,C496-C495)))</f>
        <v/>
      </c>
      <c r="E496" s="24" t="str">
        <f aca="false">IF($A496="","",MAX(0,C495+D496-C496))</f>
        <v/>
      </c>
      <c r="F496" s="24" t="str">
        <f aca="false">IF($A496="","",Stock_Diario!F496)</f>
        <v/>
      </c>
      <c r="G496" s="24" t="str">
        <f aca="false">IF($A496="","",IF(SUMIFS(Recepciones!$C$5:$C$2000,Recepciones!$B$5:$B$2000,Config!$A$24,Recepciones!$A$5:$A$2000,"&gt;"&amp;$A495,Recepciones!$A$5:$A$2000,"&lt;="&amp;$A496)&gt;0,SUMIFS(Recepciones!$C$5:$C$2000,Recepciones!$B$5:$B$2000,Config!$A$24,Recepciones!$A$5:$A$2000,"&gt;"&amp;$A495,Recepciones!$A$5:$A$2000,"&lt;="&amp;$A496),MAX(0,F496-F495)))</f>
        <v/>
      </c>
      <c r="H496" s="24" t="str">
        <f aca="false">IF($A496="","",MAX(0,F495+G496-F496))</f>
        <v/>
      </c>
      <c r="I496" s="24" t="str">
        <f aca="false">IF($A496="","",Stock_Diario!G496)</f>
        <v/>
      </c>
      <c r="J496" s="24" t="str">
        <f aca="false">IF($A496="","",IF(SUMIFS(Recepciones!$C$5:$C$2000,Recepciones!$B$5:$B$2000,Config!$A$25,Recepciones!$A$5:$A$2000,"&gt;"&amp;$A495,Recepciones!$A$5:$A$2000,"&lt;="&amp;$A496)&gt;0,SUMIFS(Recepciones!$C$5:$C$2000,Recepciones!$B$5:$B$2000,Config!$A$25,Recepciones!$A$5:$A$2000,"&gt;"&amp;$A495,Recepciones!$A$5:$A$2000,"&lt;="&amp;$A496),MAX(0,I496-I495)))</f>
        <v/>
      </c>
      <c r="K496" s="24" t="str">
        <f aca="false">IF($A496="","",MAX(0,I495+J496-I496))</f>
        <v/>
      </c>
      <c r="L496" s="24" t="str">
        <f aca="false">IF($A496="","",E496+H496+K496)</f>
        <v/>
      </c>
      <c r="M496" s="4" t="str">
        <f aca="false">IF($A496="","",IF(AND(D496+G496+J496&gt;0,SUMIFS(Recepciones!$C$5:$C$2000,Recepciones!$A$5:$A$2000,"&gt;"&amp;$A495,Recepciones!$A$5:$A$2000,"&lt;="&amp;$A496)=0),"Aumento de stock sin recepción registrada",IF(B496&gt;1,"Intervalo de "&amp;B496&amp;" días","")))</f>
        <v/>
      </c>
    </row>
    <row r="497" customFormat="false" ht="15" hidden="false" customHeight="false" outlineLevel="0" collapsed="false">
      <c r="A497" s="5" t="str">
        <f aca="false">IF(Stock_Diario!A497="","",Stock_Diario!A497)</f>
        <v/>
      </c>
      <c r="B497" s="4" t="str">
        <f aca="false">IF($A497="","",$A497-$A496)</f>
        <v/>
      </c>
      <c r="C497" s="24" t="str">
        <f aca="false">IF($A497="","",Stock_Diario!E497)</f>
        <v/>
      </c>
      <c r="D497" s="24" t="str">
        <f aca="false">IF($A497="","",IF(SUMIFS(Recepciones!$C$5:$C$2000,Recepciones!$B$5:$B$2000,Config!$A$23,Recepciones!$A$5:$A$2000,"&gt;"&amp;$A496,Recepciones!$A$5:$A$2000,"&lt;="&amp;$A497)&gt;0,SUMIFS(Recepciones!$C$5:$C$2000,Recepciones!$B$5:$B$2000,Config!$A$23,Recepciones!$A$5:$A$2000,"&gt;"&amp;$A496,Recepciones!$A$5:$A$2000,"&lt;="&amp;$A497),MAX(0,C497-C496)))</f>
        <v/>
      </c>
      <c r="E497" s="24" t="str">
        <f aca="false">IF($A497="","",MAX(0,C496+D497-C497))</f>
        <v/>
      </c>
      <c r="F497" s="24" t="str">
        <f aca="false">IF($A497="","",Stock_Diario!F497)</f>
        <v/>
      </c>
      <c r="G497" s="24" t="str">
        <f aca="false">IF($A497="","",IF(SUMIFS(Recepciones!$C$5:$C$2000,Recepciones!$B$5:$B$2000,Config!$A$24,Recepciones!$A$5:$A$2000,"&gt;"&amp;$A496,Recepciones!$A$5:$A$2000,"&lt;="&amp;$A497)&gt;0,SUMIFS(Recepciones!$C$5:$C$2000,Recepciones!$B$5:$B$2000,Config!$A$24,Recepciones!$A$5:$A$2000,"&gt;"&amp;$A496,Recepciones!$A$5:$A$2000,"&lt;="&amp;$A497),MAX(0,F497-F496)))</f>
        <v/>
      </c>
      <c r="H497" s="24" t="str">
        <f aca="false">IF($A497="","",MAX(0,F496+G497-F497))</f>
        <v/>
      </c>
      <c r="I497" s="24" t="str">
        <f aca="false">IF($A497="","",Stock_Diario!G497)</f>
        <v/>
      </c>
      <c r="J497" s="24" t="str">
        <f aca="false">IF($A497="","",IF(SUMIFS(Recepciones!$C$5:$C$2000,Recepciones!$B$5:$B$2000,Config!$A$25,Recepciones!$A$5:$A$2000,"&gt;"&amp;$A496,Recepciones!$A$5:$A$2000,"&lt;="&amp;$A497)&gt;0,SUMIFS(Recepciones!$C$5:$C$2000,Recepciones!$B$5:$B$2000,Config!$A$25,Recepciones!$A$5:$A$2000,"&gt;"&amp;$A496,Recepciones!$A$5:$A$2000,"&lt;="&amp;$A497),MAX(0,I497-I496)))</f>
        <v/>
      </c>
      <c r="K497" s="24" t="str">
        <f aca="false">IF($A497="","",MAX(0,I496+J497-I497))</f>
        <v/>
      </c>
      <c r="L497" s="24" t="str">
        <f aca="false">IF($A497="","",E497+H497+K497)</f>
        <v/>
      </c>
      <c r="M497" s="4" t="str">
        <f aca="false">IF($A497="","",IF(AND(D497+G497+J497&gt;0,SUMIFS(Recepciones!$C$5:$C$2000,Recepciones!$A$5:$A$2000,"&gt;"&amp;$A496,Recepciones!$A$5:$A$2000,"&lt;="&amp;$A497)=0),"Aumento de stock sin recepción registrada",IF(B497&gt;1,"Intervalo de "&amp;B497&amp;" días","")))</f>
        <v/>
      </c>
    </row>
    <row r="498" customFormat="false" ht="15" hidden="false" customHeight="false" outlineLevel="0" collapsed="false">
      <c r="A498" s="5" t="str">
        <f aca="false">IF(Stock_Diario!A498="","",Stock_Diario!A498)</f>
        <v/>
      </c>
      <c r="B498" s="4" t="str">
        <f aca="false">IF($A498="","",$A498-$A497)</f>
        <v/>
      </c>
      <c r="C498" s="24" t="str">
        <f aca="false">IF($A498="","",Stock_Diario!E498)</f>
        <v/>
      </c>
      <c r="D498" s="24" t="str">
        <f aca="false">IF($A498="","",IF(SUMIFS(Recepciones!$C$5:$C$2000,Recepciones!$B$5:$B$2000,Config!$A$23,Recepciones!$A$5:$A$2000,"&gt;"&amp;$A497,Recepciones!$A$5:$A$2000,"&lt;="&amp;$A498)&gt;0,SUMIFS(Recepciones!$C$5:$C$2000,Recepciones!$B$5:$B$2000,Config!$A$23,Recepciones!$A$5:$A$2000,"&gt;"&amp;$A497,Recepciones!$A$5:$A$2000,"&lt;="&amp;$A498),MAX(0,C498-C497)))</f>
        <v/>
      </c>
      <c r="E498" s="24" t="str">
        <f aca="false">IF($A498="","",MAX(0,C497+D498-C498))</f>
        <v/>
      </c>
      <c r="F498" s="24" t="str">
        <f aca="false">IF($A498="","",Stock_Diario!F498)</f>
        <v/>
      </c>
      <c r="G498" s="24" t="str">
        <f aca="false">IF($A498="","",IF(SUMIFS(Recepciones!$C$5:$C$2000,Recepciones!$B$5:$B$2000,Config!$A$24,Recepciones!$A$5:$A$2000,"&gt;"&amp;$A497,Recepciones!$A$5:$A$2000,"&lt;="&amp;$A498)&gt;0,SUMIFS(Recepciones!$C$5:$C$2000,Recepciones!$B$5:$B$2000,Config!$A$24,Recepciones!$A$5:$A$2000,"&gt;"&amp;$A497,Recepciones!$A$5:$A$2000,"&lt;="&amp;$A498),MAX(0,F498-F497)))</f>
        <v/>
      </c>
      <c r="H498" s="24" t="str">
        <f aca="false">IF($A498="","",MAX(0,F497+G498-F498))</f>
        <v/>
      </c>
      <c r="I498" s="24" t="str">
        <f aca="false">IF($A498="","",Stock_Diario!G498)</f>
        <v/>
      </c>
      <c r="J498" s="24" t="str">
        <f aca="false">IF($A498="","",IF(SUMIFS(Recepciones!$C$5:$C$2000,Recepciones!$B$5:$B$2000,Config!$A$25,Recepciones!$A$5:$A$2000,"&gt;"&amp;$A497,Recepciones!$A$5:$A$2000,"&lt;="&amp;$A498)&gt;0,SUMIFS(Recepciones!$C$5:$C$2000,Recepciones!$B$5:$B$2000,Config!$A$25,Recepciones!$A$5:$A$2000,"&gt;"&amp;$A497,Recepciones!$A$5:$A$2000,"&lt;="&amp;$A498),MAX(0,I498-I497)))</f>
        <v/>
      </c>
      <c r="K498" s="24" t="str">
        <f aca="false">IF($A498="","",MAX(0,I497+J498-I498))</f>
        <v/>
      </c>
      <c r="L498" s="24" t="str">
        <f aca="false">IF($A498="","",E498+H498+K498)</f>
        <v/>
      </c>
      <c r="M498" s="4" t="str">
        <f aca="false">IF($A498="","",IF(AND(D498+G498+J498&gt;0,SUMIFS(Recepciones!$C$5:$C$2000,Recepciones!$A$5:$A$2000,"&gt;"&amp;$A497,Recepciones!$A$5:$A$2000,"&lt;="&amp;$A498)=0),"Aumento de stock sin recepción registrada",IF(B498&gt;1,"Intervalo de "&amp;B498&amp;" días","")))</f>
        <v/>
      </c>
    </row>
    <row r="499" customFormat="false" ht="15" hidden="false" customHeight="false" outlineLevel="0" collapsed="false">
      <c r="A499" s="5" t="str">
        <f aca="false">IF(Stock_Diario!A499="","",Stock_Diario!A499)</f>
        <v/>
      </c>
      <c r="B499" s="4" t="str">
        <f aca="false">IF($A499="","",$A499-$A498)</f>
        <v/>
      </c>
      <c r="C499" s="24" t="str">
        <f aca="false">IF($A499="","",Stock_Diario!E499)</f>
        <v/>
      </c>
      <c r="D499" s="24" t="str">
        <f aca="false">IF($A499="","",IF(SUMIFS(Recepciones!$C$5:$C$2000,Recepciones!$B$5:$B$2000,Config!$A$23,Recepciones!$A$5:$A$2000,"&gt;"&amp;$A498,Recepciones!$A$5:$A$2000,"&lt;="&amp;$A499)&gt;0,SUMIFS(Recepciones!$C$5:$C$2000,Recepciones!$B$5:$B$2000,Config!$A$23,Recepciones!$A$5:$A$2000,"&gt;"&amp;$A498,Recepciones!$A$5:$A$2000,"&lt;="&amp;$A499),MAX(0,C499-C498)))</f>
        <v/>
      </c>
      <c r="E499" s="24" t="str">
        <f aca="false">IF($A499="","",MAX(0,C498+D499-C499))</f>
        <v/>
      </c>
      <c r="F499" s="24" t="str">
        <f aca="false">IF($A499="","",Stock_Diario!F499)</f>
        <v/>
      </c>
      <c r="G499" s="24" t="str">
        <f aca="false">IF($A499="","",IF(SUMIFS(Recepciones!$C$5:$C$2000,Recepciones!$B$5:$B$2000,Config!$A$24,Recepciones!$A$5:$A$2000,"&gt;"&amp;$A498,Recepciones!$A$5:$A$2000,"&lt;="&amp;$A499)&gt;0,SUMIFS(Recepciones!$C$5:$C$2000,Recepciones!$B$5:$B$2000,Config!$A$24,Recepciones!$A$5:$A$2000,"&gt;"&amp;$A498,Recepciones!$A$5:$A$2000,"&lt;="&amp;$A499),MAX(0,F499-F498)))</f>
        <v/>
      </c>
      <c r="H499" s="24" t="str">
        <f aca="false">IF($A499="","",MAX(0,F498+G499-F499))</f>
        <v/>
      </c>
      <c r="I499" s="24" t="str">
        <f aca="false">IF($A499="","",Stock_Diario!G499)</f>
        <v/>
      </c>
      <c r="J499" s="24" t="str">
        <f aca="false">IF($A499="","",IF(SUMIFS(Recepciones!$C$5:$C$2000,Recepciones!$B$5:$B$2000,Config!$A$25,Recepciones!$A$5:$A$2000,"&gt;"&amp;$A498,Recepciones!$A$5:$A$2000,"&lt;="&amp;$A499)&gt;0,SUMIFS(Recepciones!$C$5:$C$2000,Recepciones!$B$5:$B$2000,Config!$A$25,Recepciones!$A$5:$A$2000,"&gt;"&amp;$A498,Recepciones!$A$5:$A$2000,"&lt;="&amp;$A499),MAX(0,I499-I498)))</f>
        <v/>
      </c>
      <c r="K499" s="24" t="str">
        <f aca="false">IF($A499="","",MAX(0,I498+J499-I499))</f>
        <v/>
      </c>
      <c r="L499" s="24" t="str">
        <f aca="false">IF($A499="","",E499+H499+K499)</f>
        <v/>
      </c>
      <c r="M499" s="4" t="str">
        <f aca="false">IF($A499="","",IF(AND(D499+G499+J499&gt;0,SUMIFS(Recepciones!$C$5:$C$2000,Recepciones!$A$5:$A$2000,"&gt;"&amp;$A498,Recepciones!$A$5:$A$2000,"&lt;="&amp;$A499)=0),"Aumento de stock sin recepción registrada",IF(B499&gt;1,"Intervalo de "&amp;B499&amp;" días","")))</f>
        <v/>
      </c>
    </row>
    <row r="500" customFormat="false" ht="15" hidden="false" customHeight="false" outlineLevel="0" collapsed="false">
      <c r="A500" s="5" t="str">
        <f aca="false">IF(Stock_Diario!A500="","",Stock_Diario!A500)</f>
        <v/>
      </c>
      <c r="B500" s="4" t="str">
        <f aca="false">IF($A500="","",$A500-$A499)</f>
        <v/>
      </c>
      <c r="C500" s="24" t="str">
        <f aca="false">IF($A500="","",Stock_Diario!E500)</f>
        <v/>
      </c>
      <c r="D500" s="24" t="str">
        <f aca="false">IF($A500="","",IF(SUMIFS(Recepciones!$C$5:$C$2000,Recepciones!$B$5:$B$2000,Config!$A$23,Recepciones!$A$5:$A$2000,"&gt;"&amp;$A499,Recepciones!$A$5:$A$2000,"&lt;="&amp;$A500)&gt;0,SUMIFS(Recepciones!$C$5:$C$2000,Recepciones!$B$5:$B$2000,Config!$A$23,Recepciones!$A$5:$A$2000,"&gt;"&amp;$A499,Recepciones!$A$5:$A$2000,"&lt;="&amp;$A500),MAX(0,C500-C499)))</f>
        <v/>
      </c>
      <c r="E500" s="24" t="str">
        <f aca="false">IF($A500="","",MAX(0,C499+D500-C500))</f>
        <v/>
      </c>
      <c r="F500" s="24" t="str">
        <f aca="false">IF($A500="","",Stock_Diario!F500)</f>
        <v/>
      </c>
      <c r="G500" s="24" t="str">
        <f aca="false">IF($A500="","",IF(SUMIFS(Recepciones!$C$5:$C$2000,Recepciones!$B$5:$B$2000,Config!$A$24,Recepciones!$A$5:$A$2000,"&gt;"&amp;$A499,Recepciones!$A$5:$A$2000,"&lt;="&amp;$A500)&gt;0,SUMIFS(Recepciones!$C$5:$C$2000,Recepciones!$B$5:$B$2000,Config!$A$24,Recepciones!$A$5:$A$2000,"&gt;"&amp;$A499,Recepciones!$A$5:$A$2000,"&lt;="&amp;$A500),MAX(0,F500-F499)))</f>
        <v/>
      </c>
      <c r="H500" s="24" t="str">
        <f aca="false">IF($A500="","",MAX(0,F499+G500-F500))</f>
        <v/>
      </c>
      <c r="I500" s="24" t="str">
        <f aca="false">IF($A500="","",Stock_Diario!G500)</f>
        <v/>
      </c>
      <c r="J500" s="24" t="str">
        <f aca="false">IF($A500="","",IF(SUMIFS(Recepciones!$C$5:$C$2000,Recepciones!$B$5:$B$2000,Config!$A$25,Recepciones!$A$5:$A$2000,"&gt;"&amp;$A499,Recepciones!$A$5:$A$2000,"&lt;="&amp;$A500)&gt;0,SUMIFS(Recepciones!$C$5:$C$2000,Recepciones!$B$5:$B$2000,Config!$A$25,Recepciones!$A$5:$A$2000,"&gt;"&amp;$A499,Recepciones!$A$5:$A$2000,"&lt;="&amp;$A500),MAX(0,I500-I499)))</f>
        <v/>
      </c>
      <c r="K500" s="24" t="str">
        <f aca="false">IF($A500="","",MAX(0,I499+J500-I500))</f>
        <v/>
      </c>
      <c r="L500" s="24" t="str">
        <f aca="false">IF($A500="","",E500+H500+K500)</f>
        <v/>
      </c>
      <c r="M500" s="4" t="str">
        <f aca="false">IF($A500="","",IF(AND(D500+G500+J500&gt;0,SUMIFS(Recepciones!$C$5:$C$2000,Recepciones!$A$5:$A$2000,"&gt;"&amp;$A499,Recepciones!$A$5:$A$2000,"&lt;="&amp;$A500)=0),"Aumento de stock sin recepción registrada",IF(B500&gt;1,"Intervalo de "&amp;B500&amp;" días","")))</f>
        <v/>
      </c>
    </row>
    <row r="501" customFormat="false" ht="15" hidden="false" customHeight="false" outlineLevel="0" collapsed="false">
      <c r="A501" s="5" t="str">
        <f aca="false">IF(Stock_Diario!A501="","",Stock_Diario!A501)</f>
        <v/>
      </c>
      <c r="B501" s="4" t="str">
        <f aca="false">IF($A501="","",$A501-$A500)</f>
        <v/>
      </c>
      <c r="C501" s="24" t="str">
        <f aca="false">IF($A501="","",Stock_Diario!E501)</f>
        <v/>
      </c>
      <c r="D501" s="24" t="str">
        <f aca="false">IF($A501="","",IF(SUMIFS(Recepciones!$C$5:$C$2000,Recepciones!$B$5:$B$2000,Config!$A$23,Recepciones!$A$5:$A$2000,"&gt;"&amp;$A500,Recepciones!$A$5:$A$2000,"&lt;="&amp;$A501)&gt;0,SUMIFS(Recepciones!$C$5:$C$2000,Recepciones!$B$5:$B$2000,Config!$A$23,Recepciones!$A$5:$A$2000,"&gt;"&amp;$A500,Recepciones!$A$5:$A$2000,"&lt;="&amp;$A501),MAX(0,C501-C500)))</f>
        <v/>
      </c>
      <c r="E501" s="24" t="str">
        <f aca="false">IF($A501="","",MAX(0,C500+D501-C501))</f>
        <v/>
      </c>
      <c r="F501" s="24" t="str">
        <f aca="false">IF($A501="","",Stock_Diario!F501)</f>
        <v/>
      </c>
      <c r="G501" s="24" t="str">
        <f aca="false">IF($A501="","",IF(SUMIFS(Recepciones!$C$5:$C$2000,Recepciones!$B$5:$B$2000,Config!$A$24,Recepciones!$A$5:$A$2000,"&gt;"&amp;$A500,Recepciones!$A$5:$A$2000,"&lt;="&amp;$A501)&gt;0,SUMIFS(Recepciones!$C$5:$C$2000,Recepciones!$B$5:$B$2000,Config!$A$24,Recepciones!$A$5:$A$2000,"&gt;"&amp;$A500,Recepciones!$A$5:$A$2000,"&lt;="&amp;$A501),MAX(0,F501-F500)))</f>
        <v/>
      </c>
      <c r="H501" s="24" t="str">
        <f aca="false">IF($A501="","",MAX(0,F500+G501-F501))</f>
        <v/>
      </c>
      <c r="I501" s="24" t="str">
        <f aca="false">IF($A501="","",Stock_Diario!G501)</f>
        <v/>
      </c>
      <c r="J501" s="24" t="str">
        <f aca="false">IF($A501="","",IF(SUMIFS(Recepciones!$C$5:$C$2000,Recepciones!$B$5:$B$2000,Config!$A$25,Recepciones!$A$5:$A$2000,"&gt;"&amp;$A500,Recepciones!$A$5:$A$2000,"&lt;="&amp;$A501)&gt;0,SUMIFS(Recepciones!$C$5:$C$2000,Recepciones!$B$5:$B$2000,Config!$A$25,Recepciones!$A$5:$A$2000,"&gt;"&amp;$A500,Recepciones!$A$5:$A$2000,"&lt;="&amp;$A501),MAX(0,I501-I500)))</f>
        <v/>
      </c>
      <c r="K501" s="24" t="str">
        <f aca="false">IF($A501="","",MAX(0,I500+J501-I501))</f>
        <v/>
      </c>
      <c r="L501" s="24" t="str">
        <f aca="false">IF($A501="","",E501+H501+K501)</f>
        <v/>
      </c>
      <c r="M501" s="4" t="str">
        <f aca="false">IF($A501="","",IF(AND(D501+G501+J501&gt;0,SUMIFS(Recepciones!$C$5:$C$2000,Recepciones!$A$5:$A$2000,"&gt;"&amp;$A500,Recepciones!$A$5:$A$2000,"&lt;="&amp;$A501)=0),"Aumento de stock sin recepción registrada",IF(B501&gt;1,"Intervalo de "&amp;B501&amp;" días","")))</f>
        <v/>
      </c>
    </row>
    <row r="502" customFormat="false" ht="15" hidden="false" customHeight="false" outlineLevel="0" collapsed="false">
      <c r="A502" s="5" t="str">
        <f aca="false">IF(Stock_Diario!A502="","",Stock_Diario!A502)</f>
        <v/>
      </c>
      <c r="B502" s="4" t="str">
        <f aca="false">IF($A502="","",$A502-$A501)</f>
        <v/>
      </c>
      <c r="C502" s="24" t="str">
        <f aca="false">IF($A502="","",Stock_Diario!E502)</f>
        <v/>
      </c>
      <c r="D502" s="24" t="str">
        <f aca="false">IF($A502="","",IF(SUMIFS(Recepciones!$C$5:$C$2000,Recepciones!$B$5:$B$2000,Config!$A$23,Recepciones!$A$5:$A$2000,"&gt;"&amp;$A501,Recepciones!$A$5:$A$2000,"&lt;="&amp;$A502)&gt;0,SUMIFS(Recepciones!$C$5:$C$2000,Recepciones!$B$5:$B$2000,Config!$A$23,Recepciones!$A$5:$A$2000,"&gt;"&amp;$A501,Recepciones!$A$5:$A$2000,"&lt;="&amp;$A502),MAX(0,C502-C501)))</f>
        <v/>
      </c>
      <c r="E502" s="24" t="str">
        <f aca="false">IF($A502="","",MAX(0,C501+D502-C502))</f>
        <v/>
      </c>
      <c r="F502" s="24" t="str">
        <f aca="false">IF($A502="","",Stock_Diario!F502)</f>
        <v/>
      </c>
      <c r="G502" s="24" t="str">
        <f aca="false">IF($A502="","",IF(SUMIFS(Recepciones!$C$5:$C$2000,Recepciones!$B$5:$B$2000,Config!$A$24,Recepciones!$A$5:$A$2000,"&gt;"&amp;$A501,Recepciones!$A$5:$A$2000,"&lt;="&amp;$A502)&gt;0,SUMIFS(Recepciones!$C$5:$C$2000,Recepciones!$B$5:$B$2000,Config!$A$24,Recepciones!$A$5:$A$2000,"&gt;"&amp;$A501,Recepciones!$A$5:$A$2000,"&lt;="&amp;$A502),MAX(0,F502-F501)))</f>
        <v/>
      </c>
      <c r="H502" s="24" t="str">
        <f aca="false">IF($A502="","",MAX(0,F501+G502-F502))</f>
        <v/>
      </c>
      <c r="I502" s="24" t="str">
        <f aca="false">IF($A502="","",Stock_Diario!G502)</f>
        <v/>
      </c>
      <c r="J502" s="24" t="str">
        <f aca="false">IF($A502="","",IF(SUMIFS(Recepciones!$C$5:$C$2000,Recepciones!$B$5:$B$2000,Config!$A$25,Recepciones!$A$5:$A$2000,"&gt;"&amp;$A501,Recepciones!$A$5:$A$2000,"&lt;="&amp;$A502)&gt;0,SUMIFS(Recepciones!$C$5:$C$2000,Recepciones!$B$5:$B$2000,Config!$A$25,Recepciones!$A$5:$A$2000,"&gt;"&amp;$A501,Recepciones!$A$5:$A$2000,"&lt;="&amp;$A502),MAX(0,I502-I501)))</f>
        <v/>
      </c>
      <c r="K502" s="24" t="str">
        <f aca="false">IF($A502="","",MAX(0,I501+J502-I502))</f>
        <v/>
      </c>
      <c r="L502" s="24" t="str">
        <f aca="false">IF($A502="","",E502+H502+K502)</f>
        <v/>
      </c>
      <c r="M502" s="4" t="str">
        <f aca="false">IF($A502="","",IF(AND(D502+G502+J502&gt;0,SUMIFS(Recepciones!$C$5:$C$2000,Recepciones!$A$5:$A$2000,"&gt;"&amp;$A501,Recepciones!$A$5:$A$2000,"&lt;="&amp;$A502)=0),"Aumento de stock sin recepción registrada",IF(B502&gt;1,"Intervalo de "&amp;B502&amp;" días","")))</f>
        <v/>
      </c>
    </row>
    <row r="503" customFormat="false" ht="15" hidden="false" customHeight="false" outlineLevel="0" collapsed="false">
      <c r="A503" s="5" t="str">
        <f aca="false">IF(Stock_Diario!A503="","",Stock_Diario!A503)</f>
        <v/>
      </c>
      <c r="B503" s="4" t="str">
        <f aca="false">IF($A503="","",$A503-$A502)</f>
        <v/>
      </c>
      <c r="C503" s="24" t="str">
        <f aca="false">IF($A503="","",Stock_Diario!E503)</f>
        <v/>
      </c>
      <c r="D503" s="24" t="str">
        <f aca="false">IF($A503="","",IF(SUMIFS(Recepciones!$C$5:$C$2000,Recepciones!$B$5:$B$2000,Config!$A$23,Recepciones!$A$5:$A$2000,"&gt;"&amp;$A502,Recepciones!$A$5:$A$2000,"&lt;="&amp;$A503)&gt;0,SUMIFS(Recepciones!$C$5:$C$2000,Recepciones!$B$5:$B$2000,Config!$A$23,Recepciones!$A$5:$A$2000,"&gt;"&amp;$A502,Recepciones!$A$5:$A$2000,"&lt;="&amp;$A503),MAX(0,C503-C502)))</f>
        <v/>
      </c>
      <c r="E503" s="24" t="str">
        <f aca="false">IF($A503="","",MAX(0,C502+D503-C503))</f>
        <v/>
      </c>
      <c r="F503" s="24" t="str">
        <f aca="false">IF($A503="","",Stock_Diario!F503)</f>
        <v/>
      </c>
      <c r="G503" s="24" t="str">
        <f aca="false">IF($A503="","",IF(SUMIFS(Recepciones!$C$5:$C$2000,Recepciones!$B$5:$B$2000,Config!$A$24,Recepciones!$A$5:$A$2000,"&gt;"&amp;$A502,Recepciones!$A$5:$A$2000,"&lt;="&amp;$A503)&gt;0,SUMIFS(Recepciones!$C$5:$C$2000,Recepciones!$B$5:$B$2000,Config!$A$24,Recepciones!$A$5:$A$2000,"&gt;"&amp;$A502,Recepciones!$A$5:$A$2000,"&lt;="&amp;$A503),MAX(0,F503-F502)))</f>
        <v/>
      </c>
      <c r="H503" s="24" t="str">
        <f aca="false">IF($A503="","",MAX(0,F502+G503-F503))</f>
        <v/>
      </c>
      <c r="I503" s="24" t="str">
        <f aca="false">IF($A503="","",Stock_Diario!G503)</f>
        <v/>
      </c>
      <c r="J503" s="24" t="str">
        <f aca="false">IF($A503="","",IF(SUMIFS(Recepciones!$C$5:$C$2000,Recepciones!$B$5:$B$2000,Config!$A$25,Recepciones!$A$5:$A$2000,"&gt;"&amp;$A502,Recepciones!$A$5:$A$2000,"&lt;="&amp;$A503)&gt;0,SUMIFS(Recepciones!$C$5:$C$2000,Recepciones!$B$5:$B$2000,Config!$A$25,Recepciones!$A$5:$A$2000,"&gt;"&amp;$A502,Recepciones!$A$5:$A$2000,"&lt;="&amp;$A503),MAX(0,I503-I502)))</f>
        <v/>
      </c>
      <c r="K503" s="24" t="str">
        <f aca="false">IF($A503="","",MAX(0,I502+J503-I503))</f>
        <v/>
      </c>
      <c r="L503" s="24" t="str">
        <f aca="false">IF($A503="","",E503+H503+K503)</f>
        <v/>
      </c>
      <c r="M503" s="4" t="str">
        <f aca="false">IF($A503="","",IF(AND(D503+G503+J503&gt;0,SUMIFS(Recepciones!$C$5:$C$2000,Recepciones!$A$5:$A$2000,"&gt;"&amp;$A502,Recepciones!$A$5:$A$2000,"&lt;="&amp;$A503)=0),"Aumento de stock sin recepción registrada",IF(B503&gt;1,"Intervalo de "&amp;B503&amp;" días","")))</f>
        <v/>
      </c>
    </row>
    <row r="504" customFormat="false" ht="15" hidden="false" customHeight="false" outlineLevel="0" collapsed="false">
      <c r="A504" s="5" t="str">
        <f aca="false">IF(Stock_Diario!A504="","",Stock_Diario!A504)</f>
        <v/>
      </c>
      <c r="B504" s="4" t="str">
        <f aca="false">IF($A504="","",$A504-$A503)</f>
        <v/>
      </c>
      <c r="C504" s="24" t="str">
        <f aca="false">IF($A504="","",Stock_Diario!E504)</f>
        <v/>
      </c>
      <c r="D504" s="24" t="str">
        <f aca="false">IF($A504="","",IF(SUMIFS(Recepciones!$C$5:$C$2000,Recepciones!$B$5:$B$2000,Config!$A$23,Recepciones!$A$5:$A$2000,"&gt;"&amp;$A503,Recepciones!$A$5:$A$2000,"&lt;="&amp;$A504)&gt;0,SUMIFS(Recepciones!$C$5:$C$2000,Recepciones!$B$5:$B$2000,Config!$A$23,Recepciones!$A$5:$A$2000,"&gt;"&amp;$A503,Recepciones!$A$5:$A$2000,"&lt;="&amp;$A504),MAX(0,C504-C503)))</f>
        <v/>
      </c>
      <c r="E504" s="24" t="str">
        <f aca="false">IF($A504="","",MAX(0,C503+D504-C504))</f>
        <v/>
      </c>
      <c r="F504" s="24" t="str">
        <f aca="false">IF($A504="","",Stock_Diario!F504)</f>
        <v/>
      </c>
      <c r="G504" s="24" t="str">
        <f aca="false">IF($A504="","",IF(SUMIFS(Recepciones!$C$5:$C$2000,Recepciones!$B$5:$B$2000,Config!$A$24,Recepciones!$A$5:$A$2000,"&gt;"&amp;$A503,Recepciones!$A$5:$A$2000,"&lt;="&amp;$A504)&gt;0,SUMIFS(Recepciones!$C$5:$C$2000,Recepciones!$B$5:$B$2000,Config!$A$24,Recepciones!$A$5:$A$2000,"&gt;"&amp;$A503,Recepciones!$A$5:$A$2000,"&lt;="&amp;$A504),MAX(0,F504-F503)))</f>
        <v/>
      </c>
      <c r="H504" s="24" t="str">
        <f aca="false">IF($A504="","",MAX(0,F503+G504-F504))</f>
        <v/>
      </c>
      <c r="I504" s="24" t="str">
        <f aca="false">IF($A504="","",Stock_Diario!G504)</f>
        <v/>
      </c>
      <c r="J504" s="24" t="str">
        <f aca="false">IF($A504="","",IF(SUMIFS(Recepciones!$C$5:$C$2000,Recepciones!$B$5:$B$2000,Config!$A$25,Recepciones!$A$5:$A$2000,"&gt;"&amp;$A503,Recepciones!$A$5:$A$2000,"&lt;="&amp;$A504)&gt;0,SUMIFS(Recepciones!$C$5:$C$2000,Recepciones!$B$5:$B$2000,Config!$A$25,Recepciones!$A$5:$A$2000,"&gt;"&amp;$A503,Recepciones!$A$5:$A$2000,"&lt;="&amp;$A504),MAX(0,I504-I503)))</f>
        <v/>
      </c>
      <c r="K504" s="24" t="str">
        <f aca="false">IF($A504="","",MAX(0,I503+J504-I504))</f>
        <v/>
      </c>
      <c r="L504" s="24" t="str">
        <f aca="false">IF($A504="","",E504+H504+K504)</f>
        <v/>
      </c>
      <c r="M504" s="4" t="str">
        <f aca="false">IF($A504="","",IF(AND(D504+G504+J504&gt;0,SUMIFS(Recepciones!$C$5:$C$2000,Recepciones!$A$5:$A$2000,"&gt;"&amp;$A503,Recepciones!$A$5:$A$2000,"&lt;="&amp;$A504)=0),"Aumento de stock sin recepción registrada",IF(B504&gt;1,"Intervalo de "&amp;B504&amp;" días","")))</f>
        <v/>
      </c>
    </row>
    <row r="505" customFormat="false" ht="15" hidden="false" customHeight="false" outlineLevel="0" collapsed="false">
      <c r="A505" s="5" t="str">
        <f aca="false">IF(Stock_Diario!A505="","",Stock_Diario!A505)</f>
        <v/>
      </c>
      <c r="B505" s="4" t="str">
        <f aca="false">IF($A505="","",$A505-$A504)</f>
        <v/>
      </c>
      <c r="C505" s="24" t="str">
        <f aca="false">IF($A505="","",Stock_Diario!E505)</f>
        <v/>
      </c>
      <c r="D505" s="24" t="str">
        <f aca="false">IF($A505="","",IF(SUMIFS(Recepciones!$C$5:$C$2000,Recepciones!$B$5:$B$2000,Config!$A$23,Recepciones!$A$5:$A$2000,"&gt;"&amp;$A504,Recepciones!$A$5:$A$2000,"&lt;="&amp;$A505)&gt;0,SUMIFS(Recepciones!$C$5:$C$2000,Recepciones!$B$5:$B$2000,Config!$A$23,Recepciones!$A$5:$A$2000,"&gt;"&amp;$A504,Recepciones!$A$5:$A$2000,"&lt;="&amp;$A505),MAX(0,C505-C504)))</f>
        <v/>
      </c>
      <c r="E505" s="24" t="str">
        <f aca="false">IF($A505="","",MAX(0,C504+D505-C505))</f>
        <v/>
      </c>
      <c r="F505" s="24" t="str">
        <f aca="false">IF($A505="","",Stock_Diario!F505)</f>
        <v/>
      </c>
      <c r="G505" s="24" t="str">
        <f aca="false">IF($A505="","",IF(SUMIFS(Recepciones!$C$5:$C$2000,Recepciones!$B$5:$B$2000,Config!$A$24,Recepciones!$A$5:$A$2000,"&gt;"&amp;$A504,Recepciones!$A$5:$A$2000,"&lt;="&amp;$A505)&gt;0,SUMIFS(Recepciones!$C$5:$C$2000,Recepciones!$B$5:$B$2000,Config!$A$24,Recepciones!$A$5:$A$2000,"&gt;"&amp;$A504,Recepciones!$A$5:$A$2000,"&lt;="&amp;$A505),MAX(0,F505-F504)))</f>
        <v/>
      </c>
      <c r="H505" s="24" t="str">
        <f aca="false">IF($A505="","",MAX(0,F504+G505-F505))</f>
        <v/>
      </c>
      <c r="I505" s="24" t="str">
        <f aca="false">IF($A505="","",Stock_Diario!G505)</f>
        <v/>
      </c>
      <c r="J505" s="24" t="str">
        <f aca="false">IF($A505="","",IF(SUMIFS(Recepciones!$C$5:$C$2000,Recepciones!$B$5:$B$2000,Config!$A$25,Recepciones!$A$5:$A$2000,"&gt;"&amp;$A504,Recepciones!$A$5:$A$2000,"&lt;="&amp;$A505)&gt;0,SUMIFS(Recepciones!$C$5:$C$2000,Recepciones!$B$5:$B$2000,Config!$A$25,Recepciones!$A$5:$A$2000,"&gt;"&amp;$A504,Recepciones!$A$5:$A$2000,"&lt;="&amp;$A505),MAX(0,I505-I504)))</f>
        <v/>
      </c>
      <c r="K505" s="24" t="str">
        <f aca="false">IF($A505="","",MAX(0,I504+J505-I505))</f>
        <v/>
      </c>
      <c r="L505" s="24" t="str">
        <f aca="false">IF($A505="","",E505+H505+K505)</f>
        <v/>
      </c>
      <c r="M505" s="4" t="str">
        <f aca="false">IF($A505="","",IF(AND(D505+G505+J505&gt;0,SUMIFS(Recepciones!$C$5:$C$2000,Recepciones!$A$5:$A$2000,"&gt;"&amp;$A504,Recepciones!$A$5:$A$2000,"&lt;="&amp;$A505)=0),"Aumento de stock sin recepción registrada",IF(B505&gt;1,"Intervalo de "&amp;B505&amp;" días","")))</f>
        <v/>
      </c>
    </row>
    <row r="506" customFormat="false" ht="15" hidden="false" customHeight="false" outlineLevel="0" collapsed="false">
      <c r="A506" s="5" t="str">
        <f aca="false">IF(Stock_Diario!A506="","",Stock_Diario!A506)</f>
        <v/>
      </c>
      <c r="B506" s="4" t="str">
        <f aca="false">IF($A506="","",$A506-$A505)</f>
        <v/>
      </c>
      <c r="C506" s="24" t="str">
        <f aca="false">IF($A506="","",Stock_Diario!E506)</f>
        <v/>
      </c>
      <c r="D506" s="24" t="str">
        <f aca="false">IF($A506="","",IF(SUMIFS(Recepciones!$C$5:$C$2000,Recepciones!$B$5:$B$2000,Config!$A$23,Recepciones!$A$5:$A$2000,"&gt;"&amp;$A505,Recepciones!$A$5:$A$2000,"&lt;="&amp;$A506)&gt;0,SUMIFS(Recepciones!$C$5:$C$2000,Recepciones!$B$5:$B$2000,Config!$A$23,Recepciones!$A$5:$A$2000,"&gt;"&amp;$A505,Recepciones!$A$5:$A$2000,"&lt;="&amp;$A506),MAX(0,C506-C505)))</f>
        <v/>
      </c>
      <c r="E506" s="24" t="str">
        <f aca="false">IF($A506="","",MAX(0,C505+D506-C506))</f>
        <v/>
      </c>
      <c r="F506" s="24" t="str">
        <f aca="false">IF($A506="","",Stock_Diario!F506)</f>
        <v/>
      </c>
      <c r="G506" s="24" t="str">
        <f aca="false">IF($A506="","",IF(SUMIFS(Recepciones!$C$5:$C$2000,Recepciones!$B$5:$B$2000,Config!$A$24,Recepciones!$A$5:$A$2000,"&gt;"&amp;$A505,Recepciones!$A$5:$A$2000,"&lt;="&amp;$A506)&gt;0,SUMIFS(Recepciones!$C$5:$C$2000,Recepciones!$B$5:$B$2000,Config!$A$24,Recepciones!$A$5:$A$2000,"&gt;"&amp;$A505,Recepciones!$A$5:$A$2000,"&lt;="&amp;$A506),MAX(0,F506-F505)))</f>
        <v/>
      </c>
      <c r="H506" s="24" t="str">
        <f aca="false">IF($A506="","",MAX(0,F505+G506-F506))</f>
        <v/>
      </c>
      <c r="I506" s="24" t="str">
        <f aca="false">IF($A506="","",Stock_Diario!G506)</f>
        <v/>
      </c>
      <c r="J506" s="24" t="str">
        <f aca="false">IF($A506="","",IF(SUMIFS(Recepciones!$C$5:$C$2000,Recepciones!$B$5:$B$2000,Config!$A$25,Recepciones!$A$5:$A$2000,"&gt;"&amp;$A505,Recepciones!$A$5:$A$2000,"&lt;="&amp;$A506)&gt;0,SUMIFS(Recepciones!$C$5:$C$2000,Recepciones!$B$5:$B$2000,Config!$A$25,Recepciones!$A$5:$A$2000,"&gt;"&amp;$A505,Recepciones!$A$5:$A$2000,"&lt;="&amp;$A506),MAX(0,I506-I505)))</f>
        <v/>
      </c>
      <c r="K506" s="24" t="str">
        <f aca="false">IF($A506="","",MAX(0,I505+J506-I506))</f>
        <v/>
      </c>
      <c r="L506" s="24" t="str">
        <f aca="false">IF($A506="","",E506+H506+K506)</f>
        <v/>
      </c>
      <c r="M506" s="4" t="str">
        <f aca="false">IF($A506="","",IF(AND(D506+G506+J506&gt;0,SUMIFS(Recepciones!$C$5:$C$2000,Recepciones!$A$5:$A$2000,"&gt;"&amp;$A505,Recepciones!$A$5:$A$2000,"&lt;="&amp;$A506)=0),"Aumento de stock sin recepción registrada",IF(B506&gt;1,"Intervalo de "&amp;B506&amp;" días","")))</f>
        <v/>
      </c>
    </row>
    <row r="507" customFormat="false" ht="15" hidden="false" customHeight="false" outlineLevel="0" collapsed="false">
      <c r="A507" s="5" t="str">
        <f aca="false">IF(Stock_Diario!A507="","",Stock_Diario!A507)</f>
        <v/>
      </c>
      <c r="B507" s="4" t="str">
        <f aca="false">IF($A507="","",$A507-$A506)</f>
        <v/>
      </c>
      <c r="C507" s="24" t="str">
        <f aca="false">IF($A507="","",Stock_Diario!E507)</f>
        <v/>
      </c>
      <c r="D507" s="24" t="str">
        <f aca="false">IF($A507="","",IF(SUMIFS(Recepciones!$C$5:$C$2000,Recepciones!$B$5:$B$2000,Config!$A$23,Recepciones!$A$5:$A$2000,"&gt;"&amp;$A506,Recepciones!$A$5:$A$2000,"&lt;="&amp;$A507)&gt;0,SUMIFS(Recepciones!$C$5:$C$2000,Recepciones!$B$5:$B$2000,Config!$A$23,Recepciones!$A$5:$A$2000,"&gt;"&amp;$A506,Recepciones!$A$5:$A$2000,"&lt;="&amp;$A507),MAX(0,C507-C506)))</f>
        <v/>
      </c>
      <c r="E507" s="24" t="str">
        <f aca="false">IF($A507="","",MAX(0,C506+D507-C507))</f>
        <v/>
      </c>
      <c r="F507" s="24" t="str">
        <f aca="false">IF($A507="","",Stock_Diario!F507)</f>
        <v/>
      </c>
      <c r="G507" s="24" t="str">
        <f aca="false">IF($A507="","",IF(SUMIFS(Recepciones!$C$5:$C$2000,Recepciones!$B$5:$B$2000,Config!$A$24,Recepciones!$A$5:$A$2000,"&gt;"&amp;$A506,Recepciones!$A$5:$A$2000,"&lt;="&amp;$A507)&gt;0,SUMIFS(Recepciones!$C$5:$C$2000,Recepciones!$B$5:$B$2000,Config!$A$24,Recepciones!$A$5:$A$2000,"&gt;"&amp;$A506,Recepciones!$A$5:$A$2000,"&lt;="&amp;$A507),MAX(0,F507-F506)))</f>
        <v/>
      </c>
      <c r="H507" s="24" t="str">
        <f aca="false">IF($A507="","",MAX(0,F506+G507-F507))</f>
        <v/>
      </c>
      <c r="I507" s="24" t="str">
        <f aca="false">IF($A507="","",Stock_Diario!G507)</f>
        <v/>
      </c>
      <c r="J507" s="24" t="str">
        <f aca="false">IF($A507="","",IF(SUMIFS(Recepciones!$C$5:$C$2000,Recepciones!$B$5:$B$2000,Config!$A$25,Recepciones!$A$5:$A$2000,"&gt;"&amp;$A506,Recepciones!$A$5:$A$2000,"&lt;="&amp;$A507)&gt;0,SUMIFS(Recepciones!$C$5:$C$2000,Recepciones!$B$5:$B$2000,Config!$A$25,Recepciones!$A$5:$A$2000,"&gt;"&amp;$A506,Recepciones!$A$5:$A$2000,"&lt;="&amp;$A507),MAX(0,I507-I506)))</f>
        <v/>
      </c>
      <c r="K507" s="24" t="str">
        <f aca="false">IF($A507="","",MAX(0,I506+J507-I507))</f>
        <v/>
      </c>
      <c r="L507" s="24" t="str">
        <f aca="false">IF($A507="","",E507+H507+K507)</f>
        <v/>
      </c>
      <c r="M507" s="4" t="str">
        <f aca="false">IF($A507="","",IF(AND(D507+G507+J507&gt;0,SUMIFS(Recepciones!$C$5:$C$2000,Recepciones!$A$5:$A$2000,"&gt;"&amp;$A506,Recepciones!$A$5:$A$2000,"&lt;="&amp;$A507)=0),"Aumento de stock sin recepción registrada",IF(B507&gt;1,"Intervalo de "&amp;B507&amp;" días","")))</f>
        <v/>
      </c>
    </row>
    <row r="508" customFormat="false" ht="15" hidden="false" customHeight="false" outlineLevel="0" collapsed="false">
      <c r="A508" s="5" t="str">
        <f aca="false">IF(Stock_Diario!A508="","",Stock_Diario!A508)</f>
        <v/>
      </c>
      <c r="B508" s="4" t="str">
        <f aca="false">IF($A508="","",$A508-$A507)</f>
        <v/>
      </c>
      <c r="C508" s="24" t="str">
        <f aca="false">IF($A508="","",Stock_Diario!E508)</f>
        <v/>
      </c>
      <c r="D508" s="24" t="str">
        <f aca="false">IF($A508="","",IF(SUMIFS(Recepciones!$C$5:$C$2000,Recepciones!$B$5:$B$2000,Config!$A$23,Recepciones!$A$5:$A$2000,"&gt;"&amp;$A507,Recepciones!$A$5:$A$2000,"&lt;="&amp;$A508)&gt;0,SUMIFS(Recepciones!$C$5:$C$2000,Recepciones!$B$5:$B$2000,Config!$A$23,Recepciones!$A$5:$A$2000,"&gt;"&amp;$A507,Recepciones!$A$5:$A$2000,"&lt;="&amp;$A508),MAX(0,C508-C507)))</f>
        <v/>
      </c>
      <c r="E508" s="24" t="str">
        <f aca="false">IF($A508="","",MAX(0,C507+D508-C508))</f>
        <v/>
      </c>
      <c r="F508" s="24" t="str">
        <f aca="false">IF($A508="","",Stock_Diario!F508)</f>
        <v/>
      </c>
      <c r="G508" s="24" t="str">
        <f aca="false">IF($A508="","",IF(SUMIFS(Recepciones!$C$5:$C$2000,Recepciones!$B$5:$B$2000,Config!$A$24,Recepciones!$A$5:$A$2000,"&gt;"&amp;$A507,Recepciones!$A$5:$A$2000,"&lt;="&amp;$A508)&gt;0,SUMIFS(Recepciones!$C$5:$C$2000,Recepciones!$B$5:$B$2000,Config!$A$24,Recepciones!$A$5:$A$2000,"&gt;"&amp;$A507,Recepciones!$A$5:$A$2000,"&lt;="&amp;$A508),MAX(0,F508-F507)))</f>
        <v/>
      </c>
      <c r="H508" s="24" t="str">
        <f aca="false">IF($A508="","",MAX(0,F507+G508-F508))</f>
        <v/>
      </c>
      <c r="I508" s="24" t="str">
        <f aca="false">IF($A508="","",Stock_Diario!G508)</f>
        <v/>
      </c>
      <c r="J508" s="24" t="str">
        <f aca="false">IF($A508="","",IF(SUMIFS(Recepciones!$C$5:$C$2000,Recepciones!$B$5:$B$2000,Config!$A$25,Recepciones!$A$5:$A$2000,"&gt;"&amp;$A507,Recepciones!$A$5:$A$2000,"&lt;="&amp;$A508)&gt;0,SUMIFS(Recepciones!$C$5:$C$2000,Recepciones!$B$5:$B$2000,Config!$A$25,Recepciones!$A$5:$A$2000,"&gt;"&amp;$A507,Recepciones!$A$5:$A$2000,"&lt;="&amp;$A508),MAX(0,I508-I507)))</f>
        <v/>
      </c>
      <c r="K508" s="24" t="str">
        <f aca="false">IF($A508="","",MAX(0,I507+J508-I508))</f>
        <v/>
      </c>
      <c r="L508" s="24" t="str">
        <f aca="false">IF($A508="","",E508+H508+K508)</f>
        <v/>
      </c>
      <c r="M508" s="4" t="str">
        <f aca="false">IF($A508="","",IF(AND(D508+G508+J508&gt;0,SUMIFS(Recepciones!$C$5:$C$2000,Recepciones!$A$5:$A$2000,"&gt;"&amp;$A507,Recepciones!$A$5:$A$2000,"&lt;="&amp;$A508)=0),"Aumento de stock sin recepción registrada",IF(B508&gt;1,"Intervalo de "&amp;B508&amp;" días","")))</f>
        <v/>
      </c>
    </row>
    <row r="509" customFormat="false" ht="15" hidden="false" customHeight="false" outlineLevel="0" collapsed="false">
      <c r="A509" s="5" t="str">
        <f aca="false">IF(Stock_Diario!A509="","",Stock_Diario!A509)</f>
        <v/>
      </c>
      <c r="B509" s="4" t="str">
        <f aca="false">IF($A509="","",$A509-$A508)</f>
        <v/>
      </c>
      <c r="C509" s="24" t="str">
        <f aca="false">IF($A509="","",Stock_Diario!E509)</f>
        <v/>
      </c>
      <c r="D509" s="24" t="str">
        <f aca="false">IF($A509="","",IF(SUMIFS(Recepciones!$C$5:$C$2000,Recepciones!$B$5:$B$2000,Config!$A$23,Recepciones!$A$5:$A$2000,"&gt;"&amp;$A508,Recepciones!$A$5:$A$2000,"&lt;="&amp;$A509)&gt;0,SUMIFS(Recepciones!$C$5:$C$2000,Recepciones!$B$5:$B$2000,Config!$A$23,Recepciones!$A$5:$A$2000,"&gt;"&amp;$A508,Recepciones!$A$5:$A$2000,"&lt;="&amp;$A509),MAX(0,C509-C508)))</f>
        <v/>
      </c>
      <c r="E509" s="24" t="str">
        <f aca="false">IF($A509="","",MAX(0,C508+D509-C509))</f>
        <v/>
      </c>
      <c r="F509" s="24" t="str">
        <f aca="false">IF($A509="","",Stock_Diario!F509)</f>
        <v/>
      </c>
      <c r="G509" s="24" t="str">
        <f aca="false">IF($A509="","",IF(SUMIFS(Recepciones!$C$5:$C$2000,Recepciones!$B$5:$B$2000,Config!$A$24,Recepciones!$A$5:$A$2000,"&gt;"&amp;$A508,Recepciones!$A$5:$A$2000,"&lt;="&amp;$A509)&gt;0,SUMIFS(Recepciones!$C$5:$C$2000,Recepciones!$B$5:$B$2000,Config!$A$24,Recepciones!$A$5:$A$2000,"&gt;"&amp;$A508,Recepciones!$A$5:$A$2000,"&lt;="&amp;$A509),MAX(0,F509-F508)))</f>
        <v/>
      </c>
      <c r="H509" s="24" t="str">
        <f aca="false">IF($A509="","",MAX(0,F508+G509-F509))</f>
        <v/>
      </c>
      <c r="I509" s="24" t="str">
        <f aca="false">IF($A509="","",Stock_Diario!G509)</f>
        <v/>
      </c>
      <c r="J509" s="24" t="str">
        <f aca="false">IF($A509="","",IF(SUMIFS(Recepciones!$C$5:$C$2000,Recepciones!$B$5:$B$2000,Config!$A$25,Recepciones!$A$5:$A$2000,"&gt;"&amp;$A508,Recepciones!$A$5:$A$2000,"&lt;="&amp;$A509)&gt;0,SUMIFS(Recepciones!$C$5:$C$2000,Recepciones!$B$5:$B$2000,Config!$A$25,Recepciones!$A$5:$A$2000,"&gt;"&amp;$A508,Recepciones!$A$5:$A$2000,"&lt;="&amp;$A509),MAX(0,I509-I508)))</f>
        <v/>
      </c>
      <c r="K509" s="24" t="str">
        <f aca="false">IF($A509="","",MAX(0,I508+J509-I509))</f>
        <v/>
      </c>
      <c r="L509" s="24" t="str">
        <f aca="false">IF($A509="","",E509+H509+K509)</f>
        <v/>
      </c>
      <c r="M509" s="4" t="str">
        <f aca="false">IF($A509="","",IF(AND(D509+G509+J509&gt;0,SUMIFS(Recepciones!$C$5:$C$2000,Recepciones!$A$5:$A$2000,"&gt;"&amp;$A508,Recepciones!$A$5:$A$2000,"&lt;="&amp;$A509)=0),"Aumento de stock sin recepción registrada",IF(B509&gt;1,"Intervalo de "&amp;B509&amp;" días","")))</f>
        <v/>
      </c>
    </row>
    <row r="510" customFormat="false" ht="15" hidden="false" customHeight="false" outlineLevel="0" collapsed="false">
      <c r="A510" s="5" t="str">
        <f aca="false">IF(Stock_Diario!A510="","",Stock_Diario!A510)</f>
        <v/>
      </c>
      <c r="B510" s="4" t="str">
        <f aca="false">IF($A510="","",$A510-$A509)</f>
        <v/>
      </c>
      <c r="C510" s="24" t="str">
        <f aca="false">IF($A510="","",Stock_Diario!E510)</f>
        <v/>
      </c>
      <c r="D510" s="24" t="str">
        <f aca="false">IF($A510="","",IF(SUMIFS(Recepciones!$C$5:$C$2000,Recepciones!$B$5:$B$2000,Config!$A$23,Recepciones!$A$5:$A$2000,"&gt;"&amp;$A509,Recepciones!$A$5:$A$2000,"&lt;="&amp;$A510)&gt;0,SUMIFS(Recepciones!$C$5:$C$2000,Recepciones!$B$5:$B$2000,Config!$A$23,Recepciones!$A$5:$A$2000,"&gt;"&amp;$A509,Recepciones!$A$5:$A$2000,"&lt;="&amp;$A510),MAX(0,C510-C509)))</f>
        <v/>
      </c>
      <c r="E510" s="24" t="str">
        <f aca="false">IF($A510="","",MAX(0,C509+D510-C510))</f>
        <v/>
      </c>
      <c r="F510" s="24" t="str">
        <f aca="false">IF($A510="","",Stock_Diario!F510)</f>
        <v/>
      </c>
      <c r="G510" s="24" t="str">
        <f aca="false">IF($A510="","",IF(SUMIFS(Recepciones!$C$5:$C$2000,Recepciones!$B$5:$B$2000,Config!$A$24,Recepciones!$A$5:$A$2000,"&gt;"&amp;$A509,Recepciones!$A$5:$A$2000,"&lt;="&amp;$A510)&gt;0,SUMIFS(Recepciones!$C$5:$C$2000,Recepciones!$B$5:$B$2000,Config!$A$24,Recepciones!$A$5:$A$2000,"&gt;"&amp;$A509,Recepciones!$A$5:$A$2000,"&lt;="&amp;$A510),MAX(0,F510-F509)))</f>
        <v/>
      </c>
      <c r="H510" s="24" t="str">
        <f aca="false">IF($A510="","",MAX(0,F509+G510-F510))</f>
        <v/>
      </c>
      <c r="I510" s="24" t="str">
        <f aca="false">IF($A510="","",Stock_Diario!G510)</f>
        <v/>
      </c>
      <c r="J510" s="24" t="str">
        <f aca="false">IF($A510="","",IF(SUMIFS(Recepciones!$C$5:$C$2000,Recepciones!$B$5:$B$2000,Config!$A$25,Recepciones!$A$5:$A$2000,"&gt;"&amp;$A509,Recepciones!$A$5:$A$2000,"&lt;="&amp;$A510)&gt;0,SUMIFS(Recepciones!$C$5:$C$2000,Recepciones!$B$5:$B$2000,Config!$A$25,Recepciones!$A$5:$A$2000,"&gt;"&amp;$A509,Recepciones!$A$5:$A$2000,"&lt;="&amp;$A510),MAX(0,I510-I509)))</f>
        <v/>
      </c>
      <c r="K510" s="24" t="str">
        <f aca="false">IF($A510="","",MAX(0,I509+J510-I510))</f>
        <v/>
      </c>
      <c r="L510" s="24" t="str">
        <f aca="false">IF($A510="","",E510+H510+K510)</f>
        <v/>
      </c>
      <c r="M510" s="4" t="str">
        <f aca="false">IF($A510="","",IF(AND(D510+G510+J510&gt;0,SUMIFS(Recepciones!$C$5:$C$2000,Recepciones!$A$5:$A$2000,"&gt;"&amp;$A509,Recepciones!$A$5:$A$2000,"&lt;="&amp;$A510)=0),"Aumento de stock sin recepción registrada",IF(B510&gt;1,"Intervalo de "&amp;B510&amp;" días","")))</f>
        <v/>
      </c>
    </row>
    <row r="511" customFormat="false" ht="15" hidden="false" customHeight="false" outlineLevel="0" collapsed="false">
      <c r="A511" s="5" t="str">
        <f aca="false">IF(Stock_Diario!A511="","",Stock_Diario!A511)</f>
        <v/>
      </c>
      <c r="B511" s="4" t="str">
        <f aca="false">IF($A511="","",$A511-$A510)</f>
        <v/>
      </c>
      <c r="C511" s="24" t="str">
        <f aca="false">IF($A511="","",Stock_Diario!E511)</f>
        <v/>
      </c>
      <c r="D511" s="24" t="str">
        <f aca="false">IF($A511="","",IF(SUMIFS(Recepciones!$C$5:$C$2000,Recepciones!$B$5:$B$2000,Config!$A$23,Recepciones!$A$5:$A$2000,"&gt;"&amp;$A510,Recepciones!$A$5:$A$2000,"&lt;="&amp;$A511)&gt;0,SUMIFS(Recepciones!$C$5:$C$2000,Recepciones!$B$5:$B$2000,Config!$A$23,Recepciones!$A$5:$A$2000,"&gt;"&amp;$A510,Recepciones!$A$5:$A$2000,"&lt;="&amp;$A511),MAX(0,C511-C510)))</f>
        <v/>
      </c>
      <c r="E511" s="24" t="str">
        <f aca="false">IF($A511="","",MAX(0,C510+D511-C511))</f>
        <v/>
      </c>
      <c r="F511" s="24" t="str">
        <f aca="false">IF($A511="","",Stock_Diario!F511)</f>
        <v/>
      </c>
      <c r="G511" s="24" t="str">
        <f aca="false">IF($A511="","",IF(SUMIFS(Recepciones!$C$5:$C$2000,Recepciones!$B$5:$B$2000,Config!$A$24,Recepciones!$A$5:$A$2000,"&gt;"&amp;$A510,Recepciones!$A$5:$A$2000,"&lt;="&amp;$A511)&gt;0,SUMIFS(Recepciones!$C$5:$C$2000,Recepciones!$B$5:$B$2000,Config!$A$24,Recepciones!$A$5:$A$2000,"&gt;"&amp;$A510,Recepciones!$A$5:$A$2000,"&lt;="&amp;$A511),MAX(0,F511-F510)))</f>
        <v/>
      </c>
      <c r="H511" s="24" t="str">
        <f aca="false">IF($A511="","",MAX(0,F510+G511-F511))</f>
        <v/>
      </c>
      <c r="I511" s="24" t="str">
        <f aca="false">IF($A511="","",Stock_Diario!G511)</f>
        <v/>
      </c>
      <c r="J511" s="24" t="str">
        <f aca="false">IF($A511="","",IF(SUMIFS(Recepciones!$C$5:$C$2000,Recepciones!$B$5:$B$2000,Config!$A$25,Recepciones!$A$5:$A$2000,"&gt;"&amp;$A510,Recepciones!$A$5:$A$2000,"&lt;="&amp;$A511)&gt;0,SUMIFS(Recepciones!$C$5:$C$2000,Recepciones!$B$5:$B$2000,Config!$A$25,Recepciones!$A$5:$A$2000,"&gt;"&amp;$A510,Recepciones!$A$5:$A$2000,"&lt;="&amp;$A511),MAX(0,I511-I510)))</f>
        <v/>
      </c>
      <c r="K511" s="24" t="str">
        <f aca="false">IF($A511="","",MAX(0,I510+J511-I511))</f>
        <v/>
      </c>
      <c r="L511" s="24" t="str">
        <f aca="false">IF($A511="","",E511+H511+K511)</f>
        <v/>
      </c>
      <c r="M511" s="4" t="str">
        <f aca="false">IF($A511="","",IF(AND(D511+G511+J511&gt;0,SUMIFS(Recepciones!$C$5:$C$2000,Recepciones!$A$5:$A$2000,"&gt;"&amp;$A510,Recepciones!$A$5:$A$2000,"&lt;="&amp;$A511)=0),"Aumento de stock sin recepción registrada",IF(B511&gt;1,"Intervalo de "&amp;B511&amp;" días","")))</f>
        <v/>
      </c>
    </row>
    <row r="512" customFormat="false" ht="15" hidden="false" customHeight="false" outlineLevel="0" collapsed="false">
      <c r="A512" s="5" t="str">
        <f aca="false">IF(Stock_Diario!A512="","",Stock_Diario!A512)</f>
        <v/>
      </c>
      <c r="B512" s="4" t="str">
        <f aca="false">IF($A512="","",$A512-$A511)</f>
        <v/>
      </c>
      <c r="C512" s="24" t="str">
        <f aca="false">IF($A512="","",Stock_Diario!E512)</f>
        <v/>
      </c>
      <c r="D512" s="24" t="str">
        <f aca="false">IF($A512="","",IF(SUMIFS(Recepciones!$C$5:$C$2000,Recepciones!$B$5:$B$2000,Config!$A$23,Recepciones!$A$5:$A$2000,"&gt;"&amp;$A511,Recepciones!$A$5:$A$2000,"&lt;="&amp;$A512)&gt;0,SUMIFS(Recepciones!$C$5:$C$2000,Recepciones!$B$5:$B$2000,Config!$A$23,Recepciones!$A$5:$A$2000,"&gt;"&amp;$A511,Recepciones!$A$5:$A$2000,"&lt;="&amp;$A512),MAX(0,C512-C511)))</f>
        <v/>
      </c>
      <c r="E512" s="24" t="str">
        <f aca="false">IF($A512="","",MAX(0,C511+D512-C512))</f>
        <v/>
      </c>
      <c r="F512" s="24" t="str">
        <f aca="false">IF($A512="","",Stock_Diario!F512)</f>
        <v/>
      </c>
      <c r="G512" s="24" t="str">
        <f aca="false">IF($A512="","",IF(SUMIFS(Recepciones!$C$5:$C$2000,Recepciones!$B$5:$B$2000,Config!$A$24,Recepciones!$A$5:$A$2000,"&gt;"&amp;$A511,Recepciones!$A$5:$A$2000,"&lt;="&amp;$A512)&gt;0,SUMIFS(Recepciones!$C$5:$C$2000,Recepciones!$B$5:$B$2000,Config!$A$24,Recepciones!$A$5:$A$2000,"&gt;"&amp;$A511,Recepciones!$A$5:$A$2000,"&lt;="&amp;$A512),MAX(0,F512-F511)))</f>
        <v/>
      </c>
      <c r="H512" s="24" t="str">
        <f aca="false">IF($A512="","",MAX(0,F511+G512-F512))</f>
        <v/>
      </c>
      <c r="I512" s="24" t="str">
        <f aca="false">IF($A512="","",Stock_Diario!G512)</f>
        <v/>
      </c>
      <c r="J512" s="24" t="str">
        <f aca="false">IF($A512="","",IF(SUMIFS(Recepciones!$C$5:$C$2000,Recepciones!$B$5:$B$2000,Config!$A$25,Recepciones!$A$5:$A$2000,"&gt;"&amp;$A511,Recepciones!$A$5:$A$2000,"&lt;="&amp;$A512)&gt;0,SUMIFS(Recepciones!$C$5:$C$2000,Recepciones!$B$5:$B$2000,Config!$A$25,Recepciones!$A$5:$A$2000,"&gt;"&amp;$A511,Recepciones!$A$5:$A$2000,"&lt;="&amp;$A512),MAX(0,I512-I511)))</f>
        <v/>
      </c>
      <c r="K512" s="24" t="str">
        <f aca="false">IF($A512="","",MAX(0,I511+J512-I512))</f>
        <v/>
      </c>
      <c r="L512" s="24" t="str">
        <f aca="false">IF($A512="","",E512+H512+K512)</f>
        <v/>
      </c>
      <c r="M512" s="4" t="str">
        <f aca="false">IF($A512="","",IF(AND(D512+G512+J512&gt;0,SUMIFS(Recepciones!$C$5:$C$2000,Recepciones!$A$5:$A$2000,"&gt;"&amp;$A511,Recepciones!$A$5:$A$2000,"&lt;="&amp;$A512)=0),"Aumento de stock sin recepción registrada",IF(B512&gt;1,"Intervalo de "&amp;B512&amp;" días","")))</f>
        <v/>
      </c>
    </row>
    <row r="513" customFormat="false" ht="15" hidden="false" customHeight="false" outlineLevel="0" collapsed="false">
      <c r="A513" s="5" t="str">
        <f aca="false">IF(Stock_Diario!A513="","",Stock_Diario!A513)</f>
        <v/>
      </c>
      <c r="B513" s="4" t="str">
        <f aca="false">IF($A513="","",$A513-$A512)</f>
        <v/>
      </c>
      <c r="C513" s="24" t="str">
        <f aca="false">IF($A513="","",Stock_Diario!E513)</f>
        <v/>
      </c>
      <c r="D513" s="24" t="str">
        <f aca="false">IF($A513="","",IF(SUMIFS(Recepciones!$C$5:$C$2000,Recepciones!$B$5:$B$2000,Config!$A$23,Recepciones!$A$5:$A$2000,"&gt;"&amp;$A512,Recepciones!$A$5:$A$2000,"&lt;="&amp;$A513)&gt;0,SUMIFS(Recepciones!$C$5:$C$2000,Recepciones!$B$5:$B$2000,Config!$A$23,Recepciones!$A$5:$A$2000,"&gt;"&amp;$A512,Recepciones!$A$5:$A$2000,"&lt;="&amp;$A513),MAX(0,C513-C512)))</f>
        <v/>
      </c>
      <c r="E513" s="24" t="str">
        <f aca="false">IF($A513="","",MAX(0,C512+D513-C513))</f>
        <v/>
      </c>
      <c r="F513" s="24" t="str">
        <f aca="false">IF($A513="","",Stock_Diario!F513)</f>
        <v/>
      </c>
      <c r="G513" s="24" t="str">
        <f aca="false">IF($A513="","",IF(SUMIFS(Recepciones!$C$5:$C$2000,Recepciones!$B$5:$B$2000,Config!$A$24,Recepciones!$A$5:$A$2000,"&gt;"&amp;$A512,Recepciones!$A$5:$A$2000,"&lt;="&amp;$A513)&gt;0,SUMIFS(Recepciones!$C$5:$C$2000,Recepciones!$B$5:$B$2000,Config!$A$24,Recepciones!$A$5:$A$2000,"&gt;"&amp;$A512,Recepciones!$A$5:$A$2000,"&lt;="&amp;$A513),MAX(0,F513-F512)))</f>
        <v/>
      </c>
      <c r="H513" s="24" t="str">
        <f aca="false">IF($A513="","",MAX(0,F512+G513-F513))</f>
        <v/>
      </c>
      <c r="I513" s="24" t="str">
        <f aca="false">IF($A513="","",Stock_Diario!G513)</f>
        <v/>
      </c>
      <c r="J513" s="24" t="str">
        <f aca="false">IF($A513="","",IF(SUMIFS(Recepciones!$C$5:$C$2000,Recepciones!$B$5:$B$2000,Config!$A$25,Recepciones!$A$5:$A$2000,"&gt;"&amp;$A512,Recepciones!$A$5:$A$2000,"&lt;="&amp;$A513)&gt;0,SUMIFS(Recepciones!$C$5:$C$2000,Recepciones!$B$5:$B$2000,Config!$A$25,Recepciones!$A$5:$A$2000,"&gt;"&amp;$A512,Recepciones!$A$5:$A$2000,"&lt;="&amp;$A513),MAX(0,I513-I512)))</f>
        <v/>
      </c>
      <c r="K513" s="24" t="str">
        <f aca="false">IF($A513="","",MAX(0,I512+J513-I513))</f>
        <v/>
      </c>
      <c r="L513" s="24" t="str">
        <f aca="false">IF($A513="","",E513+H513+K513)</f>
        <v/>
      </c>
      <c r="M513" s="4" t="str">
        <f aca="false">IF($A513="","",IF(AND(D513+G513+J513&gt;0,SUMIFS(Recepciones!$C$5:$C$2000,Recepciones!$A$5:$A$2000,"&gt;"&amp;$A512,Recepciones!$A$5:$A$2000,"&lt;="&amp;$A513)=0),"Aumento de stock sin recepción registrada",IF(B513&gt;1,"Intervalo de "&amp;B513&amp;" días","")))</f>
        <v/>
      </c>
    </row>
    <row r="514" customFormat="false" ht="15" hidden="false" customHeight="false" outlineLevel="0" collapsed="false">
      <c r="A514" s="5" t="str">
        <f aca="false">IF(Stock_Diario!A514="","",Stock_Diario!A514)</f>
        <v/>
      </c>
      <c r="B514" s="4" t="str">
        <f aca="false">IF($A514="","",$A514-$A513)</f>
        <v/>
      </c>
      <c r="C514" s="24" t="str">
        <f aca="false">IF($A514="","",Stock_Diario!E514)</f>
        <v/>
      </c>
      <c r="D514" s="24" t="str">
        <f aca="false">IF($A514="","",IF(SUMIFS(Recepciones!$C$5:$C$2000,Recepciones!$B$5:$B$2000,Config!$A$23,Recepciones!$A$5:$A$2000,"&gt;"&amp;$A513,Recepciones!$A$5:$A$2000,"&lt;="&amp;$A514)&gt;0,SUMIFS(Recepciones!$C$5:$C$2000,Recepciones!$B$5:$B$2000,Config!$A$23,Recepciones!$A$5:$A$2000,"&gt;"&amp;$A513,Recepciones!$A$5:$A$2000,"&lt;="&amp;$A514),MAX(0,C514-C513)))</f>
        <v/>
      </c>
      <c r="E514" s="24" t="str">
        <f aca="false">IF($A514="","",MAX(0,C513+D514-C514))</f>
        <v/>
      </c>
      <c r="F514" s="24" t="str">
        <f aca="false">IF($A514="","",Stock_Diario!F514)</f>
        <v/>
      </c>
      <c r="G514" s="24" t="str">
        <f aca="false">IF($A514="","",IF(SUMIFS(Recepciones!$C$5:$C$2000,Recepciones!$B$5:$B$2000,Config!$A$24,Recepciones!$A$5:$A$2000,"&gt;"&amp;$A513,Recepciones!$A$5:$A$2000,"&lt;="&amp;$A514)&gt;0,SUMIFS(Recepciones!$C$5:$C$2000,Recepciones!$B$5:$B$2000,Config!$A$24,Recepciones!$A$5:$A$2000,"&gt;"&amp;$A513,Recepciones!$A$5:$A$2000,"&lt;="&amp;$A514),MAX(0,F514-F513)))</f>
        <v/>
      </c>
      <c r="H514" s="24" t="str">
        <f aca="false">IF($A514="","",MAX(0,F513+G514-F514))</f>
        <v/>
      </c>
      <c r="I514" s="24" t="str">
        <f aca="false">IF($A514="","",Stock_Diario!G514)</f>
        <v/>
      </c>
      <c r="J514" s="24" t="str">
        <f aca="false">IF($A514="","",IF(SUMIFS(Recepciones!$C$5:$C$2000,Recepciones!$B$5:$B$2000,Config!$A$25,Recepciones!$A$5:$A$2000,"&gt;"&amp;$A513,Recepciones!$A$5:$A$2000,"&lt;="&amp;$A514)&gt;0,SUMIFS(Recepciones!$C$5:$C$2000,Recepciones!$B$5:$B$2000,Config!$A$25,Recepciones!$A$5:$A$2000,"&gt;"&amp;$A513,Recepciones!$A$5:$A$2000,"&lt;="&amp;$A514),MAX(0,I514-I513)))</f>
        <v/>
      </c>
      <c r="K514" s="24" t="str">
        <f aca="false">IF($A514="","",MAX(0,I513+J514-I514))</f>
        <v/>
      </c>
      <c r="L514" s="24" t="str">
        <f aca="false">IF($A514="","",E514+H514+K514)</f>
        <v/>
      </c>
      <c r="M514" s="4" t="str">
        <f aca="false">IF($A514="","",IF(AND(D514+G514+J514&gt;0,SUMIFS(Recepciones!$C$5:$C$2000,Recepciones!$A$5:$A$2000,"&gt;"&amp;$A513,Recepciones!$A$5:$A$2000,"&lt;="&amp;$A514)=0),"Aumento de stock sin recepción registrada",IF(B514&gt;1,"Intervalo de "&amp;B514&amp;" días","")))</f>
        <v/>
      </c>
    </row>
    <row r="515" customFormat="false" ht="15" hidden="false" customHeight="false" outlineLevel="0" collapsed="false">
      <c r="A515" s="5" t="str">
        <f aca="false">IF(Stock_Diario!A515="","",Stock_Diario!A515)</f>
        <v/>
      </c>
      <c r="B515" s="4" t="str">
        <f aca="false">IF($A515="","",$A515-$A514)</f>
        <v/>
      </c>
      <c r="C515" s="24" t="str">
        <f aca="false">IF($A515="","",Stock_Diario!E515)</f>
        <v/>
      </c>
      <c r="D515" s="24" t="str">
        <f aca="false">IF($A515="","",IF(SUMIFS(Recepciones!$C$5:$C$2000,Recepciones!$B$5:$B$2000,Config!$A$23,Recepciones!$A$5:$A$2000,"&gt;"&amp;$A514,Recepciones!$A$5:$A$2000,"&lt;="&amp;$A515)&gt;0,SUMIFS(Recepciones!$C$5:$C$2000,Recepciones!$B$5:$B$2000,Config!$A$23,Recepciones!$A$5:$A$2000,"&gt;"&amp;$A514,Recepciones!$A$5:$A$2000,"&lt;="&amp;$A515),MAX(0,C515-C514)))</f>
        <v/>
      </c>
      <c r="E515" s="24" t="str">
        <f aca="false">IF($A515="","",MAX(0,C514+D515-C515))</f>
        <v/>
      </c>
      <c r="F515" s="24" t="str">
        <f aca="false">IF($A515="","",Stock_Diario!F515)</f>
        <v/>
      </c>
      <c r="G515" s="24" t="str">
        <f aca="false">IF($A515="","",IF(SUMIFS(Recepciones!$C$5:$C$2000,Recepciones!$B$5:$B$2000,Config!$A$24,Recepciones!$A$5:$A$2000,"&gt;"&amp;$A514,Recepciones!$A$5:$A$2000,"&lt;="&amp;$A515)&gt;0,SUMIFS(Recepciones!$C$5:$C$2000,Recepciones!$B$5:$B$2000,Config!$A$24,Recepciones!$A$5:$A$2000,"&gt;"&amp;$A514,Recepciones!$A$5:$A$2000,"&lt;="&amp;$A515),MAX(0,F515-F514)))</f>
        <v/>
      </c>
      <c r="H515" s="24" t="str">
        <f aca="false">IF($A515="","",MAX(0,F514+G515-F515))</f>
        <v/>
      </c>
      <c r="I515" s="24" t="str">
        <f aca="false">IF($A515="","",Stock_Diario!G515)</f>
        <v/>
      </c>
      <c r="J515" s="24" t="str">
        <f aca="false">IF($A515="","",IF(SUMIFS(Recepciones!$C$5:$C$2000,Recepciones!$B$5:$B$2000,Config!$A$25,Recepciones!$A$5:$A$2000,"&gt;"&amp;$A514,Recepciones!$A$5:$A$2000,"&lt;="&amp;$A515)&gt;0,SUMIFS(Recepciones!$C$5:$C$2000,Recepciones!$B$5:$B$2000,Config!$A$25,Recepciones!$A$5:$A$2000,"&gt;"&amp;$A514,Recepciones!$A$5:$A$2000,"&lt;="&amp;$A515),MAX(0,I515-I514)))</f>
        <v/>
      </c>
      <c r="K515" s="24" t="str">
        <f aca="false">IF($A515="","",MAX(0,I514+J515-I515))</f>
        <v/>
      </c>
      <c r="L515" s="24" t="str">
        <f aca="false">IF($A515="","",E515+H515+K515)</f>
        <v/>
      </c>
      <c r="M515" s="4" t="str">
        <f aca="false">IF($A515="","",IF(AND(D515+G515+J515&gt;0,SUMIFS(Recepciones!$C$5:$C$2000,Recepciones!$A$5:$A$2000,"&gt;"&amp;$A514,Recepciones!$A$5:$A$2000,"&lt;="&amp;$A515)=0),"Aumento de stock sin recepción registrada",IF(B515&gt;1,"Intervalo de "&amp;B515&amp;" días","")))</f>
        <v/>
      </c>
    </row>
    <row r="516" customFormat="false" ht="15" hidden="false" customHeight="false" outlineLevel="0" collapsed="false">
      <c r="A516" s="5" t="str">
        <f aca="false">IF(Stock_Diario!A516="","",Stock_Diario!A516)</f>
        <v/>
      </c>
      <c r="B516" s="4" t="str">
        <f aca="false">IF($A516="","",$A516-$A515)</f>
        <v/>
      </c>
      <c r="C516" s="24" t="str">
        <f aca="false">IF($A516="","",Stock_Diario!E516)</f>
        <v/>
      </c>
      <c r="D516" s="24" t="str">
        <f aca="false">IF($A516="","",IF(SUMIFS(Recepciones!$C$5:$C$2000,Recepciones!$B$5:$B$2000,Config!$A$23,Recepciones!$A$5:$A$2000,"&gt;"&amp;$A515,Recepciones!$A$5:$A$2000,"&lt;="&amp;$A516)&gt;0,SUMIFS(Recepciones!$C$5:$C$2000,Recepciones!$B$5:$B$2000,Config!$A$23,Recepciones!$A$5:$A$2000,"&gt;"&amp;$A515,Recepciones!$A$5:$A$2000,"&lt;="&amp;$A516),MAX(0,C516-C515)))</f>
        <v/>
      </c>
      <c r="E516" s="24" t="str">
        <f aca="false">IF($A516="","",MAX(0,C515+D516-C516))</f>
        <v/>
      </c>
      <c r="F516" s="24" t="str">
        <f aca="false">IF($A516="","",Stock_Diario!F516)</f>
        <v/>
      </c>
      <c r="G516" s="24" t="str">
        <f aca="false">IF($A516="","",IF(SUMIFS(Recepciones!$C$5:$C$2000,Recepciones!$B$5:$B$2000,Config!$A$24,Recepciones!$A$5:$A$2000,"&gt;"&amp;$A515,Recepciones!$A$5:$A$2000,"&lt;="&amp;$A516)&gt;0,SUMIFS(Recepciones!$C$5:$C$2000,Recepciones!$B$5:$B$2000,Config!$A$24,Recepciones!$A$5:$A$2000,"&gt;"&amp;$A515,Recepciones!$A$5:$A$2000,"&lt;="&amp;$A516),MAX(0,F516-F515)))</f>
        <v/>
      </c>
      <c r="H516" s="24" t="str">
        <f aca="false">IF($A516="","",MAX(0,F515+G516-F516))</f>
        <v/>
      </c>
      <c r="I516" s="24" t="str">
        <f aca="false">IF($A516="","",Stock_Diario!G516)</f>
        <v/>
      </c>
      <c r="J516" s="24" t="str">
        <f aca="false">IF($A516="","",IF(SUMIFS(Recepciones!$C$5:$C$2000,Recepciones!$B$5:$B$2000,Config!$A$25,Recepciones!$A$5:$A$2000,"&gt;"&amp;$A515,Recepciones!$A$5:$A$2000,"&lt;="&amp;$A516)&gt;0,SUMIFS(Recepciones!$C$5:$C$2000,Recepciones!$B$5:$B$2000,Config!$A$25,Recepciones!$A$5:$A$2000,"&gt;"&amp;$A515,Recepciones!$A$5:$A$2000,"&lt;="&amp;$A516),MAX(0,I516-I515)))</f>
        <v/>
      </c>
      <c r="K516" s="24" t="str">
        <f aca="false">IF($A516="","",MAX(0,I515+J516-I516))</f>
        <v/>
      </c>
      <c r="L516" s="24" t="str">
        <f aca="false">IF($A516="","",E516+H516+K516)</f>
        <v/>
      </c>
      <c r="M516" s="4" t="str">
        <f aca="false">IF($A516="","",IF(AND(D516+G516+J516&gt;0,SUMIFS(Recepciones!$C$5:$C$2000,Recepciones!$A$5:$A$2000,"&gt;"&amp;$A515,Recepciones!$A$5:$A$2000,"&lt;="&amp;$A516)=0),"Aumento de stock sin recepción registrada",IF(B516&gt;1,"Intervalo de "&amp;B516&amp;" días","")))</f>
        <v/>
      </c>
    </row>
    <row r="517" customFormat="false" ht="15" hidden="false" customHeight="false" outlineLevel="0" collapsed="false">
      <c r="A517" s="5" t="str">
        <f aca="false">IF(Stock_Diario!A517="","",Stock_Diario!A517)</f>
        <v/>
      </c>
      <c r="B517" s="4" t="str">
        <f aca="false">IF($A517="","",$A517-$A516)</f>
        <v/>
      </c>
      <c r="C517" s="24" t="str">
        <f aca="false">IF($A517="","",Stock_Diario!E517)</f>
        <v/>
      </c>
      <c r="D517" s="24" t="str">
        <f aca="false">IF($A517="","",IF(SUMIFS(Recepciones!$C$5:$C$2000,Recepciones!$B$5:$B$2000,Config!$A$23,Recepciones!$A$5:$A$2000,"&gt;"&amp;$A516,Recepciones!$A$5:$A$2000,"&lt;="&amp;$A517)&gt;0,SUMIFS(Recepciones!$C$5:$C$2000,Recepciones!$B$5:$B$2000,Config!$A$23,Recepciones!$A$5:$A$2000,"&gt;"&amp;$A516,Recepciones!$A$5:$A$2000,"&lt;="&amp;$A517),MAX(0,C517-C516)))</f>
        <v/>
      </c>
      <c r="E517" s="24" t="str">
        <f aca="false">IF($A517="","",MAX(0,C516+D517-C517))</f>
        <v/>
      </c>
      <c r="F517" s="24" t="str">
        <f aca="false">IF($A517="","",Stock_Diario!F517)</f>
        <v/>
      </c>
      <c r="G517" s="24" t="str">
        <f aca="false">IF($A517="","",IF(SUMIFS(Recepciones!$C$5:$C$2000,Recepciones!$B$5:$B$2000,Config!$A$24,Recepciones!$A$5:$A$2000,"&gt;"&amp;$A516,Recepciones!$A$5:$A$2000,"&lt;="&amp;$A517)&gt;0,SUMIFS(Recepciones!$C$5:$C$2000,Recepciones!$B$5:$B$2000,Config!$A$24,Recepciones!$A$5:$A$2000,"&gt;"&amp;$A516,Recepciones!$A$5:$A$2000,"&lt;="&amp;$A517),MAX(0,F517-F516)))</f>
        <v/>
      </c>
      <c r="H517" s="24" t="str">
        <f aca="false">IF($A517="","",MAX(0,F516+G517-F517))</f>
        <v/>
      </c>
      <c r="I517" s="24" t="str">
        <f aca="false">IF($A517="","",Stock_Diario!G517)</f>
        <v/>
      </c>
      <c r="J517" s="24" t="str">
        <f aca="false">IF($A517="","",IF(SUMIFS(Recepciones!$C$5:$C$2000,Recepciones!$B$5:$B$2000,Config!$A$25,Recepciones!$A$5:$A$2000,"&gt;"&amp;$A516,Recepciones!$A$5:$A$2000,"&lt;="&amp;$A517)&gt;0,SUMIFS(Recepciones!$C$5:$C$2000,Recepciones!$B$5:$B$2000,Config!$A$25,Recepciones!$A$5:$A$2000,"&gt;"&amp;$A516,Recepciones!$A$5:$A$2000,"&lt;="&amp;$A517),MAX(0,I517-I516)))</f>
        <v/>
      </c>
      <c r="K517" s="24" t="str">
        <f aca="false">IF($A517="","",MAX(0,I516+J517-I517))</f>
        <v/>
      </c>
      <c r="L517" s="24" t="str">
        <f aca="false">IF($A517="","",E517+H517+K517)</f>
        <v/>
      </c>
      <c r="M517" s="4" t="str">
        <f aca="false">IF($A517="","",IF(AND(D517+G517+J517&gt;0,SUMIFS(Recepciones!$C$5:$C$2000,Recepciones!$A$5:$A$2000,"&gt;"&amp;$A516,Recepciones!$A$5:$A$2000,"&lt;="&amp;$A517)=0),"Aumento de stock sin recepción registrada",IF(B517&gt;1,"Intervalo de "&amp;B517&amp;" días","")))</f>
        <v/>
      </c>
    </row>
    <row r="518" customFormat="false" ht="15" hidden="false" customHeight="false" outlineLevel="0" collapsed="false">
      <c r="A518" s="5" t="str">
        <f aca="false">IF(Stock_Diario!A518="","",Stock_Diario!A518)</f>
        <v/>
      </c>
      <c r="B518" s="4" t="str">
        <f aca="false">IF($A518="","",$A518-$A517)</f>
        <v/>
      </c>
      <c r="C518" s="24" t="str">
        <f aca="false">IF($A518="","",Stock_Diario!E518)</f>
        <v/>
      </c>
      <c r="D518" s="24" t="str">
        <f aca="false">IF($A518="","",IF(SUMIFS(Recepciones!$C$5:$C$2000,Recepciones!$B$5:$B$2000,Config!$A$23,Recepciones!$A$5:$A$2000,"&gt;"&amp;$A517,Recepciones!$A$5:$A$2000,"&lt;="&amp;$A518)&gt;0,SUMIFS(Recepciones!$C$5:$C$2000,Recepciones!$B$5:$B$2000,Config!$A$23,Recepciones!$A$5:$A$2000,"&gt;"&amp;$A517,Recepciones!$A$5:$A$2000,"&lt;="&amp;$A518),MAX(0,C518-C517)))</f>
        <v/>
      </c>
      <c r="E518" s="24" t="str">
        <f aca="false">IF($A518="","",MAX(0,C517+D518-C518))</f>
        <v/>
      </c>
      <c r="F518" s="24" t="str">
        <f aca="false">IF($A518="","",Stock_Diario!F518)</f>
        <v/>
      </c>
      <c r="G518" s="24" t="str">
        <f aca="false">IF($A518="","",IF(SUMIFS(Recepciones!$C$5:$C$2000,Recepciones!$B$5:$B$2000,Config!$A$24,Recepciones!$A$5:$A$2000,"&gt;"&amp;$A517,Recepciones!$A$5:$A$2000,"&lt;="&amp;$A518)&gt;0,SUMIFS(Recepciones!$C$5:$C$2000,Recepciones!$B$5:$B$2000,Config!$A$24,Recepciones!$A$5:$A$2000,"&gt;"&amp;$A517,Recepciones!$A$5:$A$2000,"&lt;="&amp;$A518),MAX(0,F518-F517)))</f>
        <v/>
      </c>
      <c r="H518" s="24" t="str">
        <f aca="false">IF($A518="","",MAX(0,F517+G518-F518))</f>
        <v/>
      </c>
      <c r="I518" s="24" t="str">
        <f aca="false">IF($A518="","",Stock_Diario!G518)</f>
        <v/>
      </c>
      <c r="J518" s="24" t="str">
        <f aca="false">IF($A518="","",IF(SUMIFS(Recepciones!$C$5:$C$2000,Recepciones!$B$5:$B$2000,Config!$A$25,Recepciones!$A$5:$A$2000,"&gt;"&amp;$A517,Recepciones!$A$5:$A$2000,"&lt;="&amp;$A518)&gt;0,SUMIFS(Recepciones!$C$5:$C$2000,Recepciones!$B$5:$B$2000,Config!$A$25,Recepciones!$A$5:$A$2000,"&gt;"&amp;$A517,Recepciones!$A$5:$A$2000,"&lt;="&amp;$A518),MAX(0,I518-I517)))</f>
        <v/>
      </c>
      <c r="K518" s="24" t="str">
        <f aca="false">IF($A518="","",MAX(0,I517+J518-I518))</f>
        <v/>
      </c>
      <c r="L518" s="24" t="str">
        <f aca="false">IF($A518="","",E518+H518+K518)</f>
        <v/>
      </c>
      <c r="M518" s="4" t="str">
        <f aca="false">IF($A518="","",IF(AND(D518+G518+J518&gt;0,SUMIFS(Recepciones!$C$5:$C$2000,Recepciones!$A$5:$A$2000,"&gt;"&amp;$A517,Recepciones!$A$5:$A$2000,"&lt;="&amp;$A518)=0),"Aumento de stock sin recepción registrada",IF(B518&gt;1,"Intervalo de "&amp;B518&amp;" días","")))</f>
        <v/>
      </c>
    </row>
    <row r="519" customFormat="false" ht="15" hidden="false" customHeight="false" outlineLevel="0" collapsed="false">
      <c r="A519" s="5" t="str">
        <f aca="false">IF(Stock_Diario!A519="","",Stock_Diario!A519)</f>
        <v/>
      </c>
      <c r="B519" s="4" t="str">
        <f aca="false">IF($A519="","",$A519-$A518)</f>
        <v/>
      </c>
      <c r="C519" s="24" t="str">
        <f aca="false">IF($A519="","",Stock_Diario!E519)</f>
        <v/>
      </c>
      <c r="D519" s="24" t="str">
        <f aca="false">IF($A519="","",IF(SUMIFS(Recepciones!$C$5:$C$2000,Recepciones!$B$5:$B$2000,Config!$A$23,Recepciones!$A$5:$A$2000,"&gt;"&amp;$A518,Recepciones!$A$5:$A$2000,"&lt;="&amp;$A519)&gt;0,SUMIFS(Recepciones!$C$5:$C$2000,Recepciones!$B$5:$B$2000,Config!$A$23,Recepciones!$A$5:$A$2000,"&gt;"&amp;$A518,Recepciones!$A$5:$A$2000,"&lt;="&amp;$A519),MAX(0,C519-C518)))</f>
        <v/>
      </c>
      <c r="E519" s="24" t="str">
        <f aca="false">IF($A519="","",MAX(0,C518+D519-C519))</f>
        <v/>
      </c>
      <c r="F519" s="24" t="str">
        <f aca="false">IF($A519="","",Stock_Diario!F519)</f>
        <v/>
      </c>
      <c r="G519" s="24" t="str">
        <f aca="false">IF($A519="","",IF(SUMIFS(Recepciones!$C$5:$C$2000,Recepciones!$B$5:$B$2000,Config!$A$24,Recepciones!$A$5:$A$2000,"&gt;"&amp;$A518,Recepciones!$A$5:$A$2000,"&lt;="&amp;$A519)&gt;0,SUMIFS(Recepciones!$C$5:$C$2000,Recepciones!$B$5:$B$2000,Config!$A$24,Recepciones!$A$5:$A$2000,"&gt;"&amp;$A518,Recepciones!$A$5:$A$2000,"&lt;="&amp;$A519),MAX(0,F519-F518)))</f>
        <v/>
      </c>
      <c r="H519" s="24" t="str">
        <f aca="false">IF($A519="","",MAX(0,F518+G519-F519))</f>
        <v/>
      </c>
      <c r="I519" s="24" t="str">
        <f aca="false">IF($A519="","",Stock_Diario!G519)</f>
        <v/>
      </c>
      <c r="J519" s="24" t="str">
        <f aca="false">IF($A519="","",IF(SUMIFS(Recepciones!$C$5:$C$2000,Recepciones!$B$5:$B$2000,Config!$A$25,Recepciones!$A$5:$A$2000,"&gt;"&amp;$A518,Recepciones!$A$5:$A$2000,"&lt;="&amp;$A519)&gt;0,SUMIFS(Recepciones!$C$5:$C$2000,Recepciones!$B$5:$B$2000,Config!$A$25,Recepciones!$A$5:$A$2000,"&gt;"&amp;$A518,Recepciones!$A$5:$A$2000,"&lt;="&amp;$A519),MAX(0,I519-I518)))</f>
        <v/>
      </c>
      <c r="K519" s="24" t="str">
        <f aca="false">IF($A519="","",MAX(0,I518+J519-I519))</f>
        <v/>
      </c>
      <c r="L519" s="24" t="str">
        <f aca="false">IF($A519="","",E519+H519+K519)</f>
        <v/>
      </c>
      <c r="M519" s="4" t="str">
        <f aca="false">IF($A519="","",IF(AND(D519+G519+J519&gt;0,SUMIFS(Recepciones!$C$5:$C$2000,Recepciones!$A$5:$A$2000,"&gt;"&amp;$A518,Recepciones!$A$5:$A$2000,"&lt;="&amp;$A519)=0),"Aumento de stock sin recepción registrada",IF(B519&gt;1,"Intervalo de "&amp;B519&amp;" días","")))</f>
        <v/>
      </c>
    </row>
    <row r="520" customFormat="false" ht="15" hidden="false" customHeight="false" outlineLevel="0" collapsed="false">
      <c r="A520" s="5" t="str">
        <f aca="false">IF(Stock_Diario!A520="","",Stock_Diario!A520)</f>
        <v/>
      </c>
      <c r="B520" s="4" t="str">
        <f aca="false">IF($A520="","",$A520-$A519)</f>
        <v/>
      </c>
      <c r="C520" s="24" t="str">
        <f aca="false">IF($A520="","",Stock_Diario!E520)</f>
        <v/>
      </c>
      <c r="D520" s="24" t="str">
        <f aca="false">IF($A520="","",IF(SUMIFS(Recepciones!$C$5:$C$2000,Recepciones!$B$5:$B$2000,Config!$A$23,Recepciones!$A$5:$A$2000,"&gt;"&amp;$A519,Recepciones!$A$5:$A$2000,"&lt;="&amp;$A520)&gt;0,SUMIFS(Recepciones!$C$5:$C$2000,Recepciones!$B$5:$B$2000,Config!$A$23,Recepciones!$A$5:$A$2000,"&gt;"&amp;$A519,Recepciones!$A$5:$A$2000,"&lt;="&amp;$A520),MAX(0,C520-C519)))</f>
        <v/>
      </c>
      <c r="E520" s="24" t="str">
        <f aca="false">IF($A520="","",MAX(0,C519+D520-C520))</f>
        <v/>
      </c>
      <c r="F520" s="24" t="str">
        <f aca="false">IF($A520="","",Stock_Diario!F520)</f>
        <v/>
      </c>
      <c r="G520" s="24" t="str">
        <f aca="false">IF($A520="","",IF(SUMIFS(Recepciones!$C$5:$C$2000,Recepciones!$B$5:$B$2000,Config!$A$24,Recepciones!$A$5:$A$2000,"&gt;"&amp;$A519,Recepciones!$A$5:$A$2000,"&lt;="&amp;$A520)&gt;0,SUMIFS(Recepciones!$C$5:$C$2000,Recepciones!$B$5:$B$2000,Config!$A$24,Recepciones!$A$5:$A$2000,"&gt;"&amp;$A519,Recepciones!$A$5:$A$2000,"&lt;="&amp;$A520),MAX(0,F520-F519)))</f>
        <v/>
      </c>
      <c r="H520" s="24" t="str">
        <f aca="false">IF($A520="","",MAX(0,F519+G520-F520))</f>
        <v/>
      </c>
      <c r="I520" s="24" t="str">
        <f aca="false">IF($A520="","",Stock_Diario!G520)</f>
        <v/>
      </c>
      <c r="J520" s="24" t="str">
        <f aca="false">IF($A520="","",IF(SUMIFS(Recepciones!$C$5:$C$2000,Recepciones!$B$5:$B$2000,Config!$A$25,Recepciones!$A$5:$A$2000,"&gt;"&amp;$A519,Recepciones!$A$5:$A$2000,"&lt;="&amp;$A520)&gt;0,SUMIFS(Recepciones!$C$5:$C$2000,Recepciones!$B$5:$B$2000,Config!$A$25,Recepciones!$A$5:$A$2000,"&gt;"&amp;$A519,Recepciones!$A$5:$A$2000,"&lt;="&amp;$A520),MAX(0,I520-I519)))</f>
        <v/>
      </c>
      <c r="K520" s="24" t="str">
        <f aca="false">IF($A520="","",MAX(0,I519+J520-I520))</f>
        <v/>
      </c>
      <c r="L520" s="24" t="str">
        <f aca="false">IF($A520="","",E520+H520+K520)</f>
        <v/>
      </c>
      <c r="M520" s="4" t="str">
        <f aca="false">IF($A520="","",IF(AND(D520+G520+J520&gt;0,SUMIFS(Recepciones!$C$5:$C$2000,Recepciones!$A$5:$A$2000,"&gt;"&amp;$A519,Recepciones!$A$5:$A$2000,"&lt;="&amp;$A520)=0),"Aumento de stock sin recepción registrada",IF(B520&gt;1,"Intervalo de "&amp;B520&amp;" días","")))</f>
        <v/>
      </c>
    </row>
    <row r="521" customFormat="false" ht="15" hidden="false" customHeight="false" outlineLevel="0" collapsed="false">
      <c r="A521" s="5" t="str">
        <f aca="false">IF(Stock_Diario!A521="","",Stock_Diario!A521)</f>
        <v/>
      </c>
      <c r="B521" s="4" t="str">
        <f aca="false">IF($A521="","",$A521-$A520)</f>
        <v/>
      </c>
      <c r="C521" s="24" t="str">
        <f aca="false">IF($A521="","",Stock_Diario!E521)</f>
        <v/>
      </c>
      <c r="D521" s="24" t="str">
        <f aca="false">IF($A521="","",IF(SUMIFS(Recepciones!$C$5:$C$2000,Recepciones!$B$5:$B$2000,Config!$A$23,Recepciones!$A$5:$A$2000,"&gt;"&amp;$A520,Recepciones!$A$5:$A$2000,"&lt;="&amp;$A521)&gt;0,SUMIFS(Recepciones!$C$5:$C$2000,Recepciones!$B$5:$B$2000,Config!$A$23,Recepciones!$A$5:$A$2000,"&gt;"&amp;$A520,Recepciones!$A$5:$A$2000,"&lt;="&amp;$A521),MAX(0,C521-C520)))</f>
        <v/>
      </c>
      <c r="E521" s="24" t="str">
        <f aca="false">IF($A521="","",MAX(0,C520+D521-C521))</f>
        <v/>
      </c>
      <c r="F521" s="24" t="str">
        <f aca="false">IF($A521="","",Stock_Diario!F521)</f>
        <v/>
      </c>
      <c r="G521" s="24" t="str">
        <f aca="false">IF($A521="","",IF(SUMIFS(Recepciones!$C$5:$C$2000,Recepciones!$B$5:$B$2000,Config!$A$24,Recepciones!$A$5:$A$2000,"&gt;"&amp;$A520,Recepciones!$A$5:$A$2000,"&lt;="&amp;$A521)&gt;0,SUMIFS(Recepciones!$C$5:$C$2000,Recepciones!$B$5:$B$2000,Config!$A$24,Recepciones!$A$5:$A$2000,"&gt;"&amp;$A520,Recepciones!$A$5:$A$2000,"&lt;="&amp;$A521),MAX(0,F521-F520)))</f>
        <v/>
      </c>
      <c r="H521" s="24" t="str">
        <f aca="false">IF($A521="","",MAX(0,F520+G521-F521))</f>
        <v/>
      </c>
      <c r="I521" s="24" t="str">
        <f aca="false">IF($A521="","",Stock_Diario!G521)</f>
        <v/>
      </c>
      <c r="J521" s="24" t="str">
        <f aca="false">IF($A521="","",IF(SUMIFS(Recepciones!$C$5:$C$2000,Recepciones!$B$5:$B$2000,Config!$A$25,Recepciones!$A$5:$A$2000,"&gt;"&amp;$A520,Recepciones!$A$5:$A$2000,"&lt;="&amp;$A521)&gt;0,SUMIFS(Recepciones!$C$5:$C$2000,Recepciones!$B$5:$B$2000,Config!$A$25,Recepciones!$A$5:$A$2000,"&gt;"&amp;$A520,Recepciones!$A$5:$A$2000,"&lt;="&amp;$A521),MAX(0,I521-I520)))</f>
        <v/>
      </c>
      <c r="K521" s="24" t="str">
        <f aca="false">IF($A521="","",MAX(0,I520+J521-I521))</f>
        <v/>
      </c>
      <c r="L521" s="24" t="str">
        <f aca="false">IF($A521="","",E521+H521+K521)</f>
        <v/>
      </c>
      <c r="M521" s="4" t="str">
        <f aca="false">IF($A521="","",IF(AND(D521+G521+J521&gt;0,SUMIFS(Recepciones!$C$5:$C$2000,Recepciones!$A$5:$A$2000,"&gt;"&amp;$A520,Recepciones!$A$5:$A$2000,"&lt;="&amp;$A521)=0),"Aumento de stock sin recepción registrada",IF(B521&gt;1,"Intervalo de "&amp;B521&amp;" días","")))</f>
        <v/>
      </c>
    </row>
    <row r="522" customFormat="false" ht="15" hidden="false" customHeight="false" outlineLevel="0" collapsed="false">
      <c r="A522" s="5" t="str">
        <f aca="false">IF(Stock_Diario!A522="","",Stock_Diario!A522)</f>
        <v/>
      </c>
      <c r="B522" s="4" t="str">
        <f aca="false">IF($A522="","",$A522-$A521)</f>
        <v/>
      </c>
      <c r="C522" s="24" t="str">
        <f aca="false">IF($A522="","",Stock_Diario!E522)</f>
        <v/>
      </c>
      <c r="D522" s="24" t="str">
        <f aca="false">IF($A522="","",IF(SUMIFS(Recepciones!$C$5:$C$2000,Recepciones!$B$5:$B$2000,Config!$A$23,Recepciones!$A$5:$A$2000,"&gt;"&amp;$A521,Recepciones!$A$5:$A$2000,"&lt;="&amp;$A522)&gt;0,SUMIFS(Recepciones!$C$5:$C$2000,Recepciones!$B$5:$B$2000,Config!$A$23,Recepciones!$A$5:$A$2000,"&gt;"&amp;$A521,Recepciones!$A$5:$A$2000,"&lt;="&amp;$A522),MAX(0,C522-C521)))</f>
        <v/>
      </c>
      <c r="E522" s="24" t="str">
        <f aca="false">IF($A522="","",MAX(0,C521+D522-C522))</f>
        <v/>
      </c>
      <c r="F522" s="24" t="str">
        <f aca="false">IF($A522="","",Stock_Diario!F522)</f>
        <v/>
      </c>
      <c r="G522" s="24" t="str">
        <f aca="false">IF($A522="","",IF(SUMIFS(Recepciones!$C$5:$C$2000,Recepciones!$B$5:$B$2000,Config!$A$24,Recepciones!$A$5:$A$2000,"&gt;"&amp;$A521,Recepciones!$A$5:$A$2000,"&lt;="&amp;$A522)&gt;0,SUMIFS(Recepciones!$C$5:$C$2000,Recepciones!$B$5:$B$2000,Config!$A$24,Recepciones!$A$5:$A$2000,"&gt;"&amp;$A521,Recepciones!$A$5:$A$2000,"&lt;="&amp;$A522),MAX(0,F522-F521)))</f>
        <v/>
      </c>
      <c r="H522" s="24" t="str">
        <f aca="false">IF($A522="","",MAX(0,F521+G522-F522))</f>
        <v/>
      </c>
      <c r="I522" s="24" t="str">
        <f aca="false">IF($A522="","",Stock_Diario!G522)</f>
        <v/>
      </c>
      <c r="J522" s="24" t="str">
        <f aca="false">IF($A522="","",IF(SUMIFS(Recepciones!$C$5:$C$2000,Recepciones!$B$5:$B$2000,Config!$A$25,Recepciones!$A$5:$A$2000,"&gt;"&amp;$A521,Recepciones!$A$5:$A$2000,"&lt;="&amp;$A522)&gt;0,SUMIFS(Recepciones!$C$5:$C$2000,Recepciones!$B$5:$B$2000,Config!$A$25,Recepciones!$A$5:$A$2000,"&gt;"&amp;$A521,Recepciones!$A$5:$A$2000,"&lt;="&amp;$A522),MAX(0,I522-I521)))</f>
        <v/>
      </c>
      <c r="K522" s="24" t="str">
        <f aca="false">IF($A522="","",MAX(0,I521+J522-I522))</f>
        <v/>
      </c>
      <c r="L522" s="24" t="str">
        <f aca="false">IF($A522="","",E522+H522+K522)</f>
        <v/>
      </c>
      <c r="M522" s="4" t="str">
        <f aca="false">IF($A522="","",IF(AND(D522+G522+J522&gt;0,SUMIFS(Recepciones!$C$5:$C$2000,Recepciones!$A$5:$A$2000,"&gt;"&amp;$A521,Recepciones!$A$5:$A$2000,"&lt;="&amp;$A522)=0),"Aumento de stock sin recepción registrada",IF(B522&gt;1,"Intervalo de "&amp;B522&amp;" días","")))</f>
        <v/>
      </c>
    </row>
    <row r="523" customFormat="false" ht="15" hidden="false" customHeight="false" outlineLevel="0" collapsed="false">
      <c r="A523" s="5" t="str">
        <f aca="false">IF(Stock_Diario!A523="","",Stock_Diario!A523)</f>
        <v/>
      </c>
      <c r="B523" s="4" t="str">
        <f aca="false">IF($A523="","",$A523-$A522)</f>
        <v/>
      </c>
      <c r="C523" s="24" t="str">
        <f aca="false">IF($A523="","",Stock_Diario!E523)</f>
        <v/>
      </c>
      <c r="D523" s="24" t="str">
        <f aca="false">IF($A523="","",IF(SUMIFS(Recepciones!$C$5:$C$2000,Recepciones!$B$5:$B$2000,Config!$A$23,Recepciones!$A$5:$A$2000,"&gt;"&amp;$A522,Recepciones!$A$5:$A$2000,"&lt;="&amp;$A523)&gt;0,SUMIFS(Recepciones!$C$5:$C$2000,Recepciones!$B$5:$B$2000,Config!$A$23,Recepciones!$A$5:$A$2000,"&gt;"&amp;$A522,Recepciones!$A$5:$A$2000,"&lt;="&amp;$A523),MAX(0,C523-C522)))</f>
        <v/>
      </c>
      <c r="E523" s="24" t="str">
        <f aca="false">IF($A523="","",MAX(0,C522+D523-C523))</f>
        <v/>
      </c>
      <c r="F523" s="24" t="str">
        <f aca="false">IF($A523="","",Stock_Diario!F523)</f>
        <v/>
      </c>
      <c r="G523" s="24" t="str">
        <f aca="false">IF($A523="","",IF(SUMIFS(Recepciones!$C$5:$C$2000,Recepciones!$B$5:$B$2000,Config!$A$24,Recepciones!$A$5:$A$2000,"&gt;"&amp;$A522,Recepciones!$A$5:$A$2000,"&lt;="&amp;$A523)&gt;0,SUMIFS(Recepciones!$C$5:$C$2000,Recepciones!$B$5:$B$2000,Config!$A$24,Recepciones!$A$5:$A$2000,"&gt;"&amp;$A522,Recepciones!$A$5:$A$2000,"&lt;="&amp;$A523),MAX(0,F523-F522)))</f>
        <v/>
      </c>
      <c r="H523" s="24" t="str">
        <f aca="false">IF($A523="","",MAX(0,F522+G523-F523))</f>
        <v/>
      </c>
      <c r="I523" s="24" t="str">
        <f aca="false">IF($A523="","",Stock_Diario!G523)</f>
        <v/>
      </c>
      <c r="J523" s="24" t="str">
        <f aca="false">IF($A523="","",IF(SUMIFS(Recepciones!$C$5:$C$2000,Recepciones!$B$5:$B$2000,Config!$A$25,Recepciones!$A$5:$A$2000,"&gt;"&amp;$A522,Recepciones!$A$5:$A$2000,"&lt;="&amp;$A523)&gt;0,SUMIFS(Recepciones!$C$5:$C$2000,Recepciones!$B$5:$B$2000,Config!$A$25,Recepciones!$A$5:$A$2000,"&gt;"&amp;$A522,Recepciones!$A$5:$A$2000,"&lt;="&amp;$A523),MAX(0,I523-I522)))</f>
        <v/>
      </c>
      <c r="K523" s="24" t="str">
        <f aca="false">IF($A523="","",MAX(0,I522+J523-I523))</f>
        <v/>
      </c>
      <c r="L523" s="24" t="str">
        <f aca="false">IF($A523="","",E523+H523+K523)</f>
        <v/>
      </c>
      <c r="M523" s="4" t="str">
        <f aca="false">IF($A523="","",IF(AND(D523+G523+J523&gt;0,SUMIFS(Recepciones!$C$5:$C$2000,Recepciones!$A$5:$A$2000,"&gt;"&amp;$A522,Recepciones!$A$5:$A$2000,"&lt;="&amp;$A523)=0),"Aumento de stock sin recepción registrada",IF(B523&gt;1,"Intervalo de "&amp;B523&amp;" días","")))</f>
        <v/>
      </c>
    </row>
    <row r="524" customFormat="false" ht="15" hidden="false" customHeight="false" outlineLevel="0" collapsed="false">
      <c r="A524" s="5" t="str">
        <f aca="false">IF(Stock_Diario!A524="","",Stock_Diario!A524)</f>
        <v/>
      </c>
      <c r="B524" s="4" t="str">
        <f aca="false">IF($A524="","",$A524-$A523)</f>
        <v/>
      </c>
      <c r="C524" s="24" t="str">
        <f aca="false">IF($A524="","",Stock_Diario!E524)</f>
        <v/>
      </c>
      <c r="D524" s="24" t="str">
        <f aca="false">IF($A524="","",IF(SUMIFS(Recepciones!$C$5:$C$2000,Recepciones!$B$5:$B$2000,Config!$A$23,Recepciones!$A$5:$A$2000,"&gt;"&amp;$A523,Recepciones!$A$5:$A$2000,"&lt;="&amp;$A524)&gt;0,SUMIFS(Recepciones!$C$5:$C$2000,Recepciones!$B$5:$B$2000,Config!$A$23,Recepciones!$A$5:$A$2000,"&gt;"&amp;$A523,Recepciones!$A$5:$A$2000,"&lt;="&amp;$A524),MAX(0,C524-C523)))</f>
        <v/>
      </c>
      <c r="E524" s="24" t="str">
        <f aca="false">IF($A524="","",MAX(0,C523+D524-C524))</f>
        <v/>
      </c>
      <c r="F524" s="24" t="str">
        <f aca="false">IF($A524="","",Stock_Diario!F524)</f>
        <v/>
      </c>
      <c r="G524" s="24" t="str">
        <f aca="false">IF($A524="","",IF(SUMIFS(Recepciones!$C$5:$C$2000,Recepciones!$B$5:$B$2000,Config!$A$24,Recepciones!$A$5:$A$2000,"&gt;"&amp;$A523,Recepciones!$A$5:$A$2000,"&lt;="&amp;$A524)&gt;0,SUMIFS(Recepciones!$C$5:$C$2000,Recepciones!$B$5:$B$2000,Config!$A$24,Recepciones!$A$5:$A$2000,"&gt;"&amp;$A523,Recepciones!$A$5:$A$2000,"&lt;="&amp;$A524),MAX(0,F524-F523)))</f>
        <v/>
      </c>
      <c r="H524" s="24" t="str">
        <f aca="false">IF($A524="","",MAX(0,F523+G524-F524))</f>
        <v/>
      </c>
      <c r="I524" s="24" t="str">
        <f aca="false">IF($A524="","",Stock_Diario!G524)</f>
        <v/>
      </c>
      <c r="J524" s="24" t="str">
        <f aca="false">IF($A524="","",IF(SUMIFS(Recepciones!$C$5:$C$2000,Recepciones!$B$5:$B$2000,Config!$A$25,Recepciones!$A$5:$A$2000,"&gt;"&amp;$A523,Recepciones!$A$5:$A$2000,"&lt;="&amp;$A524)&gt;0,SUMIFS(Recepciones!$C$5:$C$2000,Recepciones!$B$5:$B$2000,Config!$A$25,Recepciones!$A$5:$A$2000,"&gt;"&amp;$A523,Recepciones!$A$5:$A$2000,"&lt;="&amp;$A524),MAX(0,I524-I523)))</f>
        <v/>
      </c>
      <c r="K524" s="24" t="str">
        <f aca="false">IF($A524="","",MAX(0,I523+J524-I524))</f>
        <v/>
      </c>
      <c r="L524" s="24" t="str">
        <f aca="false">IF($A524="","",E524+H524+K524)</f>
        <v/>
      </c>
      <c r="M524" s="4" t="str">
        <f aca="false">IF($A524="","",IF(AND(D524+G524+J524&gt;0,SUMIFS(Recepciones!$C$5:$C$2000,Recepciones!$A$5:$A$2000,"&gt;"&amp;$A523,Recepciones!$A$5:$A$2000,"&lt;="&amp;$A524)=0),"Aumento de stock sin recepción registrada",IF(B524&gt;1,"Intervalo de "&amp;B524&amp;" días","")))</f>
        <v/>
      </c>
    </row>
    <row r="525" customFormat="false" ht="15" hidden="false" customHeight="false" outlineLevel="0" collapsed="false">
      <c r="A525" s="5" t="str">
        <f aca="false">IF(Stock_Diario!A525="","",Stock_Diario!A525)</f>
        <v/>
      </c>
      <c r="B525" s="4" t="str">
        <f aca="false">IF($A525="","",$A525-$A524)</f>
        <v/>
      </c>
      <c r="C525" s="24" t="str">
        <f aca="false">IF($A525="","",Stock_Diario!E525)</f>
        <v/>
      </c>
      <c r="D525" s="24" t="str">
        <f aca="false">IF($A525="","",IF(SUMIFS(Recepciones!$C$5:$C$2000,Recepciones!$B$5:$B$2000,Config!$A$23,Recepciones!$A$5:$A$2000,"&gt;"&amp;$A524,Recepciones!$A$5:$A$2000,"&lt;="&amp;$A525)&gt;0,SUMIFS(Recepciones!$C$5:$C$2000,Recepciones!$B$5:$B$2000,Config!$A$23,Recepciones!$A$5:$A$2000,"&gt;"&amp;$A524,Recepciones!$A$5:$A$2000,"&lt;="&amp;$A525),MAX(0,C525-C524)))</f>
        <v/>
      </c>
      <c r="E525" s="24" t="str">
        <f aca="false">IF($A525="","",MAX(0,C524+D525-C525))</f>
        <v/>
      </c>
      <c r="F525" s="24" t="str">
        <f aca="false">IF($A525="","",Stock_Diario!F525)</f>
        <v/>
      </c>
      <c r="G525" s="24" t="str">
        <f aca="false">IF($A525="","",IF(SUMIFS(Recepciones!$C$5:$C$2000,Recepciones!$B$5:$B$2000,Config!$A$24,Recepciones!$A$5:$A$2000,"&gt;"&amp;$A524,Recepciones!$A$5:$A$2000,"&lt;="&amp;$A525)&gt;0,SUMIFS(Recepciones!$C$5:$C$2000,Recepciones!$B$5:$B$2000,Config!$A$24,Recepciones!$A$5:$A$2000,"&gt;"&amp;$A524,Recepciones!$A$5:$A$2000,"&lt;="&amp;$A525),MAX(0,F525-F524)))</f>
        <v/>
      </c>
      <c r="H525" s="24" t="str">
        <f aca="false">IF($A525="","",MAX(0,F524+G525-F525))</f>
        <v/>
      </c>
      <c r="I525" s="24" t="str">
        <f aca="false">IF($A525="","",Stock_Diario!G525)</f>
        <v/>
      </c>
      <c r="J525" s="24" t="str">
        <f aca="false">IF($A525="","",IF(SUMIFS(Recepciones!$C$5:$C$2000,Recepciones!$B$5:$B$2000,Config!$A$25,Recepciones!$A$5:$A$2000,"&gt;"&amp;$A524,Recepciones!$A$5:$A$2000,"&lt;="&amp;$A525)&gt;0,SUMIFS(Recepciones!$C$5:$C$2000,Recepciones!$B$5:$B$2000,Config!$A$25,Recepciones!$A$5:$A$2000,"&gt;"&amp;$A524,Recepciones!$A$5:$A$2000,"&lt;="&amp;$A525),MAX(0,I525-I524)))</f>
        <v/>
      </c>
      <c r="K525" s="24" t="str">
        <f aca="false">IF($A525="","",MAX(0,I524+J525-I525))</f>
        <v/>
      </c>
      <c r="L525" s="24" t="str">
        <f aca="false">IF($A525="","",E525+H525+K525)</f>
        <v/>
      </c>
      <c r="M525" s="4" t="str">
        <f aca="false">IF($A525="","",IF(AND(D525+G525+J525&gt;0,SUMIFS(Recepciones!$C$5:$C$2000,Recepciones!$A$5:$A$2000,"&gt;"&amp;$A524,Recepciones!$A$5:$A$2000,"&lt;="&amp;$A525)=0),"Aumento de stock sin recepción registrada",IF(B525&gt;1,"Intervalo de "&amp;B525&amp;" días","")))</f>
        <v/>
      </c>
    </row>
    <row r="526" customFormat="false" ht="15" hidden="false" customHeight="false" outlineLevel="0" collapsed="false">
      <c r="A526" s="5" t="str">
        <f aca="false">IF(Stock_Diario!A526="","",Stock_Diario!A526)</f>
        <v/>
      </c>
      <c r="B526" s="4" t="str">
        <f aca="false">IF($A526="","",$A526-$A525)</f>
        <v/>
      </c>
      <c r="C526" s="24" t="str">
        <f aca="false">IF($A526="","",Stock_Diario!E526)</f>
        <v/>
      </c>
      <c r="D526" s="24" t="str">
        <f aca="false">IF($A526="","",IF(SUMIFS(Recepciones!$C$5:$C$2000,Recepciones!$B$5:$B$2000,Config!$A$23,Recepciones!$A$5:$A$2000,"&gt;"&amp;$A525,Recepciones!$A$5:$A$2000,"&lt;="&amp;$A526)&gt;0,SUMIFS(Recepciones!$C$5:$C$2000,Recepciones!$B$5:$B$2000,Config!$A$23,Recepciones!$A$5:$A$2000,"&gt;"&amp;$A525,Recepciones!$A$5:$A$2000,"&lt;="&amp;$A526),MAX(0,C526-C525)))</f>
        <v/>
      </c>
      <c r="E526" s="24" t="str">
        <f aca="false">IF($A526="","",MAX(0,C525+D526-C526))</f>
        <v/>
      </c>
      <c r="F526" s="24" t="str">
        <f aca="false">IF($A526="","",Stock_Diario!F526)</f>
        <v/>
      </c>
      <c r="G526" s="24" t="str">
        <f aca="false">IF($A526="","",IF(SUMIFS(Recepciones!$C$5:$C$2000,Recepciones!$B$5:$B$2000,Config!$A$24,Recepciones!$A$5:$A$2000,"&gt;"&amp;$A525,Recepciones!$A$5:$A$2000,"&lt;="&amp;$A526)&gt;0,SUMIFS(Recepciones!$C$5:$C$2000,Recepciones!$B$5:$B$2000,Config!$A$24,Recepciones!$A$5:$A$2000,"&gt;"&amp;$A525,Recepciones!$A$5:$A$2000,"&lt;="&amp;$A526),MAX(0,F526-F525)))</f>
        <v/>
      </c>
      <c r="H526" s="24" t="str">
        <f aca="false">IF($A526="","",MAX(0,F525+G526-F526))</f>
        <v/>
      </c>
      <c r="I526" s="24" t="str">
        <f aca="false">IF($A526="","",Stock_Diario!G526)</f>
        <v/>
      </c>
      <c r="J526" s="24" t="str">
        <f aca="false">IF($A526="","",IF(SUMIFS(Recepciones!$C$5:$C$2000,Recepciones!$B$5:$B$2000,Config!$A$25,Recepciones!$A$5:$A$2000,"&gt;"&amp;$A525,Recepciones!$A$5:$A$2000,"&lt;="&amp;$A526)&gt;0,SUMIFS(Recepciones!$C$5:$C$2000,Recepciones!$B$5:$B$2000,Config!$A$25,Recepciones!$A$5:$A$2000,"&gt;"&amp;$A525,Recepciones!$A$5:$A$2000,"&lt;="&amp;$A526),MAX(0,I526-I525)))</f>
        <v/>
      </c>
      <c r="K526" s="24" t="str">
        <f aca="false">IF($A526="","",MAX(0,I525+J526-I526))</f>
        <v/>
      </c>
      <c r="L526" s="24" t="str">
        <f aca="false">IF($A526="","",E526+H526+K526)</f>
        <v/>
      </c>
      <c r="M526" s="4" t="str">
        <f aca="false">IF($A526="","",IF(AND(D526+G526+J526&gt;0,SUMIFS(Recepciones!$C$5:$C$2000,Recepciones!$A$5:$A$2000,"&gt;"&amp;$A525,Recepciones!$A$5:$A$2000,"&lt;="&amp;$A526)=0),"Aumento de stock sin recepción registrada",IF(B526&gt;1,"Intervalo de "&amp;B526&amp;" días","")))</f>
        <v/>
      </c>
    </row>
    <row r="527" customFormat="false" ht="15" hidden="false" customHeight="false" outlineLevel="0" collapsed="false">
      <c r="A527" s="5" t="str">
        <f aca="false">IF(Stock_Diario!A527="","",Stock_Diario!A527)</f>
        <v/>
      </c>
      <c r="B527" s="4" t="str">
        <f aca="false">IF($A527="","",$A527-$A526)</f>
        <v/>
      </c>
      <c r="C527" s="24" t="str">
        <f aca="false">IF($A527="","",Stock_Diario!E527)</f>
        <v/>
      </c>
      <c r="D527" s="24" t="str">
        <f aca="false">IF($A527="","",IF(SUMIFS(Recepciones!$C$5:$C$2000,Recepciones!$B$5:$B$2000,Config!$A$23,Recepciones!$A$5:$A$2000,"&gt;"&amp;$A526,Recepciones!$A$5:$A$2000,"&lt;="&amp;$A527)&gt;0,SUMIFS(Recepciones!$C$5:$C$2000,Recepciones!$B$5:$B$2000,Config!$A$23,Recepciones!$A$5:$A$2000,"&gt;"&amp;$A526,Recepciones!$A$5:$A$2000,"&lt;="&amp;$A527),MAX(0,C527-C526)))</f>
        <v/>
      </c>
      <c r="E527" s="24" t="str">
        <f aca="false">IF($A527="","",MAX(0,C526+D527-C527))</f>
        <v/>
      </c>
      <c r="F527" s="24" t="str">
        <f aca="false">IF($A527="","",Stock_Diario!F527)</f>
        <v/>
      </c>
      <c r="G527" s="24" t="str">
        <f aca="false">IF($A527="","",IF(SUMIFS(Recepciones!$C$5:$C$2000,Recepciones!$B$5:$B$2000,Config!$A$24,Recepciones!$A$5:$A$2000,"&gt;"&amp;$A526,Recepciones!$A$5:$A$2000,"&lt;="&amp;$A527)&gt;0,SUMIFS(Recepciones!$C$5:$C$2000,Recepciones!$B$5:$B$2000,Config!$A$24,Recepciones!$A$5:$A$2000,"&gt;"&amp;$A526,Recepciones!$A$5:$A$2000,"&lt;="&amp;$A527),MAX(0,F527-F526)))</f>
        <v/>
      </c>
      <c r="H527" s="24" t="str">
        <f aca="false">IF($A527="","",MAX(0,F526+G527-F527))</f>
        <v/>
      </c>
      <c r="I527" s="24" t="str">
        <f aca="false">IF($A527="","",Stock_Diario!G527)</f>
        <v/>
      </c>
      <c r="J527" s="24" t="str">
        <f aca="false">IF($A527="","",IF(SUMIFS(Recepciones!$C$5:$C$2000,Recepciones!$B$5:$B$2000,Config!$A$25,Recepciones!$A$5:$A$2000,"&gt;"&amp;$A526,Recepciones!$A$5:$A$2000,"&lt;="&amp;$A527)&gt;0,SUMIFS(Recepciones!$C$5:$C$2000,Recepciones!$B$5:$B$2000,Config!$A$25,Recepciones!$A$5:$A$2000,"&gt;"&amp;$A526,Recepciones!$A$5:$A$2000,"&lt;="&amp;$A527),MAX(0,I527-I526)))</f>
        <v/>
      </c>
      <c r="K527" s="24" t="str">
        <f aca="false">IF($A527="","",MAX(0,I526+J527-I527))</f>
        <v/>
      </c>
      <c r="L527" s="24" t="str">
        <f aca="false">IF($A527="","",E527+H527+K527)</f>
        <v/>
      </c>
      <c r="M527" s="4" t="str">
        <f aca="false">IF($A527="","",IF(AND(D527+G527+J527&gt;0,SUMIFS(Recepciones!$C$5:$C$2000,Recepciones!$A$5:$A$2000,"&gt;"&amp;$A526,Recepciones!$A$5:$A$2000,"&lt;="&amp;$A527)=0),"Aumento de stock sin recepción registrada",IF(B527&gt;1,"Intervalo de "&amp;B527&amp;" días","")))</f>
        <v/>
      </c>
    </row>
    <row r="528" customFormat="false" ht="15" hidden="false" customHeight="false" outlineLevel="0" collapsed="false">
      <c r="A528" s="5" t="str">
        <f aca="false">IF(Stock_Diario!A528="","",Stock_Diario!A528)</f>
        <v/>
      </c>
      <c r="B528" s="4" t="str">
        <f aca="false">IF($A528="","",$A528-$A527)</f>
        <v/>
      </c>
      <c r="C528" s="24" t="str">
        <f aca="false">IF($A528="","",Stock_Diario!E528)</f>
        <v/>
      </c>
      <c r="D528" s="24" t="str">
        <f aca="false">IF($A528="","",IF(SUMIFS(Recepciones!$C$5:$C$2000,Recepciones!$B$5:$B$2000,Config!$A$23,Recepciones!$A$5:$A$2000,"&gt;"&amp;$A527,Recepciones!$A$5:$A$2000,"&lt;="&amp;$A528)&gt;0,SUMIFS(Recepciones!$C$5:$C$2000,Recepciones!$B$5:$B$2000,Config!$A$23,Recepciones!$A$5:$A$2000,"&gt;"&amp;$A527,Recepciones!$A$5:$A$2000,"&lt;="&amp;$A528),MAX(0,C528-C527)))</f>
        <v/>
      </c>
      <c r="E528" s="24" t="str">
        <f aca="false">IF($A528="","",MAX(0,C527+D528-C528))</f>
        <v/>
      </c>
      <c r="F528" s="24" t="str">
        <f aca="false">IF($A528="","",Stock_Diario!F528)</f>
        <v/>
      </c>
      <c r="G528" s="24" t="str">
        <f aca="false">IF($A528="","",IF(SUMIFS(Recepciones!$C$5:$C$2000,Recepciones!$B$5:$B$2000,Config!$A$24,Recepciones!$A$5:$A$2000,"&gt;"&amp;$A527,Recepciones!$A$5:$A$2000,"&lt;="&amp;$A528)&gt;0,SUMIFS(Recepciones!$C$5:$C$2000,Recepciones!$B$5:$B$2000,Config!$A$24,Recepciones!$A$5:$A$2000,"&gt;"&amp;$A527,Recepciones!$A$5:$A$2000,"&lt;="&amp;$A528),MAX(0,F528-F527)))</f>
        <v/>
      </c>
      <c r="H528" s="24" t="str">
        <f aca="false">IF($A528="","",MAX(0,F527+G528-F528))</f>
        <v/>
      </c>
      <c r="I528" s="24" t="str">
        <f aca="false">IF($A528="","",Stock_Diario!G528)</f>
        <v/>
      </c>
      <c r="J528" s="24" t="str">
        <f aca="false">IF($A528="","",IF(SUMIFS(Recepciones!$C$5:$C$2000,Recepciones!$B$5:$B$2000,Config!$A$25,Recepciones!$A$5:$A$2000,"&gt;"&amp;$A527,Recepciones!$A$5:$A$2000,"&lt;="&amp;$A528)&gt;0,SUMIFS(Recepciones!$C$5:$C$2000,Recepciones!$B$5:$B$2000,Config!$A$25,Recepciones!$A$5:$A$2000,"&gt;"&amp;$A527,Recepciones!$A$5:$A$2000,"&lt;="&amp;$A528),MAX(0,I528-I527)))</f>
        <v/>
      </c>
      <c r="K528" s="24" t="str">
        <f aca="false">IF($A528="","",MAX(0,I527+J528-I528))</f>
        <v/>
      </c>
      <c r="L528" s="24" t="str">
        <f aca="false">IF($A528="","",E528+H528+K528)</f>
        <v/>
      </c>
      <c r="M528" s="4" t="str">
        <f aca="false">IF($A528="","",IF(AND(D528+G528+J528&gt;0,SUMIFS(Recepciones!$C$5:$C$2000,Recepciones!$A$5:$A$2000,"&gt;"&amp;$A527,Recepciones!$A$5:$A$2000,"&lt;="&amp;$A528)=0),"Aumento de stock sin recepción registrada",IF(B528&gt;1,"Intervalo de "&amp;B528&amp;" días","")))</f>
        <v/>
      </c>
    </row>
    <row r="529" customFormat="false" ht="15" hidden="false" customHeight="false" outlineLevel="0" collapsed="false">
      <c r="A529" s="5" t="str">
        <f aca="false">IF(Stock_Diario!A529="","",Stock_Diario!A529)</f>
        <v/>
      </c>
      <c r="B529" s="4" t="str">
        <f aca="false">IF($A529="","",$A529-$A528)</f>
        <v/>
      </c>
      <c r="C529" s="24" t="str">
        <f aca="false">IF($A529="","",Stock_Diario!E529)</f>
        <v/>
      </c>
      <c r="D529" s="24" t="str">
        <f aca="false">IF($A529="","",IF(SUMIFS(Recepciones!$C$5:$C$2000,Recepciones!$B$5:$B$2000,Config!$A$23,Recepciones!$A$5:$A$2000,"&gt;"&amp;$A528,Recepciones!$A$5:$A$2000,"&lt;="&amp;$A529)&gt;0,SUMIFS(Recepciones!$C$5:$C$2000,Recepciones!$B$5:$B$2000,Config!$A$23,Recepciones!$A$5:$A$2000,"&gt;"&amp;$A528,Recepciones!$A$5:$A$2000,"&lt;="&amp;$A529),MAX(0,C529-C528)))</f>
        <v/>
      </c>
      <c r="E529" s="24" t="str">
        <f aca="false">IF($A529="","",MAX(0,C528+D529-C529))</f>
        <v/>
      </c>
      <c r="F529" s="24" t="str">
        <f aca="false">IF($A529="","",Stock_Diario!F529)</f>
        <v/>
      </c>
      <c r="G529" s="24" t="str">
        <f aca="false">IF($A529="","",IF(SUMIFS(Recepciones!$C$5:$C$2000,Recepciones!$B$5:$B$2000,Config!$A$24,Recepciones!$A$5:$A$2000,"&gt;"&amp;$A528,Recepciones!$A$5:$A$2000,"&lt;="&amp;$A529)&gt;0,SUMIFS(Recepciones!$C$5:$C$2000,Recepciones!$B$5:$B$2000,Config!$A$24,Recepciones!$A$5:$A$2000,"&gt;"&amp;$A528,Recepciones!$A$5:$A$2000,"&lt;="&amp;$A529),MAX(0,F529-F528)))</f>
        <v/>
      </c>
      <c r="H529" s="24" t="str">
        <f aca="false">IF($A529="","",MAX(0,F528+G529-F529))</f>
        <v/>
      </c>
      <c r="I529" s="24" t="str">
        <f aca="false">IF($A529="","",Stock_Diario!G529)</f>
        <v/>
      </c>
      <c r="J529" s="24" t="str">
        <f aca="false">IF($A529="","",IF(SUMIFS(Recepciones!$C$5:$C$2000,Recepciones!$B$5:$B$2000,Config!$A$25,Recepciones!$A$5:$A$2000,"&gt;"&amp;$A528,Recepciones!$A$5:$A$2000,"&lt;="&amp;$A529)&gt;0,SUMIFS(Recepciones!$C$5:$C$2000,Recepciones!$B$5:$B$2000,Config!$A$25,Recepciones!$A$5:$A$2000,"&gt;"&amp;$A528,Recepciones!$A$5:$A$2000,"&lt;="&amp;$A529),MAX(0,I529-I528)))</f>
        <v/>
      </c>
      <c r="K529" s="24" t="str">
        <f aca="false">IF($A529="","",MAX(0,I528+J529-I529))</f>
        <v/>
      </c>
      <c r="L529" s="24" t="str">
        <f aca="false">IF($A529="","",E529+H529+K529)</f>
        <v/>
      </c>
      <c r="M529" s="4" t="str">
        <f aca="false">IF($A529="","",IF(AND(D529+G529+J529&gt;0,SUMIFS(Recepciones!$C$5:$C$2000,Recepciones!$A$5:$A$2000,"&gt;"&amp;$A528,Recepciones!$A$5:$A$2000,"&lt;="&amp;$A529)=0),"Aumento de stock sin recepción registrada",IF(B529&gt;1,"Intervalo de "&amp;B529&amp;" días","")))</f>
        <v/>
      </c>
    </row>
    <row r="530" customFormat="false" ht="15" hidden="false" customHeight="false" outlineLevel="0" collapsed="false">
      <c r="A530" s="5" t="str">
        <f aca="false">IF(Stock_Diario!A530="","",Stock_Diario!A530)</f>
        <v/>
      </c>
      <c r="B530" s="4" t="str">
        <f aca="false">IF($A530="","",$A530-$A529)</f>
        <v/>
      </c>
      <c r="C530" s="24" t="str">
        <f aca="false">IF($A530="","",Stock_Diario!E530)</f>
        <v/>
      </c>
      <c r="D530" s="24" t="str">
        <f aca="false">IF($A530="","",IF(SUMIFS(Recepciones!$C$5:$C$2000,Recepciones!$B$5:$B$2000,Config!$A$23,Recepciones!$A$5:$A$2000,"&gt;"&amp;$A529,Recepciones!$A$5:$A$2000,"&lt;="&amp;$A530)&gt;0,SUMIFS(Recepciones!$C$5:$C$2000,Recepciones!$B$5:$B$2000,Config!$A$23,Recepciones!$A$5:$A$2000,"&gt;"&amp;$A529,Recepciones!$A$5:$A$2000,"&lt;="&amp;$A530),MAX(0,C530-C529)))</f>
        <v/>
      </c>
      <c r="E530" s="24" t="str">
        <f aca="false">IF($A530="","",MAX(0,C529+D530-C530))</f>
        <v/>
      </c>
      <c r="F530" s="24" t="str">
        <f aca="false">IF($A530="","",Stock_Diario!F530)</f>
        <v/>
      </c>
      <c r="G530" s="24" t="str">
        <f aca="false">IF($A530="","",IF(SUMIFS(Recepciones!$C$5:$C$2000,Recepciones!$B$5:$B$2000,Config!$A$24,Recepciones!$A$5:$A$2000,"&gt;"&amp;$A529,Recepciones!$A$5:$A$2000,"&lt;="&amp;$A530)&gt;0,SUMIFS(Recepciones!$C$5:$C$2000,Recepciones!$B$5:$B$2000,Config!$A$24,Recepciones!$A$5:$A$2000,"&gt;"&amp;$A529,Recepciones!$A$5:$A$2000,"&lt;="&amp;$A530),MAX(0,F530-F529)))</f>
        <v/>
      </c>
      <c r="H530" s="24" t="str">
        <f aca="false">IF($A530="","",MAX(0,F529+G530-F530))</f>
        <v/>
      </c>
      <c r="I530" s="24" t="str">
        <f aca="false">IF($A530="","",Stock_Diario!G530)</f>
        <v/>
      </c>
      <c r="J530" s="24" t="str">
        <f aca="false">IF($A530="","",IF(SUMIFS(Recepciones!$C$5:$C$2000,Recepciones!$B$5:$B$2000,Config!$A$25,Recepciones!$A$5:$A$2000,"&gt;"&amp;$A529,Recepciones!$A$5:$A$2000,"&lt;="&amp;$A530)&gt;0,SUMIFS(Recepciones!$C$5:$C$2000,Recepciones!$B$5:$B$2000,Config!$A$25,Recepciones!$A$5:$A$2000,"&gt;"&amp;$A529,Recepciones!$A$5:$A$2000,"&lt;="&amp;$A530),MAX(0,I530-I529)))</f>
        <v/>
      </c>
      <c r="K530" s="24" t="str">
        <f aca="false">IF($A530="","",MAX(0,I529+J530-I530))</f>
        <v/>
      </c>
      <c r="L530" s="24" t="str">
        <f aca="false">IF($A530="","",E530+H530+K530)</f>
        <v/>
      </c>
      <c r="M530" s="4" t="str">
        <f aca="false">IF($A530="","",IF(AND(D530+G530+J530&gt;0,SUMIFS(Recepciones!$C$5:$C$2000,Recepciones!$A$5:$A$2000,"&gt;"&amp;$A529,Recepciones!$A$5:$A$2000,"&lt;="&amp;$A530)=0),"Aumento de stock sin recepción registrada",IF(B530&gt;1,"Intervalo de "&amp;B530&amp;" días","")))</f>
        <v/>
      </c>
    </row>
    <row r="531" customFormat="false" ht="15" hidden="false" customHeight="false" outlineLevel="0" collapsed="false">
      <c r="A531" s="5" t="str">
        <f aca="false">IF(Stock_Diario!A531="","",Stock_Diario!A531)</f>
        <v/>
      </c>
      <c r="B531" s="4" t="str">
        <f aca="false">IF($A531="","",$A531-$A530)</f>
        <v/>
      </c>
      <c r="C531" s="24" t="str">
        <f aca="false">IF($A531="","",Stock_Diario!E531)</f>
        <v/>
      </c>
      <c r="D531" s="24" t="str">
        <f aca="false">IF($A531="","",IF(SUMIFS(Recepciones!$C$5:$C$2000,Recepciones!$B$5:$B$2000,Config!$A$23,Recepciones!$A$5:$A$2000,"&gt;"&amp;$A530,Recepciones!$A$5:$A$2000,"&lt;="&amp;$A531)&gt;0,SUMIFS(Recepciones!$C$5:$C$2000,Recepciones!$B$5:$B$2000,Config!$A$23,Recepciones!$A$5:$A$2000,"&gt;"&amp;$A530,Recepciones!$A$5:$A$2000,"&lt;="&amp;$A531),MAX(0,C531-C530)))</f>
        <v/>
      </c>
      <c r="E531" s="24" t="str">
        <f aca="false">IF($A531="","",MAX(0,C530+D531-C531))</f>
        <v/>
      </c>
      <c r="F531" s="24" t="str">
        <f aca="false">IF($A531="","",Stock_Diario!F531)</f>
        <v/>
      </c>
      <c r="G531" s="24" t="str">
        <f aca="false">IF($A531="","",IF(SUMIFS(Recepciones!$C$5:$C$2000,Recepciones!$B$5:$B$2000,Config!$A$24,Recepciones!$A$5:$A$2000,"&gt;"&amp;$A530,Recepciones!$A$5:$A$2000,"&lt;="&amp;$A531)&gt;0,SUMIFS(Recepciones!$C$5:$C$2000,Recepciones!$B$5:$B$2000,Config!$A$24,Recepciones!$A$5:$A$2000,"&gt;"&amp;$A530,Recepciones!$A$5:$A$2000,"&lt;="&amp;$A531),MAX(0,F531-F530)))</f>
        <v/>
      </c>
      <c r="H531" s="24" t="str">
        <f aca="false">IF($A531="","",MAX(0,F530+G531-F531))</f>
        <v/>
      </c>
      <c r="I531" s="24" t="str">
        <f aca="false">IF($A531="","",Stock_Diario!G531)</f>
        <v/>
      </c>
      <c r="J531" s="24" t="str">
        <f aca="false">IF($A531="","",IF(SUMIFS(Recepciones!$C$5:$C$2000,Recepciones!$B$5:$B$2000,Config!$A$25,Recepciones!$A$5:$A$2000,"&gt;"&amp;$A530,Recepciones!$A$5:$A$2000,"&lt;="&amp;$A531)&gt;0,SUMIFS(Recepciones!$C$5:$C$2000,Recepciones!$B$5:$B$2000,Config!$A$25,Recepciones!$A$5:$A$2000,"&gt;"&amp;$A530,Recepciones!$A$5:$A$2000,"&lt;="&amp;$A531),MAX(0,I531-I530)))</f>
        <v/>
      </c>
      <c r="K531" s="24" t="str">
        <f aca="false">IF($A531="","",MAX(0,I530+J531-I531))</f>
        <v/>
      </c>
      <c r="L531" s="24" t="str">
        <f aca="false">IF($A531="","",E531+H531+K531)</f>
        <v/>
      </c>
      <c r="M531" s="4" t="str">
        <f aca="false">IF($A531="","",IF(AND(D531+G531+J531&gt;0,SUMIFS(Recepciones!$C$5:$C$2000,Recepciones!$A$5:$A$2000,"&gt;"&amp;$A530,Recepciones!$A$5:$A$2000,"&lt;="&amp;$A531)=0),"Aumento de stock sin recepción registrada",IF(B531&gt;1,"Intervalo de "&amp;B531&amp;" días","")))</f>
        <v/>
      </c>
    </row>
    <row r="532" customFormat="false" ht="15" hidden="false" customHeight="false" outlineLevel="0" collapsed="false">
      <c r="A532" s="5" t="str">
        <f aca="false">IF(Stock_Diario!A532="","",Stock_Diario!A532)</f>
        <v/>
      </c>
      <c r="B532" s="4" t="str">
        <f aca="false">IF($A532="","",$A532-$A531)</f>
        <v/>
      </c>
      <c r="C532" s="24" t="str">
        <f aca="false">IF($A532="","",Stock_Diario!E532)</f>
        <v/>
      </c>
      <c r="D532" s="24" t="str">
        <f aca="false">IF($A532="","",IF(SUMIFS(Recepciones!$C$5:$C$2000,Recepciones!$B$5:$B$2000,Config!$A$23,Recepciones!$A$5:$A$2000,"&gt;"&amp;$A531,Recepciones!$A$5:$A$2000,"&lt;="&amp;$A532)&gt;0,SUMIFS(Recepciones!$C$5:$C$2000,Recepciones!$B$5:$B$2000,Config!$A$23,Recepciones!$A$5:$A$2000,"&gt;"&amp;$A531,Recepciones!$A$5:$A$2000,"&lt;="&amp;$A532),MAX(0,C532-C531)))</f>
        <v/>
      </c>
      <c r="E532" s="24" t="str">
        <f aca="false">IF($A532="","",MAX(0,C531+D532-C532))</f>
        <v/>
      </c>
      <c r="F532" s="24" t="str">
        <f aca="false">IF($A532="","",Stock_Diario!F532)</f>
        <v/>
      </c>
      <c r="G532" s="24" t="str">
        <f aca="false">IF($A532="","",IF(SUMIFS(Recepciones!$C$5:$C$2000,Recepciones!$B$5:$B$2000,Config!$A$24,Recepciones!$A$5:$A$2000,"&gt;"&amp;$A531,Recepciones!$A$5:$A$2000,"&lt;="&amp;$A532)&gt;0,SUMIFS(Recepciones!$C$5:$C$2000,Recepciones!$B$5:$B$2000,Config!$A$24,Recepciones!$A$5:$A$2000,"&gt;"&amp;$A531,Recepciones!$A$5:$A$2000,"&lt;="&amp;$A532),MAX(0,F532-F531)))</f>
        <v/>
      </c>
      <c r="H532" s="24" t="str">
        <f aca="false">IF($A532="","",MAX(0,F531+G532-F532))</f>
        <v/>
      </c>
      <c r="I532" s="24" t="str">
        <f aca="false">IF($A532="","",Stock_Diario!G532)</f>
        <v/>
      </c>
      <c r="J532" s="24" t="str">
        <f aca="false">IF($A532="","",IF(SUMIFS(Recepciones!$C$5:$C$2000,Recepciones!$B$5:$B$2000,Config!$A$25,Recepciones!$A$5:$A$2000,"&gt;"&amp;$A531,Recepciones!$A$5:$A$2000,"&lt;="&amp;$A532)&gt;0,SUMIFS(Recepciones!$C$5:$C$2000,Recepciones!$B$5:$B$2000,Config!$A$25,Recepciones!$A$5:$A$2000,"&gt;"&amp;$A531,Recepciones!$A$5:$A$2000,"&lt;="&amp;$A532),MAX(0,I532-I531)))</f>
        <v/>
      </c>
      <c r="K532" s="24" t="str">
        <f aca="false">IF($A532="","",MAX(0,I531+J532-I532))</f>
        <v/>
      </c>
      <c r="L532" s="24" t="str">
        <f aca="false">IF($A532="","",E532+H532+K532)</f>
        <v/>
      </c>
      <c r="M532" s="4" t="str">
        <f aca="false">IF($A532="","",IF(AND(D532+G532+J532&gt;0,SUMIFS(Recepciones!$C$5:$C$2000,Recepciones!$A$5:$A$2000,"&gt;"&amp;$A531,Recepciones!$A$5:$A$2000,"&lt;="&amp;$A532)=0),"Aumento de stock sin recepción registrada",IF(B532&gt;1,"Intervalo de "&amp;B532&amp;" días","")))</f>
        <v/>
      </c>
    </row>
    <row r="533" customFormat="false" ht="15" hidden="false" customHeight="false" outlineLevel="0" collapsed="false">
      <c r="A533" s="5" t="str">
        <f aca="false">IF(Stock_Diario!A533="","",Stock_Diario!A533)</f>
        <v/>
      </c>
      <c r="B533" s="4" t="str">
        <f aca="false">IF($A533="","",$A533-$A532)</f>
        <v/>
      </c>
      <c r="C533" s="24" t="str">
        <f aca="false">IF($A533="","",Stock_Diario!E533)</f>
        <v/>
      </c>
      <c r="D533" s="24" t="str">
        <f aca="false">IF($A533="","",IF(SUMIFS(Recepciones!$C$5:$C$2000,Recepciones!$B$5:$B$2000,Config!$A$23,Recepciones!$A$5:$A$2000,"&gt;"&amp;$A532,Recepciones!$A$5:$A$2000,"&lt;="&amp;$A533)&gt;0,SUMIFS(Recepciones!$C$5:$C$2000,Recepciones!$B$5:$B$2000,Config!$A$23,Recepciones!$A$5:$A$2000,"&gt;"&amp;$A532,Recepciones!$A$5:$A$2000,"&lt;="&amp;$A533),MAX(0,C533-C532)))</f>
        <v/>
      </c>
      <c r="E533" s="24" t="str">
        <f aca="false">IF($A533="","",MAX(0,C532+D533-C533))</f>
        <v/>
      </c>
      <c r="F533" s="24" t="str">
        <f aca="false">IF($A533="","",Stock_Diario!F533)</f>
        <v/>
      </c>
      <c r="G533" s="24" t="str">
        <f aca="false">IF($A533="","",IF(SUMIFS(Recepciones!$C$5:$C$2000,Recepciones!$B$5:$B$2000,Config!$A$24,Recepciones!$A$5:$A$2000,"&gt;"&amp;$A532,Recepciones!$A$5:$A$2000,"&lt;="&amp;$A533)&gt;0,SUMIFS(Recepciones!$C$5:$C$2000,Recepciones!$B$5:$B$2000,Config!$A$24,Recepciones!$A$5:$A$2000,"&gt;"&amp;$A532,Recepciones!$A$5:$A$2000,"&lt;="&amp;$A533),MAX(0,F533-F532)))</f>
        <v/>
      </c>
      <c r="H533" s="24" t="str">
        <f aca="false">IF($A533="","",MAX(0,F532+G533-F533))</f>
        <v/>
      </c>
      <c r="I533" s="24" t="str">
        <f aca="false">IF($A533="","",Stock_Diario!G533)</f>
        <v/>
      </c>
      <c r="J533" s="24" t="str">
        <f aca="false">IF($A533="","",IF(SUMIFS(Recepciones!$C$5:$C$2000,Recepciones!$B$5:$B$2000,Config!$A$25,Recepciones!$A$5:$A$2000,"&gt;"&amp;$A532,Recepciones!$A$5:$A$2000,"&lt;="&amp;$A533)&gt;0,SUMIFS(Recepciones!$C$5:$C$2000,Recepciones!$B$5:$B$2000,Config!$A$25,Recepciones!$A$5:$A$2000,"&gt;"&amp;$A532,Recepciones!$A$5:$A$2000,"&lt;="&amp;$A533),MAX(0,I533-I532)))</f>
        <v/>
      </c>
      <c r="K533" s="24" t="str">
        <f aca="false">IF($A533="","",MAX(0,I532+J533-I533))</f>
        <v/>
      </c>
      <c r="L533" s="24" t="str">
        <f aca="false">IF($A533="","",E533+H533+K533)</f>
        <v/>
      </c>
      <c r="M533" s="4" t="str">
        <f aca="false">IF($A533="","",IF(AND(D533+G533+J533&gt;0,SUMIFS(Recepciones!$C$5:$C$2000,Recepciones!$A$5:$A$2000,"&gt;"&amp;$A532,Recepciones!$A$5:$A$2000,"&lt;="&amp;$A533)=0),"Aumento de stock sin recepción registrada",IF(B533&gt;1,"Intervalo de "&amp;B533&amp;" días","")))</f>
        <v/>
      </c>
    </row>
    <row r="534" customFormat="false" ht="15" hidden="false" customHeight="false" outlineLevel="0" collapsed="false">
      <c r="A534" s="5" t="str">
        <f aca="false">IF(Stock_Diario!A534="","",Stock_Diario!A534)</f>
        <v/>
      </c>
      <c r="B534" s="4" t="str">
        <f aca="false">IF($A534="","",$A534-$A533)</f>
        <v/>
      </c>
      <c r="C534" s="24" t="str">
        <f aca="false">IF($A534="","",Stock_Diario!E534)</f>
        <v/>
      </c>
      <c r="D534" s="24" t="str">
        <f aca="false">IF($A534="","",IF(SUMIFS(Recepciones!$C$5:$C$2000,Recepciones!$B$5:$B$2000,Config!$A$23,Recepciones!$A$5:$A$2000,"&gt;"&amp;$A533,Recepciones!$A$5:$A$2000,"&lt;="&amp;$A534)&gt;0,SUMIFS(Recepciones!$C$5:$C$2000,Recepciones!$B$5:$B$2000,Config!$A$23,Recepciones!$A$5:$A$2000,"&gt;"&amp;$A533,Recepciones!$A$5:$A$2000,"&lt;="&amp;$A534),MAX(0,C534-C533)))</f>
        <v/>
      </c>
      <c r="E534" s="24" t="str">
        <f aca="false">IF($A534="","",MAX(0,C533+D534-C534))</f>
        <v/>
      </c>
      <c r="F534" s="24" t="str">
        <f aca="false">IF($A534="","",Stock_Diario!F534)</f>
        <v/>
      </c>
      <c r="G534" s="24" t="str">
        <f aca="false">IF($A534="","",IF(SUMIFS(Recepciones!$C$5:$C$2000,Recepciones!$B$5:$B$2000,Config!$A$24,Recepciones!$A$5:$A$2000,"&gt;"&amp;$A533,Recepciones!$A$5:$A$2000,"&lt;="&amp;$A534)&gt;0,SUMIFS(Recepciones!$C$5:$C$2000,Recepciones!$B$5:$B$2000,Config!$A$24,Recepciones!$A$5:$A$2000,"&gt;"&amp;$A533,Recepciones!$A$5:$A$2000,"&lt;="&amp;$A534),MAX(0,F534-F533)))</f>
        <v/>
      </c>
      <c r="H534" s="24" t="str">
        <f aca="false">IF($A534="","",MAX(0,F533+G534-F534))</f>
        <v/>
      </c>
      <c r="I534" s="24" t="str">
        <f aca="false">IF($A534="","",Stock_Diario!G534)</f>
        <v/>
      </c>
      <c r="J534" s="24" t="str">
        <f aca="false">IF($A534="","",IF(SUMIFS(Recepciones!$C$5:$C$2000,Recepciones!$B$5:$B$2000,Config!$A$25,Recepciones!$A$5:$A$2000,"&gt;"&amp;$A533,Recepciones!$A$5:$A$2000,"&lt;="&amp;$A534)&gt;0,SUMIFS(Recepciones!$C$5:$C$2000,Recepciones!$B$5:$B$2000,Config!$A$25,Recepciones!$A$5:$A$2000,"&gt;"&amp;$A533,Recepciones!$A$5:$A$2000,"&lt;="&amp;$A534),MAX(0,I534-I533)))</f>
        <v/>
      </c>
      <c r="K534" s="24" t="str">
        <f aca="false">IF($A534="","",MAX(0,I533+J534-I534))</f>
        <v/>
      </c>
      <c r="L534" s="24" t="str">
        <f aca="false">IF($A534="","",E534+H534+K534)</f>
        <v/>
      </c>
      <c r="M534" s="4" t="str">
        <f aca="false">IF($A534="","",IF(AND(D534+G534+J534&gt;0,SUMIFS(Recepciones!$C$5:$C$2000,Recepciones!$A$5:$A$2000,"&gt;"&amp;$A533,Recepciones!$A$5:$A$2000,"&lt;="&amp;$A534)=0),"Aumento de stock sin recepción registrada",IF(B534&gt;1,"Intervalo de "&amp;B534&amp;" días","")))</f>
        <v/>
      </c>
    </row>
    <row r="535" customFormat="false" ht="15" hidden="false" customHeight="false" outlineLevel="0" collapsed="false">
      <c r="A535" s="5" t="str">
        <f aca="false">IF(Stock_Diario!A535="","",Stock_Diario!A535)</f>
        <v/>
      </c>
      <c r="B535" s="4" t="str">
        <f aca="false">IF($A535="","",$A535-$A534)</f>
        <v/>
      </c>
      <c r="C535" s="24" t="str">
        <f aca="false">IF($A535="","",Stock_Diario!E535)</f>
        <v/>
      </c>
      <c r="D535" s="24" t="str">
        <f aca="false">IF($A535="","",IF(SUMIFS(Recepciones!$C$5:$C$2000,Recepciones!$B$5:$B$2000,Config!$A$23,Recepciones!$A$5:$A$2000,"&gt;"&amp;$A534,Recepciones!$A$5:$A$2000,"&lt;="&amp;$A535)&gt;0,SUMIFS(Recepciones!$C$5:$C$2000,Recepciones!$B$5:$B$2000,Config!$A$23,Recepciones!$A$5:$A$2000,"&gt;"&amp;$A534,Recepciones!$A$5:$A$2000,"&lt;="&amp;$A535),MAX(0,C535-C534)))</f>
        <v/>
      </c>
      <c r="E535" s="24" t="str">
        <f aca="false">IF($A535="","",MAX(0,C534+D535-C535))</f>
        <v/>
      </c>
      <c r="F535" s="24" t="str">
        <f aca="false">IF($A535="","",Stock_Diario!F535)</f>
        <v/>
      </c>
      <c r="G535" s="24" t="str">
        <f aca="false">IF($A535="","",IF(SUMIFS(Recepciones!$C$5:$C$2000,Recepciones!$B$5:$B$2000,Config!$A$24,Recepciones!$A$5:$A$2000,"&gt;"&amp;$A534,Recepciones!$A$5:$A$2000,"&lt;="&amp;$A535)&gt;0,SUMIFS(Recepciones!$C$5:$C$2000,Recepciones!$B$5:$B$2000,Config!$A$24,Recepciones!$A$5:$A$2000,"&gt;"&amp;$A534,Recepciones!$A$5:$A$2000,"&lt;="&amp;$A535),MAX(0,F535-F534)))</f>
        <v/>
      </c>
      <c r="H535" s="24" t="str">
        <f aca="false">IF($A535="","",MAX(0,F534+G535-F535))</f>
        <v/>
      </c>
      <c r="I535" s="24" t="str">
        <f aca="false">IF($A535="","",Stock_Diario!G535)</f>
        <v/>
      </c>
      <c r="J535" s="24" t="str">
        <f aca="false">IF($A535="","",IF(SUMIFS(Recepciones!$C$5:$C$2000,Recepciones!$B$5:$B$2000,Config!$A$25,Recepciones!$A$5:$A$2000,"&gt;"&amp;$A534,Recepciones!$A$5:$A$2000,"&lt;="&amp;$A535)&gt;0,SUMIFS(Recepciones!$C$5:$C$2000,Recepciones!$B$5:$B$2000,Config!$A$25,Recepciones!$A$5:$A$2000,"&gt;"&amp;$A534,Recepciones!$A$5:$A$2000,"&lt;="&amp;$A535),MAX(0,I535-I534)))</f>
        <v/>
      </c>
      <c r="K535" s="24" t="str">
        <f aca="false">IF($A535="","",MAX(0,I534+J535-I535))</f>
        <v/>
      </c>
      <c r="L535" s="24" t="str">
        <f aca="false">IF($A535="","",E535+H535+K535)</f>
        <v/>
      </c>
      <c r="M535" s="4" t="str">
        <f aca="false">IF($A535="","",IF(AND(D535+G535+J535&gt;0,SUMIFS(Recepciones!$C$5:$C$2000,Recepciones!$A$5:$A$2000,"&gt;"&amp;$A534,Recepciones!$A$5:$A$2000,"&lt;="&amp;$A535)=0),"Aumento de stock sin recepción registrada",IF(B535&gt;1,"Intervalo de "&amp;B535&amp;" días","")))</f>
        <v/>
      </c>
    </row>
    <row r="536" customFormat="false" ht="15" hidden="false" customHeight="false" outlineLevel="0" collapsed="false">
      <c r="A536" s="5" t="str">
        <f aca="false">IF(Stock_Diario!A536="","",Stock_Diario!A536)</f>
        <v/>
      </c>
      <c r="B536" s="4" t="str">
        <f aca="false">IF($A536="","",$A536-$A535)</f>
        <v/>
      </c>
      <c r="C536" s="24" t="str">
        <f aca="false">IF($A536="","",Stock_Diario!E536)</f>
        <v/>
      </c>
      <c r="D536" s="24" t="str">
        <f aca="false">IF($A536="","",IF(SUMIFS(Recepciones!$C$5:$C$2000,Recepciones!$B$5:$B$2000,Config!$A$23,Recepciones!$A$5:$A$2000,"&gt;"&amp;$A535,Recepciones!$A$5:$A$2000,"&lt;="&amp;$A536)&gt;0,SUMIFS(Recepciones!$C$5:$C$2000,Recepciones!$B$5:$B$2000,Config!$A$23,Recepciones!$A$5:$A$2000,"&gt;"&amp;$A535,Recepciones!$A$5:$A$2000,"&lt;="&amp;$A536),MAX(0,C536-C535)))</f>
        <v/>
      </c>
      <c r="E536" s="24" t="str">
        <f aca="false">IF($A536="","",MAX(0,C535+D536-C536))</f>
        <v/>
      </c>
      <c r="F536" s="24" t="str">
        <f aca="false">IF($A536="","",Stock_Diario!F536)</f>
        <v/>
      </c>
      <c r="G536" s="24" t="str">
        <f aca="false">IF($A536="","",IF(SUMIFS(Recepciones!$C$5:$C$2000,Recepciones!$B$5:$B$2000,Config!$A$24,Recepciones!$A$5:$A$2000,"&gt;"&amp;$A535,Recepciones!$A$5:$A$2000,"&lt;="&amp;$A536)&gt;0,SUMIFS(Recepciones!$C$5:$C$2000,Recepciones!$B$5:$B$2000,Config!$A$24,Recepciones!$A$5:$A$2000,"&gt;"&amp;$A535,Recepciones!$A$5:$A$2000,"&lt;="&amp;$A536),MAX(0,F536-F535)))</f>
        <v/>
      </c>
      <c r="H536" s="24" t="str">
        <f aca="false">IF($A536="","",MAX(0,F535+G536-F536))</f>
        <v/>
      </c>
      <c r="I536" s="24" t="str">
        <f aca="false">IF($A536="","",Stock_Diario!G536)</f>
        <v/>
      </c>
      <c r="J536" s="24" t="str">
        <f aca="false">IF($A536="","",IF(SUMIFS(Recepciones!$C$5:$C$2000,Recepciones!$B$5:$B$2000,Config!$A$25,Recepciones!$A$5:$A$2000,"&gt;"&amp;$A535,Recepciones!$A$5:$A$2000,"&lt;="&amp;$A536)&gt;0,SUMIFS(Recepciones!$C$5:$C$2000,Recepciones!$B$5:$B$2000,Config!$A$25,Recepciones!$A$5:$A$2000,"&gt;"&amp;$A535,Recepciones!$A$5:$A$2000,"&lt;="&amp;$A536),MAX(0,I536-I535)))</f>
        <v/>
      </c>
      <c r="K536" s="24" t="str">
        <f aca="false">IF($A536="","",MAX(0,I535+J536-I536))</f>
        <v/>
      </c>
      <c r="L536" s="24" t="str">
        <f aca="false">IF($A536="","",E536+H536+K536)</f>
        <v/>
      </c>
      <c r="M536" s="4" t="str">
        <f aca="false">IF($A536="","",IF(AND(D536+G536+J536&gt;0,SUMIFS(Recepciones!$C$5:$C$2000,Recepciones!$A$5:$A$2000,"&gt;"&amp;$A535,Recepciones!$A$5:$A$2000,"&lt;="&amp;$A536)=0),"Aumento de stock sin recepción registrada",IF(B536&gt;1,"Intervalo de "&amp;B536&amp;" días","")))</f>
        <v/>
      </c>
    </row>
    <row r="537" customFormat="false" ht="15" hidden="false" customHeight="false" outlineLevel="0" collapsed="false">
      <c r="A537" s="5" t="str">
        <f aca="false">IF(Stock_Diario!A537="","",Stock_Diario!A537)</f>
        <v/>
      </c>
      <c r="B537" s="4" t="str">
        <f aca="false">IF($A537="","",$A537-$A536)</f>
        <v/>
      </c>
      <c r="C537" s="24" t="str">
        <f aca="false">IF($A537="","",Stock_Diario!E537)</f>
        <v/>
      </c>
      <c r="D537" s="24" t="str">
        <f aca="false">IF($A537="","",IF(SUMIFS(Recepciones!$C$5:$C$2000,Recepciones!$B$5:$B$2000,Config!$A$23,Recepciones!$A$5:$A$2000,"&gt;"&amp;$A536,Recepciones!$A$5:$A$2000,"&lt;="&amp;$A537)&gt;0,SUMIFS(Recepciones!$C$5:$C$2000,Recepciones!$B$5:$B$2000,Config!$A$23,Recepciones!$A$5:$A$2000,"&gt;"&amp;$A536,Recepciones!$A$5:$A$2000,"&lt;="&amp;$A537),MAX(0,C537-C536)))</f>
        <v/>
      </c>
      <c r="E537" s="24" t="str">
        <f aca="false">IF($A537="","",MAX(0,C536+D537-C537))</f>
        <v/>
      </c>
      <c r="F537" s="24" t="str">
        <f aca="false">IF($A537="","",Stock_Diario!F537)</f>
        <v/>
      </c>
      <c r="G537" s="24" t="str">
        <f aca="false">IF($A537="","",IF(SUMIFS(Recepciones!$C$5:$C$2000,Recepciones!$B$5:$B$2000,Config!$A$24,Recepciones!$A$5:$A$2000,"&gt;"&amp;$A536,Recepciones!$A$5:$A$2000,"&lt;="&amp;$A537)&gt;0,SUMIFS(Recepciones!$C$5:$C$2000,Recepciones!$B$5:$B$2000,Config!$A$24,Recepciones!$A$5:$A$2000,"&gt;"&amp;$A536,Recepciones!$A$5:$A$2000,"&lt;="&amp;$A537),MAX(0,F537-F536)))</f>
        <v/>
      </c>
      <c r="H537" s="24" t="str">
        <f aca="false">IF($A537="","",MAX(0,F536+G537-F537))</f>
        <v/>
      </c>
      <c r="I537" s="24" t="str">
        <f aca="false">IF($A537="","",Stock_Diario!G537)</f>
        <v/>
      </c>
      <c r="J537" s="24" t="str">
        <f aca="false">IF($A537="","",IF(SUMIFS(Recepciones!$C$5:$C$2000,Recepciones!$B$5:$B$2000,Config!$A$25,Recepciones!$A$5:$A$2000,"&gt;"&amp;$A536,Recepciones!$A$5:$A$2000,"&lt;="&amp;$A537)&gt;0,SUMIFS(Recepciones!$C$5:$C$2000,Recepciones!$B$5:$B$2000,Config!$A$25,Recepciones!$A$5:$A$2000,"&gt;"&amp;$A536,Recepciones!$A$5:$A$2000,"&lt;="&amp;$A537),MAX(0,I537-I536)))</f>
        <v/>
      </c>
      <c r="K537" s="24" t="str">
        <f aca="false">IF($A537="","",MAX(0,I536+J537-I537))</f>
        <v/>
      </c>
      <c r="L537" s="24" t="str">
        <f aca="false">IF($A537="","",E537+H537+K537)</f>
        <v/>
      </c>
      <c r="M537" s="4" t="str">
        <f aca="false">IF($A537="","",IF(AND(D537+G537+J537&gt;0,SUMIFS(Recepciones!$C$5:$C$2000,Recepciones!$A$5:$A$2000,"&gt;"&amp;$A536,Recepciones!$A$5:$A$2000,"&lt;="&amp;$A537)=0),"Aumento de stock sin recepción registrada",IF(B537&gt;1,"Intervalo de "&amp;B537&amp;" días","")))</f>
        <v/>
      </c>
    </row>
    <row r="538" customFormat="false" ht="15" hidden="false" customHeight="false" outlineLevel="0" collapsed="false">
      <c r="A538" s="5" t="str">
        <f aca="false">IF(Stock_Diario!A538="","",Stock_Diario!A538)</f>
        <v/>
      </c>
      <c r="B538" s="4" t="str">
        <f aca="false">IF($A538="","",$A538-$A537)</f>
        <v/>
      </c>
      <c r="C538" s="24" t="str">
        <f aca="false">IF($A538="","",Stock_Diario!E538)</f>
        <v/>
      </c>
      <c r="D538" s="24" t="str">
        <f aca="false">IF($A538="","",IF(SUMIFS(Recepciones!$C$5:$C$2000,Recepciones!$B$5:$B$2000,Config!$A$23,Recepciones!$A$5:$A$2000,"&gt;"&amp;$A537,Recepciones!$A$5:$A$2000,"&lt;="&amp;$A538)&gt;0,SUMIFS(Recepciones!$C$5:$C$2000,Recepciones!$B$5:$B$2000,Config!$A$23,Recepciones!$A$5:$A$2000,"&gt;"&amp;$A537,Recepciones!$A$5:$A$2000,"&lt;="&amp;$A538),MAX(0,C538-C537)))</f>
        <v/>
      </c>
      <c r="E538" s="24" t="str">
        <f aca="false">IF($A538="","",MAX(0,C537+D538-C538))</f>
        <v/>
      </c>
      <c r="F538" s="24" t="str">
        <f aca="false">IF($A538="","",Stock_Diario!F538)</f>
        <v/>
      </c>
      <c r="G538" s="24" t="str">
        <f aca="false">IF($A538="","",IF(SUMIFS(Recepciones!$C$5:$C$2000,Recepciones!$B$5:$B$2000,Config!$A$24,Recepciones!$A$5:$A$2000,"&gt;"&amp;$A537,Recepciones!$A$5:$A$2000,"&lt;="&amp;$A538)&gt;0,SUMIFS(Recepciones!$C$5:$C$2000,Recepciones!$B$5:$B$2000,Config!$A$24,Recepciones!$A$5:$A$2000,"&gt;"&amp;$A537,Recepciones!$A$5:$A$2000,"&lt;="&amp;$A538),MAX(0,F538-F537)))</f>
        <v/>
      </c>
      <c r="H538" s="24" t="str">
        <f aca="false">IF($A538="","",MAX(0,F537+G538-F538))</f>
        <v/>
      </c>
      <c r="I538" s="24" t="str">
        <f aca="false">IF($A538="","",Stock_Diario!G538)</f>
        <v/>
      </c>
      <c r="J538" s="24" t="str">
        <f aca="false">IF($A538="","",IF(SUMIFS(Recepciones!$C$5:$C$2000,Recepciones!$B$5:$B$2000,Config!$A$25,Recepciones!$A$5:$A$2000,"&gt;"&amp;$A537,Recepciones!$A$5:$A$2000,"&lt;="&amp;$A538)&gt;0,SUMIFS(Recepciones!$C$5:$C$2000,Recepciones!$B$5:$B$2000,Config!$A$25,Recepciones!$A$5:$A$2000,"&gt;"&amp;$A537,Recepciones!$A$5:$A$2000,"&lt;="&amp;$A538),MAX(0,I538-I537)))</f>
        <v/>
      </c>
      <c r="K538" s="24" t="str">
        <f aca="false">IF($A538="","",MAX(0,I537+J538-I538))</f>
        <v/>
      </c>
      <c r="L538" s="24" t="str">
        <f aca="false">IF($A538="","",E538+H538+K538)</f>
        <v/>
      </c>
      <c r="M538" s="4" t="str">
        <f aca="false">IF($A538="","",IF(AND(D538+G538+J538&gt;0,SUMIFS(Recepciones!$C$5:$C$2000,Recepciones!$A$5:$A$2000,"&gt;"&amp;$A537,Recepciones!$A$5:$A$2000,"&lt;="&amp;$A538)=0),"Aumento de stock sin recepción registrada",IF(B538&gt;1,"Intervalo de "&amp;B538&amp;" días","")))</f>
        <v/>
      </c>
    </row>
    <row r="539" customFormat="false" ht="15" hidden="false" customHeight="false" outlineLevel="0" collapsed="false">
      <c r="A539" s="5" t="str">
        <f aca="false">IF(Stock_Diario!A539="","",Stock_Diario!A539)</f>
        <v/>
      </c>
      <c r="B539" s="4" t="str">
        <f aca="false">IF($A539="","",$A539-$A538)</f>
        <v/>
      </c>
      <c r="C539" s="24" t="str">
        <f aca="false">IF($A539="","",Stock_Diario!E539)</f>
        <v/>
      </c>
      <c r="D539" s="24" t="str">
        <f aca="false">IF($A539="","",IF(SUMIFS(Recepciones!$C$5:$C$2000,Recepciones!$B$5:$B$2000,Config!$A$23,Recepciones!$A$5:$A$2000,"&gt;"&amp;$A538,Recepciones!$A$5:$A$2000,"&lt;="&amp;$A539)&gt;0,SUMIFS(Recepciones!$C$5:$C$2000,Recepciones!$B$5:$B$2000,Config!$A$23,Recepciones!$A$5:$A$2000,"&gt;"&amp;$A538,Recepciones!$A$5:$A$2000,"&lt;="&amp;$A539),MAX(0,C539-C538)))</f>
        <v/>
      </c>
      <c r="E539" s="24" t="str">
        <f aca="false">IF($A539="","",MAX(0,C538+D539-C539))</f>
        <v/>
      </c>
      <c r="F539" s="24" t="str">
        <f aca="false">IF($A539="","",Stock_Diario!F539)</f>
        <v/>
      </c>
      <c r="G539" s="24" t="str">
        <f aca="false">IF($A539="","",IF(SUMIFS(Recepciones!$C$5:$C$2000,Recepciones!$B$5:$B$2000,Config!$A$24,Recepciones!$A$5:$A$2000,"&gt;"&amp;$A538,Recepciones!$A$5:$A$2000,"&lt;="&amp;$A539)&gt;0,SUMIFS(Recepciones!$C$5:$C$2000,Recepciones!$B$5:$B$2000,Config!$A$24,Recepciones!$A$5:$A$2000,"&gt;"&amp;$A538,Recepciones!$A$5:$A$2000,"&lt;="&amp;$A539),MAX(0,F539-F538)))</f>
        <v/>
      </c>
      <c r="H539" s="24" t="str">
        <f aca="false">IF($A539="","",MAX(0,F538+G539-F539))</f>
        <v/>
      </c>
      <c r="I539" s="24" t="str">
        <f aca="false">IF($A539="","",Stock_Diario!G539)</f>
        <v/>
      </c>
      <c r="J539" s="24" t="str">
        <f aca="false">IF($A539="","",IF(SUMIFS(Recepciones!$C$5:$C$2000,Recepciones!$B$5:$B$2000,Config!$A$25,Recepciones!$A$5:$A$2000,"&gt;"&amp;$A538,Recepciones!$A$5:$A$2000,"&lt;="&amp;$A539)&gt;0,SUMIFS(Recepciones!$C$5:$C$2000,Recepciones!$B$5:$B$2000,Config!$A$25,Recepciones!$A$5:$A$2000,"&gt;"&amp;$A538,Recepciones!$A$5:$A$2000,"&lt;="&amp;$A539),MAX(0,I539-I538)))</f>
        <v/>
      </c>
      <c r="K539" s="24" t="str">
        <f aca="false">IF($A539="","",MAX(0,I538+J539-I539))</f>
        <v/>
      </c>
      <c r="L539" s="24" t="str">
        <f aca="false">IF($A539="","",E539+H539+K539)</f>
        <v/>
      </c>
      <c r="M539" s="4" t="str">
        <f aca="false">IF($A539="","",IF(AND(D539+G539+J539&gt;0,SUMIFS(Recepciones!$C$5:$C$2000,Recepciones!$A$5:$A$2000,"&gt;"&amp;$A538,Recepciones!$A$5:$A$2000,"&lt;="&amp;$A539)=0),"Aumento de stock sin recepción registrada",IF(B539&gt;1,"Intervalo de "&amp;B539&amp;" días","")))</f>
        <v/>
      </c>
    </row>
    <row r="540" customFormat="false" ht="15" hidden="false" customHeight="false" outlineLevel="0" collapsed="false">
      <c r="A540" s="5" t="str">
        <f aca="false">IF(Stock_Diario!A540="","",Stock_Diario!A540)</f>
        <v/>
      </c>
      <c r="B540" s="4" t="str">
        <f aca="false">IF($A540="","",$A540-$A539)</f>
        <v/>
      </c>
      <c r="C540" s="24" t="str">
        <f aca="false">IF($A540="","",Stock_Diario!E540)</f>
        <v/>
      </c>
      <c r="D540" s="24" t="str">
        <f aca="false">IF($A540="","",IF(SUMIFS(Recepciones!$C$5:$C$2000,Recepciones!$B$5:$B$2000,Config!$A$23,Recepciones!$A$5:$A$2000,"&gt;"&amp;$A539,Recepciones!$A$5:$A$2000,"&lt;="&amp;$A540)&gt;0,SUMIFS(Recepciones!$C$5:$C$2000,Recepciones!$B$5:$B$2000,Config!$A$23,Recepciones!$A$5:$A$2000,"&gt;"&amp;$A539,Recepciones!$A$5:$A$2000,"&lt;="&amp;$A540),MAX(0,C540-C539)))</f>
        <v/>
      </c>
      <c r="E540" s="24" t="str">
        <f aca="false">IF($A540="","",MAX(0,C539+D540-C540))</f>
        <v/>
      </c>
      <c r="F540" s="24" t="str">
        <f aca="false">IF($A540="","",Stock_Diario!F540)</f>
        <v/>
      </c>
      <c r="G540" s="24" t="str">
        <f aca="false">IF($A540="","",IF(SUMIFS(Recepciones!$C$5:$C$2000,Recepciones!$B$5:$B$2000,Config!$A$24,Recepciones!$A$5:$A$2000,"&gt;"&amp;$A539,Recepciones!$A$5:$A$2000,"&lt;="&amp;$A540)&gt;0,SUMIFS(Recepciones!$C$5:$C$2000,Recepciones!$B$5:$B$2000,Config!$A$24,Recepciones!$A$5:$A$2000,"&gt;"&amp;$A539,Recepciones!$A$5:$A$2000,"&lt;="&amp;$A540),MAX(0,F540-F539)))</f>
        <v/>
      </c>
      <c r="H540" s="24" t="str">
        <f aca="false">IF($A540="","",MAX(0,F539+G540-F540))</f>
        <v/>
      </c>
      <c r="I540" s="24" t="str">
        <f aca="false">IF($A540="","",Stock_Diario!G540)</f>
        <v/>
      </c>
      <c r="J540" s="24" t="str">
        <f aca="false">IF($A540="","",IF(SUMIFS(Recepciones!$C$5:$C$2000,Recepciones!$B$5:$B$2000,Config!$A$25,Recepciones!$A$5:$A$2000,"&gt;"&amp;$A539,Recepciones!$A$5:$A$2000,"&lt;="&amp;$A540)&gt;0,SUMIFS(Recepciones!$C$5:$C$2000,Recepciones!$B$5:$B$2000,Config!$A$25,Recepciones!$A$5:$A$2000,"&gt;"&amp;$A539,Recepciones!$A$5:$A$2000,"&lt;="&amp;$A540),MAX(0,I540-I539)))</f>
        <v/>
      </c>
      <c r="K540" s="24" t="str">
        <f aca="false">IF($A540="","",MAX(0,I539+J540-I540))</f>
        <v/>
      </c>
      <c r="L540" s="24" t="str">
        <f aca="false">IF($A540="","",E540+H540+K540)</f>
        <v/>
      </c>
      <c r="M540" s="4" t="str">
        <f aca="false">IF($A540="","",IF(AND(D540+G540+J540&gt;0,SUMIFS(Recepciones!$C$5:$C$2000,Recepciones!$A$5:$A$2000,"&gt;"&amp;$A539,Recepciones!$A$5:$A$2000,"&lt;="&amp;$A540)=0),"Aumento de stock sin recepción registrada",IF(B540&gt;1,"Intervalo de "&amp;B540&amp;" días","")))</f>
        <v/>
      </c>
    </row>
    <row r="541" customFormat="false" ht="15" hidden="false" customHeight="false" outlineLevel="0" collapsed="false">
      <c r="A541" s="5" t="str">
        <f aca="false">IF(Stock_Diario!A541="","",Stock_Diario!A541)</f>
        <v/>
      </c>
      <c r="B541" s="4" t="str">
        <f aca="false">IF($A541="","",$A541-$A540)</f>
        <v/>
      </c>
      <c r="C541" s="24" t="str">
        <f aca="false">IF($A541="","",Stock_Diario!E541)</f>
        <v/>
      </c>
      <c r="D541" s="24" t="str">
        <f aca="false">IF($A541="","",IF(SUMIFS(Recepciones!$C$5:$C$2000,Recepciones!$B$5:$B$2000,Config!$A$23,Recepciones!$A$5:$A$2000,"&gt;"&amp;$A540,Recepciones!$A$5:$A$2000,"&lt;="&amp;$A541)&gt;0,SUMIFS(Recepciones!$C$5:$C$2000,Recepciones!$B$5:$B$2000,Config!$A$23,Recepciones!$A$5:$A$2000,"&gt;"&amp;$A540,Recepciones!$A$5:$A$2000,"&lt;="&amp;$A541),MAX(0,C541-C540)))</f>
        <v/>
      </c>
      <c r="E541" s="24" t="str">
        <f aca="false">IF($A541="","",MAX(0,C540+D541-C541))</f>
        <v/>
      </c>
      <c r="F541" s="24" t="str">
        <f aca="false">IF($A541="","",Stock_Diario!F541)</f>
        <v/>
      </c>
      <c r="G541" s="24" t="str">
        <f aca="false">IF($A541="","",IF(SUMIFS(Recepciones!$C$5:$C$2000,Recepciones!$B$5:$B$2000,Config!$A$24,Recepciones!$A$5:$A$2000,"&gt;"&amp;$A540,Recepciones!$A$5:$A$2000,"&lt;="&amp;$A541)&gt;0,SUMIFS(Recepciones!$C$5:$C$2000,Recepciones!$B$5:$B$2000,Config!$A$24,Recepciones!$A$5:$A$2000,"&gt;"&amp;$A540,Recepciones!$A$5:$A$2000,"&lt;="&amp;$A541),MAX(0,F541-F540)))</f>
        <v/>
      </c>
      <c r="H541" s="24" t="str">
        <f aca="false">IF($A541="","",MAX(0,F540+G541-F541))</f>
        <v/>
      </c>
      <c r="I541" s="24" t="str">
        <f aca="false">IF($A541="","",Stock_Diario!G541)</f>
        <v/>
      </c>
      <c r="J541" s="24" t="str">
        <f aca="false">IF($A541="","",IF(SUMIFS(Recepciones!$C$5:$C$2000,Recepciones!$B$5:$B$2000,Config!$A$25,Recepciones!$A$5:$A$2000,"&gt;"&amp;$A540,Recepciones!$A$5:$A$2000,"&lt;="&amp;$A541)&gt;0,SUMIFS(Recepciones!$C$5:$C$2000,Recepciones!$B$5:$B$2000,Config!$A$25,Recepciones!$A$5:$A$2000,"&gt;"&amp;$A540,Recepciones!$A$5:$A$2000,"&lt;="&amp;$A541),MAX(0,I541-I540)))</f>
        <v/>
      </c>
      <c r="K541" s="24" t="str">
        <f aca="false">IF($A541="","",MAX(0,I540+J541-I541))</f>
        <v/>
      </c>
      <c r="L541" s="24" t="str">
        <f aca="false">IF($A541="","",E541+H541+K541)</f>
        <v/>
      </c>
      <c r="M541" s="4" t="str">
        <f aca="false">IF($A541="","",IF(AND(D541+G541+J541&gt;0,SUMIFS(Recepciones!$C$5:$C$2000,Recepciones!$A$5:$A$2000,"&gt;"&amp;$A540,Recepciones!$A$5:$A$2000,"&lt;="&amp;$A541)=0),"Aumento de stock sin recepción registrada",IF(B541&gt;1,"Intervalo de "&amp;B541&amp;" días","")))</f>
        <v/>
      </c>
    </row>
    <row r="542" customFormat="false" ht="15" hidden="false" customHeight="false" outlineLevel="0" collapsed="false">
      <c r="A542" s="5" t="str">
        <f aca="false">IF(Stock_Diario!A542="","",Stock_Diario!A542)</f>
        <v/>
      </c>
      <c r="B542" s="4" t="str">
        <f aca="false">IF($A542="","",$A542-$A541)</f>
        <v/>
      </c>
      <c r="C542" s="24" t="str">
        <f aca="false">IF($A542="","",Stock_Diario!E542)</f>
        <v/>
      </c>
      <c r="D542" s="24" t="str">
        <f aca="false">IF($A542="","",IF(SUMIFS(Recepciones!$C$5:$C$2000,Recepciones!$B$5:$B$2000,Config!$A$23,Recepciones!$A$5:$A$2000,"&gt;"&amp;$A541,Recepciones!$A$5:$A$2000,"&lt;="&amp;$A542)&gt;0,SUMIFS(Recepciones!$C$5:$C$2000,Recepciones!$B$5:$B$2000,Config!$A$23,Recepciones!$A$5:$A$2000,"&gt;"&amp;$A541,Recepciones!$A$5:$A$2000,"&lt;="&amp;$A542),MAX(0,C542-C541)))</f>
        <v/>
      </c>
      <c r="E542" s="24" t="str">
        <f aca="false">IF($A542="","",MAX(0,C541+D542-C542))</f>
        <v/>
      </c>
      <c r="F542" s="24" t="str">
        <f aca="false">IF($A542="","",Stock_Diario!F542)</f>
        <v/>
      </c>
      <c r="G542" s="24" t="str">
        <f aca="false">IF($A542="","",IF(SUMIFS(Recepciones!$C$5:$C$2000,Recepciones!$B$5:$B$2000,Config!$A$24,Recepciones!$A$5:$A$2000,"&gt;"&amp;$A541,Recepciones!$A$5:$A$2000,"&lt;="&amp;$A542)&gt;0,SUMIFS(Recepciones!$C$5:$C$2000,Recepciones!$B$5:$B$2000,Config!$A$24,Recepciones!$A$5:$A$2000,"&gt;"&amp;$A541,Recepciones!$A$5:$A$2000,"&lt;="&amp;$A542),MAX(0,F542-F541)))</f>
        <v/>
      </c>
      <c r="H542" s="24" t="str">
        <f aca="false">IF($A542="","",MAX(0,F541+G542-F542))</f>
        <v/>
      </c>
      <c r="I542" s="24" t="str">
        <f aca="false">IF($A542="","",Stock_Diario!G542)</f>
        <v/>
      </c>
      <c r="J542" s="24" t="str">
        <f aca="false">IF($A542="","",IF(SUMIFS(Recepciones!$C$5:$C$2000,Recepciones!$B$5:$B$2000,Config!$A$25,Recepciones!$A$5:$A$2000,"&gt;"&amp;$A541,Recepciones!$A$5:$A$2000,"&lt;="&amp;$A542)&gt;0,SUMIFS(Recepciones!$C$5:$C$2000,Recepciones!$B$5:$B$2000,Config!$A$25,Recepciones!$A$5:$A$2000,"&gt;"&amp;$A541,Recepciones!$A$5:$A$2000,"&lt;="&amp;$A542),MAX(0,I542-I541)))</f>
        <v/>
      </c>
      <c r="K542" s="24" t="str">
        <f aca="false">IF($A542="","",MAX(0,I541+J542-I542))</f>
        <v/>
      </c>
      <c r="L542" s="24" t="str">
        <f aca="false">IF($A542="","",E542+H542+K542)</f>
        <v/>
      </c>
      <c r="M542" s="4" t="str">
        <f aca="false">IF($A542="","",IF(AND(D542+G542+J542&gt;0,SUMIFS(Recepciones!$C$5:$C$2000,Recepciones!$A$5:$A$2000,"&gt;"&amp;$A541,Recepciones!$A$5:$A$2000,"&lt;="&amp;$A542)=0),"Aumento de stock sin recepción registrada",IF(B542&gt;1,"Intervalo de "&amp;B542&amp;" días","")))</f>
        <v/>
      </c>
    </row>
    <row r="543" customFormat="false" ht="15" hidden="false" customHeight="false" outlineLevel="0" collapsed="false">
      <c r="A543" s="5" t="str">
        <f aca="false">IF(Stock_Diario!A543="","",Stock_Diario!A543)</f>
        <v/>
      </c>
      <c r="B543" s="4" t="str">
        <f aca="false">IF($A543="","",$A543-$A542)</f>
        <v/>
      </c>
      <c r="C543" s="24" t="str">
        <f aca="false">IF($A543="","",Stock_Diario!E543)</f>
        <v/>
      </c>
      <c r="D543" s="24" t="str">
        <f aca="false">IF($A543="","",IF(SUMIFS(Recepciones!$C$5:$C$2000,Recepciones!$B$5:$B$2000,Config!$A$23,Recepciones!$A$5:$A$2000,"&gt;"&amp;$A542,Recepciones!$A$5:$A$2000,"&lt;="&amp;$A543)&gt;0,SUMIFS(Recepciones!$C$5:$C$2000,Recepciones!$B$5:$B$2000,Config!$A$23,Recepciones!$A$5:$A$2000,"&gt;"&amp;$A542,Recepciones!$A$5:$A$2000,"&lt;="&amp;$A543),MAX(0,C543-C542)))</f>
        <v/>
      </c>
      <c r="E543" s="24" t="str">
        <f aca="false">IF($A543="","",MAX(0,C542+D543-C543))</f>
        <v/>
      </c>
      <c r="F543" s="24" t="str">
        <f aca="false">IF($A543="","",Stock_Diario!F543)</f>
        <v/>
      </c>
      <c r="G543" s="24" t="str">
        <f aca="false">IF($A543="","",IF(SUMIFS(Recepciones!$C$5:$C$2000,Recepciones!$B$5:$B$2000,Config!$A$24,Recepciones!$A$5:$A$2000,"&gt;"&amp;$A542,Recepciones!$A$5:$A$2000,"&lt;="&amp;$A543)&gt;0,SUMIFS(Recepciones!$C$5:$C$2000,Recepciones!$B$5:$B$2000,Config!$A$24,Recepciones!$A$5:$A$2000,"&gt;"&amp;$A542,Recepciones!$A$5:$A$2000,"&lt;="&amp;$A543),MAX(0,F543-F542)))</f>
        <v/>
      </c>
      <c r="H543" s="24" t="str">
        <f aca="false">IF($A543="","",MAX(0,F542+G543-F543))</f>
        <v/>
      </c>
      <c r="I543" s="24" t="str">
        <f aca="false">IF($A543="","",Stock_Diario!G543)</f>
        <v/>
      </c>
      <c r="J543" s="24" t="str">
        <f aca="false">IF($A543="","",IF(SUMIFS(Recepciones!$C$5:$C$2000,Recepciones!$B$5:$B$2000,Config!$A$25,Recepciones!$A$5:$A$2000,"&gt;"&amp;$A542,Recepciones!$A$5:$A$2000,"&lt;="&amp;$A543)&gt;0,SUMIFS(Recepciones!$C$5:$C$2000,Recepciones!$B$5:$B$2000,Config!$A$25,Recepciones!$A$5:$A$2000,"&gt;"&amp;$A542,Recepciones!$A$5:$A$2000,"&lt;="&amp;$A543),MAX(0,I543-I542)))</f>
        <v/>
      </c>
      <c r="K543" s="24" t="str">
        <f aca="false">IF($A543="","",MAX(0,I542+J543-I543))</f>
        <v/>
      </c>
      <c r="L543" s="24" t="str">
        <f aca="false">IF($A543="","",E543+H543+K543)</f>
        <v/>
      </c>
      <c r="M543" s="4" t="str">
        <f aca="false">IF($A543="","",IF(AND(D543+G543+J543&gt;0,SUMIFS(Recepciones!$C$5:$C$2000,Recepciones!$A$5:$A$2000,"&gt;"&amp;$A542,Recepciones!$A$5:$A$2000,"&lt;="&amp;$A543)=0),"Aumento de stock sin recepción registrada",IF(B543&gt;1,"Intervalo de "&amp;B543&amp;" días","")))</f>
        <v/>
      </c>
    </row>
    <row r="544" customFormat="false" ht="15" hidden="false" customHeight="false" outlineLevel="0" collapsed="false">
      <c r="A544" s="5" t="str">
        <f aca="false">IF(Stock_Diario!A544="","",Stock_Diario!A544)</f>
        <v/>
      </c>
      <c r="B544" s="4" t="str">
        <f aca="false">IF($A544="","",$A544-$A543)</f>
        <v/>
      </c>
      <c r="C544" s="24" t="str">
        <f aca="false">IF($A544="","",Stock_Diario!E544)</f>
        <v/>
      </c>
      <c r="D544" s="24" t="str">
        <f aca="false">IF($A544="","",IF(SUMIFS(Recepciones!$C$5:$C$2000,Recepciones!$B$5:$B$2000,Config!$A$23,Recepciones!$A$5:$A$2000,"&gt;"&amp;$A543,Recepciones!$A$5:$A$2000,"&lt;="&amp;$A544)&gt;0,SUMIFS(Recepciones!$C$5:$C$2000,Recepciones!$B$5:$B$2000,Config!$A$23,Recepciones!$A$5:$A$2000,"&gt;"&amp;$A543,Recepciones!$A$5:$A$2000,"&lt;="&amp;$A544),MAX(0,C544-C543)))</f>
        <v/>
      </c>
      <c r="E544" s="24" t="str">
        <f aca="false">IF($A544="","",MAX(0,C543+D544-C544))</f>
        <v/>
      </c>
      <c r="F544" s="24" t="str">
        <f aca="false">IF($A544="","",Stock_Diario!F544)</f>
        <v/>
      </c>
      <c r="G544" s="24" t="str">
        <f aca="false">IF($A544="","",IF(SUMIFS(Recepciones!$C$5:$C$2000,Recepciones!$B$5:$B$2000,Config!$A$24,Recepciones!$A$5:$A$2000,"&gt;"&amp;$A543,Recepciones!$A$5:$A$2000,"&lt;="&amp;$A544)&gt;0,SUMIFS(Recepciones!$C$5:$C$2000,Recepciones!$B$5:$B$2000,Config!$A$24,Recepciones!$A$5:$A$2000,"&gt;"&amp;$A543,Recepciones!$A$5:$A$2000,"&lt;="&amp;$A544),MAX(0,F544-F543)))</f>
        <v/>
      </c>
      <c r="H544" s="24" t="str">
        <f aca="false">IF($A544="","",MAX(0,F543+G544-F544))</f>
        <v/>
      </c>
      <c r="I544" s="24" t="str">
        <f aca="false">IF($A544="","",Stock_Diario!G544)</f>
        <v/>
      </c>
      <c r="J544" s="24" t="str">
        <f aca="false">IF($A544="","",IF(SUMIFS(Recepciones!$C$5:$C$2000,Recepciones!$B$5:$B$2000,Config!$A$25,Recepciones!$A$5:$A$2000,"&gt;"&amp;$A543,Recepciones!$A$5:$A$2000,"&lt;="&amp;$A544)&gt;0,SUMIFS(Recepciones!$C$5:$C$2000,Recepciones!$B$5:$B$2000,Config!$A$25,Recepciones!$A$5:$A$2000,"&gt;"&amp;$A543,Recepciones!$A$5:$A$2000,"&lt;="&amp;$A544),MAX(0,I544-I543)))</f>
        <v/>
      </c>
      <c r="K544" s="24" t="str">
        <f aca="false">IF($A544="","",MAX(0,I543+J544-I544))</f>
        <v/>
      </c>
      <c r="L544" s="24" t="str">
        <f aca="false">IF($A544="","",E544+H544+K544)</f>
        <v/>
      </c>
      <c r="M544" s="4" t="str">
        <f aca="false">IF($A544="","",IF(AND(D544+G544+J544&gt;0,SUMIFS(Recepciones!$C$5:$C$2000,Recepciones!$A$5:$A$2000,"&gt;"&amp;$A543,Recepciones!$A$5:$A$2000,"&lt;="&amp;$A544)=0),"Aumento de stock sin recepción registrada",IF(B544&gt;1,"Intervalo de "&amp;B544&amp;" días","")))</f>
        <v/>
      </c>
    </row>
    <row r="545" customFormat="false" ht="15" hidden="false" customHeight="false" outlineLevel="0" collapsed="false">
      <c r="A545" s="5" t="str">
        <f aca="false">IF(Stock_Diario!A545="","",Stock_Diario!A545)</f>
        <v/>
      </c>
      <c r="B545" s="4" t="str">
        <f aca="false">IF($A545="","",$A545-$A544)</f>
        <v/>
      </c>
      <c r="C545" s="24" t="str">
        <f aca="false">IF($A545="","",Stock_Diario!E545)</f>
        <v/>
      </c>
      <c r="D545" s="24" t="str">
        <f aca="false">IF($A545="","",IF(SUMIFS(Recepciones!$C$5:$C$2000,Recepciones!$B$5:$B$2000,Config!$A$23,Recepciones!$A$5:$A$2000,"&gt;"&amp;$A544,Recepciones!$A$5:$A$2000,"&lt;="&amp;$A545)&gt;0,SUMIFS(Recepciones!$C$5:$C$2000,Recepciones!$B$5:$B$2000,Config!$A$23,Recepciones!$A$5:$A$2000,"&gt;"&amp;$A544,Recepciones!$A$5:$A$2000,"&lt;="&amp;$A545),MAX(0,C545-C544)))</f>
        <v/>
      </c>
      <c r="E545" s="24" t="str">
        <f aca="false">IF($A545="","",MAX(0,C544+D545-C545))</f>
        <v/>
      </c>
      <c r="F545" s="24" t="str">
        <f aca="false">IF($A545="","",Stock_Diario!F545)</f>
        <v/>
      </c>
      <c r="G545" s="24" t="str">
        <f aca="false">IF($A545="","",IF(SUMIFS(Recepciones!$C$5:$C$2000,Recepciones!$B$5:$B$2000,Config!$A$24,Recepciones!$A$5:$A$2000,"&gt;"&amp;$A544,Recepciones!$A$5:$A$2000,"&lt;="&amp;$A545)&gt;0,SUMIFS(Recepciones!$C$5:$C$2000,Recepciones!$B$5:$B$2000,Config!$A$24,Recepciones!$A$5:$A$2000,"&gt;"&amp;$A544,Recepciones!$A$5:$A$2000,"&lt;="&amp;$A545),MAX(0,F545-F544)))</f>
        <v/>
      </c>
      <c r="H545" s="24" t="str">
        <f aca="false">IF($A545="","",MAX(0,F544+G545-F545))</f>
        <v/>
      </c>
      <c r="I545" s="24" t="str">
        <f aca="false">IF($A545="","",Stock_Diario!G545)</f>
        <v/>
      </c>
      <c r="J545" s="24" t="str">
        <f aca="false">IF($A545="","",IF(SUMIFS(Recepciones!$C$5:$C$2000,Recepciones!$B$5:$B$2000,Config!$A$25,Recepciones!$A$5:$A$2000,"&gt;"&amp;$A544,Recepciones!$A$5:$A$2000,"&lt;="&amp;$A545)&gt;0,SUMIFS(Recepciones!$C$5:$C$2000,Recepciones!$B$5:$B$2000,Config!$A$25,Recepciones!$A$5:$A$2000,"&gt;"&amp;$A544,Recepciones!$A$5:$A$2000,"&lt;="&amp;$A545),MAX(0,I545-I544)))</f>
        <v/>
      </c>
      <c r="K545" s="24" t="str">
        <f aca="false">IF($A545="","",MAX(0,I544+J545-I545))</f>
        <v/>
      </c>
      <c r="L545" s="24" t="str">
        <f aca="false">IF($A545="","",E545+H545+K545)</f>
        <v/>
      </c>
      <c r="M545" s="4" t="str">
        <f aca="false">IF($A545="","",IF(AND(D545+G545+J545&gt;0,SUMIFS(Recepciones!$C$5:$C$2000,Recepciones!$A$5:$A$2000,"&gt;"&amp;$A544,Recepciones!$A$5:$A$2000,"&lt;="&amp;$A545)=0),"Aumento de stock sin recepción registrada",IF(B545&gt;1,"Intervalo de "&amp;B545&amp;" días","")))</f>
        <v/>
      </c>
    </row>
    <row r="546" customFormat="false" ht="15" hidden="false" customHeight="false" outlineLevel="0" collapsed="false">
      <c r="A546" s="5" t="str">
        <f aca="false">IF(Stock_Diario!A546="","",Stock_Diario!A546)</f>
        <v/>
      </c>
      <c r="B546" s="4" t="str">
        <f aca="false">IF($A546="","",$A546-$A545)</f>
        <v/>
      </c>
      <c r="C546" s="24" t="str">
        <f aca="false">IF($A546="","",Stock_Diario!E546)</f>
        <v/>
      </c>
      <c r="D546" s="24" t="str">
        <f aca="false">IF($A546="","",IF(SUMIFS(Recepciones!$C$5:$C$2000,Recepciones!$B$5:$B$2000,Config!$A$23,Recepciones!$A$5:$A$2000,"&gt;"&amp;$A545,Recepciones!$A$5:$A$2000,"&lt;="&amp;$A546)&gt;0,SUMIFS(Recepciones!$C$5:$C$2000,Recepciones!$B$5:$B$2000,Config!$A$23,Recepciones!$A$5:$A$2000,"&gt;"&amp;$A545,Recepciones!$A$5:$A$2000,"&lt;="&amp;$A546),MAX(0,C546-C545)))</f>
        <v/>
      </c>
      <c r="E546" s="24" t="str">
        <f aca="false">IF($A546="","",MAX(0,C545+D546-C546))</f>
        <v/>
      </c>
      <c r="F546" s="24" t="str">
        <f aca="false">IF($A546="","",Stock_Diario!F546)</f>
        <v/>
      </c>
      <c r="G546" s="24" t="str">
        <f aca="false">IF($A546="","",IF(SUMIFS(Recepciones!$C$5:$C$2000,Recepciones!$B$5:$B$2000,Config!$A$24,Recepciones!$A$5:$A$2000,"&gt;"&amp;$A545,Recepciones!$A$5:$A$2000,"&lt;="&amp;$A546)&gt;0,SUMIFS(Recepciones!$C$5:$C$2000,Recepciones!$B$5:$B$2000,Config!$A$24,Recepciones!$A$5:$A$2000,"&gt;"&amp;$A545,Recepciones!$A$5:$A$2000,"&lt;="&amp;$A546),MAX(0,F546-F545)))</f>
        <v/>
      </c>
      <c r="H546" s="24" t="str">
        <f aca="false">IF($A546="","",MAX(0,F545+G546-F546))</f>
        <v/>
      </c>
      <c r="I546" s="24" t="str">
        <f aca="false">IF($A546="","",Stock_Diario!G546)</f>
        <v/>
      </c>
      <c r="J546" s="24" t="str">
        <f aca="false">IF($A546="","",IF(SUMIFS(Recepciones!$C$5:$C$2000,Recepciones!$B$5:$B$2000,Config!$A$25,Recepciones!$A$5:$A$2000,"&gt;"&amp;$A545,Recepciones!$A$5:$A$2000,"&lt;="&amp;$A546)&gt;0,SUMIFS(Recepciones!$C$5:$C$2000,Recepciones!$B$5:$B$2000,Config!$A$25,Recepciones!$A$5:$A$2000,"&gt;"&amp;$A545,Recepciones!$A$5:$A$2000,"&lt;="&amp;$A546),MAX(0,I546-I545)))</f>
        <v/>
      </c>
      <c r="K546" s="24" t="str">
        <f aca="false">IF($A546="","",MAX(0,I545+J546-I546))</f>
        <v/>
      </c>
      <c r="L546" s="24" t="str">
        <f aca="false">IF($A546="","",E546+H546+K546)</f>
        <v/>
      </c>
      <c r="M546" s="4" t="str">
        <f aca="false">IF($A546="","",IF(AND(D546+G546+J546&gt;0,SUMIFS(Recepciones!$C$5:$C$2000,Recepciones!$A$5:$A$2000,"&gt;"&amp;$A545,Recepciones!$A$5:$A$2000,"&lt;="&amp;$A546)=0),"Aumento de stock sin recepción registrada",IF(B546&gt;1,"Intervalo de "&amp;B546&amp;" días","")))</f>
        <v/>
      </c>
    </row>
    <row r="547" customFormat="false" ht="15" hidden="false" customHeight="false" outlineLevel="0" collapsed="false">
      <c r="A547" s="5" t="str">
        <f aca="false">IF(Stock_Diario!A547="","",Stock_Diario!A547)</f>
        <v/>
      </c>
      <c r="B547" s="4" t="str">
        <f aca="false">IF($A547="","",$A547-$A546)</f>
        <v/>
      </c>
      <c r="C547" s="24" t="str">
        <f aca="false">IF($A547="","",Stock_Diario!E547)</f>
        <v/>
      </c>
      <c r="D547" s="24" t="str">
        <f aca="false">IF($A547="","",IF(SUMIFS(Recepciones!$C$5:$C$2000,Recepciones!$B$5:$B$2000,Config!$A$23,Recepciones!$A$5:$A$2000,"&gt;"&amp;$A546,Recepciones!$A$5:$A$2000,"&lt;="&amp;$A547)&gt;0,SUMIFS(Recepciones!$C$5:$C$2000,Recepciones!$B$5:$B$2000,Config!$A$23,Recepciones!$A$5:$A$2000,"&gt;"&amp;$A546,Recepciones!$A$5:$A$2000,"&lt;="&amp;$A547),MAX(0,C547-C546)))</f>
        <v/>
      </c>
      <c r="E547" s="24" t="str">
        <f aca="false">IF($A547="","",MAX(0,C546+D547-C547))</f>
        <v/>
      </c>
      <c r="F547" s="24" t="str">
        <f aca="false">IF($A547="","",Stock_Diario!F547)</f>
        <v/>
      </c>
      <c r="G547" s="24" t="str">
        <f aca="false">IF($A547="","",IF(SUMIFS(Recepciones!$C$5:$C$2000,Recepciones!$B$5:$B$2000,Config!$A$24,Recepciones!$A$5:$A$2000,"&gt;"&amp;$A546,Recepciones!$A$5:$A$2000,"&lt;="&amp;$A547)&gt;0,SUMIFS(Recepciones!$C$5:$C$2000,Recepciones!$B$5:$B$2000,Config!$A$24,Recepciones!$A$5:$A$2000,"&gt;"&amp;$A546,Recepciones!$A$5:$A$2000,"&lt;="&amp;$A547),MAX(0,F547-F546)))</f>
        <v/>
      </c>
      <c r="H547" s="24" t="str">
        <f aca="false">IF($A547="","",MAX(0,F546+G547-F547))</f>
        <v/>
      </c>
      <c r="I547" s="24" t="str">
        <f aca="false">IF($A547="","",Stock_Diario!G547)</f>
        <v/>
      </c>
      <c r="J547" s="24" t="str">
        <f aca="false">IF($A547="","",IF(SUMIFS(Recepciones!$C$5:$C$2000,Recepciones!$B$5:$B$2000,Config!$A$25,Recepciones!$A$5:$A$2000,"&gt;"&amp;$A546,Recepciones!$A$5:$A$2000,"&lt;="&amp;$A547)&gt;0,SUMIFS(Recepciones!$C$5:$C$2000,Recepciones!$B$5:$B$2000,Config!$A$25,Recepciones!$A$5:$A$2000,"&gt;"&amp;$A546,Recepciones!$A$5:$A$2000,"&lt;="&amp;$A547),MAX(0,I547-I546)))</f>
        <v/>
      </c>
      <c r="K547" s="24" t="str">
        <f aca="false">IF($A547="","",MAX(0,I546+J547-I547))</f>
        <v/>
      </c>
      <c r="L547" s="24" t="str">
        <f aca="false">IF($A547="","",E547+H547+K547)</f>
        <v/>
      </c>
      <c r="M547" s="4" t="str">
        <f aca="false">IF($A547="","",IF(AND(D547+G547+J547&gt;0,SUMIFS(Recepciones!$C$5:$C$2000,Recepciones!$A$5:$A$2000,"&gt;"&amp;$A546,Recepciones!$A$5:$A$2000,"&lt;="&amp;$A547)=0),"Aumento de stock sin recepción registrada",IF(B547&gt;1,"Intervalo de "&amp;B547&amp;" días","")))</f>
        <v/>
      </c>
    </row>
    <row r="548" customFormat="false" ht="15" hidden="false" customHeight="false" outlineLevel="0" collapsed="false">
      <c r="A548" s="5" t="str">
        <f aca="false">IF(Stock_Diario!A548="","",Stock_Diario!A548)</f>
        <v/>
      </c>
      <c r="B548" s="4" t="str">
        <f aca="false">IF($A548="","",$A548-$A547)</f>
        <v/>
      </c>
      <c r="C548" s="24" t="str">
        <f aca="false">IF($A548="","",Stock_Diario!E548)</f>
        <v/>
      </c>
      <c r="D548" s="24" t="str">
        <f aca="false">IF($A548="","",IF(SUMIFS(Recepciones!$C$5:$C$2000,Recepciones!$B$5:$B$2000,Config!$A$23,Recepciones!$A$5:$A$2000,"&gt;"&amp;$A547,Recepciones!$A$5:$A$2000,"&lt;="&amp;$A548)&gt;0,SUMIFS(Recepciones!$C$5:$C$2000,Recepciones!$B$5:$B$2000,Config!$A$23,Recepciones!$A$5:$A$2000,"&gt;"&amp;$A547,Recepciones!$A$5:$A$2000,"&lt;="&amp;$A548),MAX(0,C548-C547)))</f>
        <v/>
      </c>
      <c r="E548" s="24" t="str">
        <f aca="false">IF($A548="","",MAX(0,C547+D548-C548))</f>
        <v/>
      </c>
      <c r="F548" s="24" t="str">
        <f aca="false">IF($A548="","",Stock_Diario!F548)</f>
        <v/>
      </c>
      <c r="G548" s="24" t="str">
        <f aca="false">IF($A548="","",IF(SUMIFS(Recepciones!$C$5:$C$2000,Recepciones!$B$5:$B$2000,Config!$A$24,Recepciones!$A$5:$A$2000,"&gt;"&amp;$A547,Recepciones!$A$5:$A$2000,"&lt;="&amp;$A548)&gt;0,SUMIFS(Recepciones!$C$5:$C$2000,Recepciones!$B$5:$B$2000,Config!$A$24,Recepciones!$A$5:$A$2000,"&gt;"&amp;$A547,Recepciones!$A$5:$A$2000,"&lt;="&amp;$A548),MAX(0,F548-F547)))</f>
        <v/>
      </c>
      <c r="H548" s="24" t="str">
        <f aca="false">IF($A548="","",MAX(0,F547+G548-F548))</f>
        <v/>
      </c>
      <c r="I548" s="24" t="str">
        <f aca="false">IF($A548="","",Stock_Diario!G548)</f>
        <v/>
      </c>
      <c r="J548" s="24" t="str">
        <f aca="false">IF($A548="","",IF(SUMIFS(Recepciones!$C$5:$C$2000,Recepciones!$B$5:$B$2000,Config!$A$25,Recepciones!$A$5:$A$2000,"&gt;"&amp;$A547,Recepciones!$A$5:$A$2000,"&lt;="&amp;$A548)&gt;0,SUMIFS(Recepciones!$C$5:$C$2000,Recepciones!$B$5:$B$2000,Config!$A$25,Recepciones!$A$5:$A$2000,"&gt;"&amp;$A547,Recepciones!$A$5:$A$2000,"&lt;="&amp;$A548),MAX(0,I548-I547)))</f>
        <v/>
      </c>
      <c r="K548" s="24" t="str">
        <f aca="false">IF($A548="","",MAX(0,I547+J548-I548))</f>
        <v/>
      </c>
      <c r="L548" s="24" t="str">
        <f aca="false">IF($A548="","",E548+H548+K548)</f>
        <v/>
      </c>
      <c r="M548" s="4" t="str">
        <f aca="false">IF($A548="","",IF(AND(D548+G548+J548&gt;0,SUMIFS(Recepciones!$C$5:$C$2000,Recepciones!$A$5:$A$2000,"&gt;"&amp;$A547,Recepciones!$A$5:$A$2000,"&lt;="&amp;$A548)=0),"Aumento de stock sin recepción registrada",IF(B548&gt;1,"Intervalo de "&amp;B548&amp;" días","")))</f>
        <v/>
      </c>
    </row>
    <row r="549" customFormat="false" ht="15" hidden="false" customHeight="false" outlineLevel="0" collapsed="false">
      <c r="A549" s="5" t="str">
        <f aca="false">IF(Stock_Diario!A549="","",Stock_Diario!A549)</f>
        <v/>
      </c>
      <c r="B549" s="4" t="str">
        <f aca="false">IF($A549="","",$A549-$A548)</f>
        <v/>
      </c>
      <c r="C549" s="24" t="str">
        <f aca="false">IF($A549="","",Stock_Diario!E549)</f>
        <v/>
      </c>
      <c r="D549" s="24" t="str">
        <f aca="false">IF($A549="","",IF(SUMIFS(Recepciones!$C$5:$C$2000,Recepciones!$B$5:$B$2000,Config!$A$23,Recepciones!$A$5:$A$2000,"&gt;"&amp;$A548,Recepciones!$A$5:$A$2000,"&lt;="&amp;$A549)&gt;0,SUMIFS(Recepciones!$C$5:$C$2000,Recepciones!$B$5:$B$2000,Config!$A$23,Recepciones!$A$5:$A$2000,"&gt;"&amp;$A548,Recepciones!$A$5:$A$2000,"&lt;="&amp;$A549),MAX(0,C549-C548)))</f>
        <v/>
      </c>
      <c r="E549" s="24" t="str">
        <f aca="false">IF($A549="","",MAX(0,C548+D549-C549))</f>
        <v/>
      </c>
      <c r="F549" s="24" t="str">
        <f aca="false">IF($A549="","",Stock_Diario!F549)</f>
        <v/>
      </c>
      <c r="G549" s="24" t="str">
        <f aca="false">IF($A549="","",IF(SUMIFS(Recepciones!$C$5:$C$2000,Recepciones!$B$5:$B$2000,Config!$A$24,Recepciones!$A$5:$A$2000,"&gt;"&amp;$A548,Recepciones!$A$5:$A$2000,"&lt;="&amp;$A549)&gt;0,SUMIFS(Recepciones!$C$5:$C$2000,Recepciones!$B$5:$B$2000,Config!$A$24,Recepciones!$A$5:$A$2000,"&gt;"&amp;$A548,Recepciones!$A$5:$A$2000,"&lt;="&amp;$A549),MAX(0,F549-F548)))</f>
        <v/>
      </c>
      <c r="H549" s="24" t="str">
        <f aca="false">IF($A549="","",MAX(0,F548+G549-F549))</f>
        <v/>
      </c>
      <c r="I549" s="24" t="str">
        <f aca="false">IF($A549="","",Stock_Diario!G549)</f>
        <v/>
      </c>
      <c r="J549" s="24" t="str">
        <f aca="false">IF($A549="","",IF(SUMIFS(Recepciones!$C$5:$C$2000,Recepciones!$B$5:$B$2000,Config!$A$25,Recepciones!$A$5:$A$2000,"&gt;"&amp;$A548,Recepciones!$A$5:$A$2000,"&lt;="&amp;$A549)&gt;0,SUMIFS(Recepciones!$C$5:$C$2000,Recepciones!$B$5:$B$2000,Config!$A$25,Recepciones!$A$5:$A$2000,"&gt;"&amp;$A548,Recepciones!$A$5:$A$2000,"&lt;="&amp;$A549),MAX(0,I549-I548)))</f>
        <v/>
      </c>
      <c r="K549" s="24" t="str">
        <f aca="false">IF($A549="","",MAX(0,I548+J549-I549))</f>
        <v/>
      </c>
      <c r="L549" s="24" t="str">
        <f aca="false">IF($A549="","",E549+H549+K549)</f>
        <v/>
      </c>
      <c r="M549" s="4" t="str">
        <f aca="false">IF($A549="","",IF(AND(D549+G549+J549&gt;0,SUMIFS(Recepciones!$C$5:$C$2000,Recepciones!$A$5:$A$2000,"&gt;"&amp;$A548,Recepciones!$A$5:$A$2000,"&lt;="&amp;$A549)=0),"Aumento de stock sin recepción registrada",IF(B549&gt;1,"Intervalo de "&amp;B549&amp;" días","")))</f>
        <v/>
      </c>
    </row>
    <row r="550" customFormat="false" ht="15" hidden="false" customHeight="false" outlineLevel="0" collapsed="false">
      <c r="A550" s="5" t="str">
        <f aca="false">IF(Stock_Diario!A550="","",Stock_Diario!A550)</f>
        <v/>
      </c>
      <c r="B550" s="4" t="str">
        <f aca="false">IF($A550="","",$A550-$A549)</f>
        <v/>
      </c>
      <c r="C550" s="24" t="str">
        <f aca="false">IF($A550="","",Stock_Diario!E550)</f>
        <v/>
      </c>
      <c r="D550" s="24" t="str">
        <f aca="false">IF($A550="","",IF(SUMIFS(Recepciones!$C$5:$C$2000,Recepciones!$B$5:$B$2000,Config!$A$23,Recepciones!$A$5:$A$2000,"&gt;"&amp;$A549,Recepciones!$A$5:$A$2000,"&lt;="&amp;$A550)&gt;0,SUMIFS(Recepciones!$C$5:$C$2000,Recepciones!$B$5:$B$2000,Config!$A$23,Recepciones!$A$5:$A$2000,"&gt;"&amp;$A549,Recepciones!$A$5:$A$2000,"&lt;="&amp;$A550),MAX(0,C550-C549)))</f>
        <v/>
      </c>
      <c r="E550" s="24" t="str">
        <f aca="false">IF($A550="","",MAX(0,C549+D550-C550))</f>
        <v/>
      </c>
      <c r="F550" s="24" t="str">
        <f aca="false">IF($A550="","",Stock_Diario!F550)</f>
        <v/>
      </c>
      <c r="G550" s="24" t="str">
        <f aca="false">IF($A550="","",IF(SUMIFS(Recepciones!$C$5:$C$2000,Recepciones!$B$5:$B$2000,Config!$A$24,Recepciones!$A$5:$A$2000,"&gt;"&amp;$A549,Recepciones!$A$5:$A$2000,"&lt;="&amp;$A550)&gt;0,SUMIFS(Recepciones!$C$5:$C$2000,Recepciones!$B$5:$B$2000,Config!$A$24,Recepciones!$A$5:$A$2000,"&gt;"&amp;$A549,Recepciones!$A$5:$A$2000,"&lt;="&amp;$A550),MAX(0,F550-F549)))</f>
        <v/>
      </c>
      <c r="H550" s="24" t="str">
        <f aca="false">IF($A550="","",MAX(0,F549+G550-F550))</f>
        <v/>
      </c>
      <c r="I550" s="24" t="str">
        <f aca="false">IF($A550="","",Stock_Diario!G550)</f>
        <v/>
      </c>
      <c r="J550" s="24" t="str">
        <f aca="false">IF($A550="","",IF(SUMIFS(Recepciones!$C$5:$C$2000,Recepciones!$B$5:$B$2000,Config!$A$25,Recepciones!$A$5:$A$2000,"&gt;"&amp;$A549,Recepciones!$A$5:$A$2000,"&lt;="&amp;$A550)&gt;0,SUMIFS(Recepciones!$C$5:$C$2000,Recepciones!$B$5:$B$2000,Config!$A$25,Recepciones!$A$5:$A$2000,"&gt;"&amp;$A549,Recepciones!$A$5:$A$2000,"&lt;="&amp;$A550),MAX(0,I550-I549)))</f>
        <v/>
      </c>
      <c r="K550" s="24" t="str">
        <f aca="false">IF($A550="","",MAX(0,I549+J550-I550))</f>
        <v/>
      </c>
      <c r="L550" s="24" t="str">
        <f aca="false">IF($A550="","",E550+H550+K550)</f>
        <v/>
      </c>
      <c r="M550" s="4" t="str">
        <f aca="false">IF($A550="","",IF(AND(D550+G550+J550&gt;0,SUMIFS(Recepciones!$C$5:$C$2000,Recepciones!$A$5:$A$2000,"&gt;"&amp;$A549,Recepciones!$A$5:$A$2000,"&lt;="&amp;$A550)=0),"Aumento de stock sin recepción registrada",IF(B550&gt;1,"Intervalo de "&amp;B550&amp;" días","")))</f>
        <v/>
      </c>
    </row>
    <row r="551" customFormat="false" ht="15" hidden="false" customHeight="false" outlineLevel="0" collapsed="false">
      <c r="A551" s="5" t="str">
        <f aca="false">IF(Stock_Diario!A551="","",Stock_Diario!A551)</f>
        <v/>
      </c>
      <c r="B551" s="4" t="str">
        <f aca="false">IF($A551="","",$A551-$A550)</f>
        <v/>
      </c>
      <c r="C551" s="24" t="str">
        <f aca="false">IF($A551="","",Stock_Diario!E551)</f>
        <v/>
      </c>
      <c r="D551" s="24" t="str">
        <f aca="false">IF($A551="","",IF(SUMIFS(Recepciones!$C$5:$C$2000,Recepciones!$B$5:$B$2000,Config!$A$23,Recepciones!$A$5:$A$2000,"&gt;"&amp;$A550,Recepciones!$A$5:$A$2000,"&lt;="&amp;$A551)&gt;0,SUMIFS(Recepciones!$C$5:$C$2000,Recepciones!$B$5:$B$2000,Config!$A$23,Recepciones!$A$5:$A$2000,"&gt;"&amp;$A550,Recepciones!$A$5:$A$2000,"&lt;="&amp;$A551),MAX(0,C551-C550)))</f>
        <v/>
      </c>
      <c r="E551" s="24" t="str">
        <f aca="false">IF($A551="","",MAX(0,C550+D551-C551))</f>
        <v/>
      </c>
      <c r="F551" s="24" t="str">
        <f aca="false">IF($A551="","",Stock_Diario!F551)</f>
        <v/>
      </c>
      <c r="G551" s="24" t="str">
        <f aca="false">IF($A551="","",IF(SUMIFS(Recepciones!$C$5:$C$2000,Recepciones!$B$5:$B$2000,Config!$A$24,Recepciones!$A$5:$A$2000,"&gt;"&amp;$A550,Recepciones!$A$5:$A$2000,"&lt;="&amp;$A551)&gt;0,SUMIFS(Recepciones!$C$5:$C$2000,Recepciones!$B$5:$B$2000,Config!$A$24,Recepciones!$A$5:$A$2000,"&gt;"&amp;$A550,Recepciones!$A$5:$A$2000,"&lt;="&amp;$A551),MAX(0,F551-F550)))</f>
        <v/>
      </c>
      <c r="H551" s="24" t="str">
        <f aca="false">IF($A551="","",MAX(0,F550+G551-F551))</f>
        <v/>
      </c>
      <c r="I551" s="24" t="str">
        <f aca="false">IF($A551="","",Stock_Diario!G551)</f>
        <v/>
      </c>
      <c r="J551" s="24" t="str">
        <f aca="false">IF($A551="","",IF(SUMIFS(Recepciones!$C$5:$C$2000,Recepciones!$B$5:$B$2000,Config!$A$25,Recepciones!$A$5:$A$2000,"&gt;"&amp;$A550,Recepciones!$A$5:$A$2000,"&lt;="&amp;$A551)&gt;0,SUMIFS(Recepciones!$C$5:$C$2000,Recepciones!$B$5:$B$2000,Config!$A$25,Recepciones!$A$5:$A$2000,"&gt;"&amp;$A550,Recepciones!$A$5:$A$2000,"&lt;="&amp;$A551),MAX(0,I551-I550)))</f>
        <v/>
      </c>
      <c r="K551" s="24" t="str">
        <f aca="false">IF($A551="","",MAX(0,I550+J551-I551))</f>
        <v/>
      </c>
      <c r="L551" s="24" t="str">
        <f aca="false">IF($A551="","",E551+H551+K551)</f>
        <v/>
      </c>
      <c r="M551" s="4" t="str">
        <f aca="false">IF($A551="","",IF(AND(D551+G551+J551&gt;0,SUMIFS(Recepciones!$C$5:$C$2000,Recepciones!$A$5:$A$2000,"&gt;"&amp;$A550,Recepciones!$A$5:$A$2000,"&lt;="&amp;$A551)=0),"Aumento de stock sin recepción registrada",IF(B551&gt;1,"Intervalo de "&amp;B551&amp;" días","")))</f>
        <v/>
      </c>
    </row>
    <row r="552" customFormat="false" ht="15" hidden="false" customHeight="false" outlineLevel="0" collapsed="false">
      <c r="A552" s="5" t="str">
        <f aca="false">IF(Stock_Diario!A552="","",Stock_Diario!A552)</f>
        <v/>
      </c>
      <c r="B552" s="4" t="str">
        <f aca="false">IF($A552="","",$A552-$A551)</f>
        <v/>
      </c>
      <c r="C552" s="24" t="str">
        <f aca="false">IF($A552="","",Stock_Diario!E552)</f>
        <v/>
      </c>
      <c r="D552" s="24" t="str">
        <f aca="false">IF($A552="","",IF(SUMIFS(Recepciones!$C$5:$C$2000,Recepciones!$B$5:$B$2000,Config!$A$23,Recepciones!$A$5:$A$2000,"&gt;"&amp;$A551,Recepciones!$A$5:$A$2000,"&lt;="&amp;$A552)&gt;0,SUMIFS(Recepciones!$C$5:$C$2000,Recepciones!$B$5:$B$2000,Config!$A$23,Recepciones!$A$5:$A$2000,"&gt;"&amp;$A551,Recepciones!$A$5:$A$2000,"&lt;="&amp;$A552),MAX(0,C552-C551)))</f>
        <v/>
      </c>
      <c r="E552" s="24" t="str">
        <f aca="false">IF($A552="","",MAX(0,C551+D552-C552))</f>
        <v/>
      </c>
      <c r="F552" s="24" t="str">
        <f aca="false">IF($A552="","",Stock_Diario!F552)</f>
        <v/>
      </c>
      <c r="G552" s="24" t="str">
        <f aca="false">IF($A552="","",IF(SUMIFS(Recepciones!$C$5:$C$2000,Recepciones!$B$5:$B$2000,Config!$A$24,Recepciones!$A$5:$A$2000,"&gt;"&amp;$A551,Recepciones!$A$5:$A$2000,"&lt;="&amp;$A552)&gt;0,SUMIFS(Recepciones!$C$5:$C$2000,Recepciones!$B$5:$B$2000,Config!$A$24,Recepciones!$A$5:$A$2000,"&gt;"&amp;$A551,Recepciones!$A$5:$A$2000,"&lt;="&amp;$A552),MAX(0,F552-F551)))</f>
        <v/>
      </c>
      <c r="H552" s="24" t="str">
        <f aca="false">IF($A552="","",MAX(0,F551+G552-F552))</f>
        <v/>
      </c>
      <c r="I552" s="24" t="str">
        <f aca="false">IF($A552="","",Stock_Diario!G552)</f>
        <v/>
      </c>
      <c r="J552" s="24" t="str">
        <f aca="false">IF($A552="","",IF(SUMIFS(Recepciones!$C$5:$C$2000,Recepciones!$B$5:$B$2000,Config!$A$25,Recepciones!$A$5:$A$2000,"&gt;"&amp;$A551,Recepciones!$A$5:$A$2000,"&lt;="&amp;$A552)&gt;0,SUMIFS(Recepciones!$C$5:$C$2000,Recepciones!$B$5:$B$2000,Config!$A$25,Recepciones!$A$5:$A$2000,"&gt;"&amp;$A551,Recepciones!$A$5:$A$2000,"&lt;="&amp;$A552),MAX(0,I552-I551)))</f>
        <v/>
      </c>
      <c r="K552" s="24" t="str">
        <f aca="false">IF($A552="","",MAX(0,I551+J552-I552))</f>
        <v/>
      </c>
      <c r="L552" s="24" t="str">
        <f aca="false">IF($A552="","",E552+H552+K552)</f>
        <v/>
      </c>
      <c r="M552" s="4" t="str">
        <f aca="false">IF($A552="","",IF(AND(D552+G552+J552&gt;0,SUMIFS(Recepciones!$C$5:$C$2000,Recepciones!$A$5:$A$2000,"&gt;"&amp;$A551,Recepciones!$A$5:$A$2000,"&lt;="&amp;$A552)=0),"Aumento de stock sin recepción registrada",IF(B552&gt;1,"Intervalo de "&amp;B552&amp;" días","")))</f>
        <v/>
      </c>
    </row>
    <row r="553" customFormat="false" ht="15" hidden="false" customHeight="false" outlineLevel="0" collapsed="false">
      <c r="A553" s="5" t="str">
        <f aca="false">IF(Stock_Diario!A553="","",Stock_Diario!A553)</f>
        <v/>
      </c>
      <c r="B553" s="4" t="str">
        <f aca="false">IF($A553="","",$A553-$A552)</f>
        <v/>
      </c>
      <c r="C553" s="24" t="str">
        <f aca="false">IF($A553="","",Stock_Diario!E553)</f>
        <v/>
      </c>
      <c r="D553" s="24" t="str">
        <f aca="false">IF($A553="","",IF(SUMIFS(Recepciones!$C$5:$C$2000,Recepciones!$B$5:$B$2000,Config!$A$23,Recepciones!$A$5:$A$2000,"&gt;"&amp;$A552,Recepciones!$A$5:$A$2000,"&lt;="&amp;$A553)&gt;0,SUMIFS(Recepciones!$C$5:$C$2000,Recepciones!$B$5:$B$2000,Config!$A$23,Recepciones!$A$5:$A$2000,"&gt;"&amp;$A552,Recepciones!$A$5:$A$2000,"&lt;="&amp;$A553),MAX(0,C553-C552)))</f>
        <v/>
      </c>
      <c r="E553" s="24" t="str">
        <f aca="false">IF($A553="","",MAX(0,C552+D553-C553))</f>
        <v/>
      </c>
      <c r="F553" s="24" t="str">
        <f aca="false">IF($A553="","",Stock_Diario!F553)</f>
        <v/>
      </c>
      <c r="G553" s="24" t="str">
        <f aca="false">IF($A553="","",IF(SUMIFS(Recepciones!$C$5:$C$2000,Recepciones!$B$5:$B$2000,Config!$A$24,Recepciones!$A$5:$A$2000,"&gt;"&amp;$A552,Recepciones!$A$5:$A$2000,"&lt;="&amp;$A553)&gt;0,SUMIFS(Recepciones!$C$5:$C$2000,Recepciones!$B$5:$B$2000,Config!$A$24,Recepciones!$A$5:$A$2000,"&gt;"&amp;$A552,Recepciones!$A$5:$A$2000,"&lt;="&amp;$A553),MAX(0,F553-F552)))</f>
        <v/>
      </c>
      <c r="H553" s="24" t="str">
        <f aca="false">IF($A553="","",MAX(0,F552+G553-F553))</f>
        <v/>
      </c>
      <c r="I553" s="24" t="str">
        <f aca="false">IF($A553="","",Stock_Diario!G553)</f>
        <v/>
      </c>
      <c r="J553" s="24" t="str">
        <f aca="false">IF($A553="","",IF(SUMIFS(Recepciones!$C$5:$C$2000,Recepciones!$B$5:$B$2000,Config!$A$25,Recepciones!$A$5:$A$2000,"&gt;"&amp;$A552,Recepciones!$A$5:$A$2000,"&lt;="&amp;$A553)&gt;0,SUMIFS(Recepciones!$C$5:$C$2000,Recepciones!$B$5:$B$2000,Config!$A$25,Recepciones!$A$5:$A$2000,"&gt;"&amp;$A552,Recepciones!$A$5:$A$2000,"&lt;="&amp;$A553),MAX(0,I553-I552)))</f>
        <v/>
      </c>
      <c r="K553" s="24" t="str">
        <f aca="false">IF($A553="","",MAX(0,I552+J553-I553))</f>
        <v/>
      </c>
      <c r="L553" s="24" t="str">
        <f aca="false">IF($A553="","",E553+H553+K553)</f>
        <v/>
      </c>
      <c r="M553" s="4" t="str">
        <f aca="false">IF($A553="","",IF(AND(D553+G553+J553&gt;0,SUMIFS(Recepciones!$C$5:$C$2000,Recepciones!$A$5:$A$2000,"&gt;"&amp;$A552,Recepciones!$A$5:$A$2000,"&lt;="&amp;$A553)=0),"Aumento de stock sin recepción registrada",IF(B553&gt;1,"Intervalo de "&amp;B553&amp;" días","")))</f>
        <v/>
      </c>
    </row>
    <row r="554" customFormat="false" ht="15" hidden="false" customHeight="false" outlineLevel="0" collapsed="false">
      <c r="A554" s="5" t="str">
        <f aca="false">IF(Stock_Diario!A554="","",Stock_Diario!A554)</f>
        <v/>
      </c>
      <c r="B554" s="4" t="str">
        <f aca="false">IF($A554="","",$A554-$A553)</f>
        <v/>
      </c>
      <c r="C554" s="24" t="str">
        <f aca="false">IF($A554="","",Stock_Diario!E554)</f>
        <v/>
      </c>
      <c r="D554" s="24" t="str">
        <f aca="false">IF($A554="","",IF(SUMIFS(Recepciones!$C$5:$C$2000,Recepciones!$B$5:$B$2000,Config!$A$23,Recepciones!$A$5:$A$2000,"&gt;"&amp;$A553,Recepciones!$A$5:$A$2000,"&lt;="&amp;$A554)&gt;0,SUMIFS(Recepciones!$C$5:$C$2000,Recepciones!$B$5:$B$2000,Config!$A$23,Recepciones!$A$5:$A$2000,"&gt;"&amp;$A553,Recepciones!$A$5:$A$2000,"&lt;="&amp;$A554),MAX(0,C554-C553)))</f>
        <v/>
      </c>
      <c r="E554" s="24" t="str">
        <f aca="false">IF($A554="","",MAX(0,C553+D554-C554))</f>
        <v/>
      </c>
      <c r="F554" s="24" t="str">
        <f aca="false">IF($A554="","",Stock_Diario!F554)</f>
        <v/>
      </c>
      <c r="G554" s="24" t="str">
        <f aca="false">IF($A554="","",IF(SUMIFS(Recepciones!$C$5:$C$2000,Recepciones!$B$5:$B$2000,Config!$A$24,Recepciones!$A$5:$A$2000,"&gt;"&amp;$A553,Recepciones!$A$5:$A$2000,"&lt;="&amp;$A554)&gt;0,SUMIFS(Recepciones!$C$5:$C$2000,Recepciones!$B$5:$B$2000,Config!$A$24,Recepciones!$A$5:$A$2000,"&gt;"&amp;$A553,Recepciones!$A$5:$A$2000,"&lt;="&amp;$A554),MAX(0,F554-F553)))</f>
        <v/>
      </c>
      <c r="H554" s="24" t="str">
        <f aca="false">IF($A554="","",MAX(0,F553+G554-F554))</f>
        <v/>
      </c>
      <c r="I554" s="24" t="str">
        <f aca="false">IF($A554="","",Stock_Diario!G554)</f>
        <v/>
      </c>
      <c r="J554" s="24" t="str">
        <f aca="false">IF($A554="","",IF(SUMIFS(Recepciones!$C$5:$C$2000,Recepciones!$B$5:$B$2000,Config!$A$25,Recepciones!$A$5:$A$2000,"&gt;"&amp;$A553,Recepciones!$A$5:$A$2000,"&lt;="&amp;$A554)&gt;0,SUMIFS(Recepciones!$C$5:$C$2000,Recepciones!$B$5:$B$2000,Config!$A$25,Recepciones!$A$5:$A$2000,"&gt;"&amp;$A553,Recepciones!$A$5:$A$2000,"&lt;="&amp;$A554),MAX(0,I554-I553)))</f>
        <v/>
      </c>
      <c r="K554" s="24" t="str">
        <f aca="false">IF($A554="","",MAX(0,I553+J554-I554))</f>
        <v/>
      </c>
      <c r="L554" s="24" t="str">
        <f aca="false">IF($A554="","",E554+H554+K554)</f>
        <v/>
      </c>
      <c r="M554" s="4" t="str">
        <f aca="false">IF($A554="","",IF(AND(D554+G554+J554&gt;0,SUMIFS(Recepciones!$C$5:$C$2000,Recepciones!$A$5:$A$2000,"&gt;"&amp;$A553,Recepciones!$A$5:$A$2000,"&lt;="&amp;$A554)=0),"Aumento de stock sin recepción registrada",IF(B554&gt;1,"Intervalo de "&amp;B554&amp;" días","")))</f>
        <v/>
      </c>
    </row>
    <row r="555" customFormat="false" ht="15" hidden="false" customHeight="false" outlineLevel="0" collapsed="false">
      <c r="A555" s="5" t="str">
        <f aca="false">IF(Stock_Diario!A555="","",Stock_Diario!A555)</f>
        <v/>
      </c>
      <c r="B555" s="4" t="str">
        <f aca="false">IF($A555="","",$A555-$A554)</f>
        <v/>
      </c>
      <c r="C555" s="24" t="str">
        <f aca="false">IF($A555="","",Stock_Diario!E555)</f>
        <v/>
      </c>
      <c r="D555" s="24" t="str">
        <f aca="false">IF($A555="","",IF(SUMIFS(Recepciones!$C$5:$C$2000,Recepciones!$B$5:$B$2000,Config!$A$23,Recepciones!$A$5:$A$2000,"&gt;"&amp;$A554,Recepciones!$A$5:$A$2000,"&lt;="&amp;$A555)&gt;0,SUMIFS(Recepciones!$C$5:$C$2000,Recepciones!$B$5:$B$2000,Config!$A$23,Recepciones!$A$5:$A$2000,"&gt;"&amp;$A554,Recepciones!$A$5:$A$2000,"&lt;="&amp;$A555),MAX(0,C555-C554)))</f>
        <v/>
      </c>
      <c r="E555" s="24" t="str">
        <f aca="false">IF($A555="","",MAX(0,C554+D555-C555))</f>
        <v/>
      </c>
      <c r="F555" s="24" t="str">
        <f aca="false">IF($A555="","",Stock_Diario!F555)</f>
        <v/>
      </c>
      <c r="G555" s="24" t="str">
        <f aca="false">IF($A555="","",IF(SUMIFS(Recepciones!$C$5:$C$2000,Recepciones!$B$5:$B$2000,Config!$A$24,Recepciones!$A$5:$A$2000,"&gt;"&amp;$A554,Recepciones!$A$5:$A$2000,"&lt;="&amp;$A555)&gt;0,SUMIFS(Recepciones!$C$5:$C$2000,Recepciones!$B$5:$B$2000,Config!$A$24,Recepciones!$A$5:$A$2000,"&gt;"&amp;$A554,Recepciones!$A$5:$A$2000,"&lt;="&amp;$A555),MAX(0,F555-F554)))</f>
        <v/>
      </c>
      <c r="H555" s="24" t="str">
        <f aca="false">IF($A555="","",MAX(0,F554+G555-F555))</f>
        <v/>
      </c>
      <c r="I555" s="24" t="str">
        <f aca="false">IF($A555="","",Stock_Diario!G555)</f>
        <v/>
      </c>
      <c r="J555" s="24" t="str">
        <f aca="false">IF($A555="","",IF(SUMIFS(Recepciones!$C$5:$C$2000,Recepciones!$B$5:$B$2000,Config!$A$25,Recepciones!$A$5:$A$2000,"&gt;"&amp;$A554,Recepciones!$A$5:$A$2000,"&lt;="&amp;$A555)&gt;0,SUMIFS(Recepciones!$C$5:$C$2000,Recepciones!$B$5:$B$2000,Config!$A$25,Recepciones!$A$5:$A$2000,"&gt;"&amp;$A554,Recepciones!$A$5:$A$2000,"&lt;="&amp;$A555),MAX(0,I555-I554)))</f>
        <v/>
      </c>
      <c r="K555" s="24" t="str">
        <f aca="false">IF($A555="","",MAX(0,I554+J555-I555))</f>
        <v/>
      </c>
      <c r="L555" s="24" t="str">
        <f aca="false">IF($A555="","",E555+H555+K555)</f>
        <v/>
      </c>
      <c r="M555" s="4" t="str">
        <f aca="false">IF($A555="","",IF(AND(D555+G555+J555&gt;0,SUMIFS(Recepciones!$C$5:$C$2000,Recepciones!$A$5:$A$2000,"&gt;"&amp;$A554,Recepciones!$A$5:$A$2000,"&lt;="&amp;$A555)=0),"Aumento de stock sin recepción registrada",IF(B555&gt;1,"Intervalo de "&amp;B555&amp;" días","")))</f>
        <v/>
      </c>
    </row>
    <row r="556" customFormat="false" ht="15" hidden="false" customHeight="false" outlineLevel="0" collapsed="false">
      <c r="A556" s="5" t="str">
        <f aca="false">IF(Stock_Diario!A556="","",Stock_Diario!A556)</f>
        <v/>
      </c>
      <c r="B556" s="4" t="str">
        <f aca="false">IF($A556="","",$A556-$A555)</f>
        <v/>
      </c>
      <c r="C556" s="24" t="str">
        <f aca="false">IF($A556="","",Stock_Diario!E556)</f>
        <v/>
      </c>
      <c r="D556" s="24" t="str">
        <f aca="false">IF($A556="","",IF(SUMIFS(Recepciones!$C$5:$C$2000,Recepciones!$B$5:$B$2000,Config!$A$23,Recepciones!$A$5:$A$2000,"&gt;"&amp;$A555,Recepciones!$A$5:$A$2000,"&lt;="&amp;$A556)&gt;0,SUMIFS(Recepciones!$C$5:$C$2000,Recepciones!$B$5:$B$2000,Config!$A$23,Recepciones!$A$5:$A$2000,"&gt;"&amp;$A555,Recepciones!$A$5:$A$2000,"&lt;="&amp;$A556),MAX(0,C556-C555)))</f>
        <v/>
      </c>
      <c r="E556" s="24" t="str">
        <f aca="false">IF($A556="","",MAX(0,C555+D556-C556))</f>
        <v/>
      </c>
      <c r="F556" s="24" t="str">
        <f aca="false">IF($A556="","",Stock_Diario!F556)</f>
        <v/>
      </c>
      <c r="G556" s="24" t="str">
        <f aca="false">IF($A556="","",IF(SUMIFS(Recepciones!$C$5:$C$2000,Recepciones!$B$5:$B$2000,Config!$A$24,Recepciones!$A$5:$A$2000,"&gt;"&amp;$A555,Recepciones!$A$5:$A$2000,"&lt;="&amp;$A556)&gt;0,SUMIFS(Recepciones!$C$5:$C$2000,Recepciones!$B$5:$B$2000,Config!$A$24,Recepciones!$A$5:$A$2000,"&gt;"&amp;$A555,Recepciones!$A$5:$A$2000,"&lt;="&amp;$A556),MAX(0,F556-F555)))</f>
        <v/>
      </c>
      <c r="H556" s="24" t="str">
        <f aca="false">IF($A556="","",MAX(0,F555+G556-F556))</f>
        <v/>
      </c>
      <c r="I556" s="24" t="str">
        <f aca="false">IF($A556="","",Stock_Diario!G556)</f>
        <v/>
      </c>
      <c r="J556" s="24" t="str">
        <f aca="false">IF($A556="","",IF(SUMIFS(Recepciones!$C$5:$C$2000,Recepciones!$B$5:$B$2000,Config!$A$25,Recepciones!$A$5:$A$2000,"&gt;"&amp;$A555,Recepciones!$A$5:$A$2000,"&lt;="&amp;$A556)&gt;0,SUMIFS(Recepciones!$C$5:$C$2000,Recepciones!$B$5:$B$2000,Config!$A$25,Recepciones!$A$5:$A$2000,"&gt;"&amp;$A555,Recepciones!$A$5:$A$2000,"&lt;="&amp;$A556),MAX(0,I556-I555)))</f>
        <v/>
      </c>
      <c r="K556" s="24" t="str">
        <f aca="false">IF($A556="","",MAX(0,I555+J556-I556))</f>
        <v/>
      </c>
      <c r="L556" s="24" t="str">
        <f aca="false">IF($A556="","",E556+H556+K556)</f>
        <v/>
      </c>
      <c r="M556" s="4" t="str">
        <f aca="false">IF($A556="","",IF(AND(D556+G556+J556&gt;0,SUMIFS(Recepciones!$C$5:$C$2000,Recepciones!$A$5:$A$2000,"&gt;"&amp;$A555,Recepciones!$A$5:$A$2000,"&lt;="&amp;$A556)=0),"Aumento de stock sin recepción registrada",IF(B556&gt;1,"Intervalo de "&amp;B556&amp;" días","")))</f>
        <v/>
      </c>
    </row>
    <row r="557" customFormat="false" ht="15" hidden="false" customHeight="false" outlineLevel="0" collapsed="false">
      <c r="A557" s="5" t="str">
        <f aca="false">IF(Stock_Diario!A557="","",Stock_Diario!A557)</f>
        <v/>
      </c>
      <c r="B557" s="4" t="str">
        <f aca="false">IF($A557="","",$A557-$A556)</f>
        <v/>
      </c>
      <c r="C557" s="24" t="str">
        <f aca="false">IF($A557="","",Stock_Diario!E557)</f>
        <v/>
      </c>
      <c r="D557" s="24" t="str">
        <f aca="false">IF($A557="","",IF(SUMIFS(Recepciones!$C$5:$C$2000,Recepciones!$B$5:$B$2000,Config!$A$23,Recepciones!$A$5:$A$2000,"&gt;"&amp;$A556,Recepciones!$A$5:$A$2000,"&lt;="&amp;$A557)&gt;0,SUMIFS(Recepciones!$C$5:$C$2000,Recepciones!$B$5:$B$2000,Config!$A$23,Recepciones!$A$5:$A$2000,"&gt;"&amp;$A556,Recepciones!$A$5:$A$2000,"&lt;="&amp;$A557),MAX(0,C557-C556)))</f>
        <v/>
      </c>
      <c r="E557" s="24" t="str">
        <f aca="false">IF($A557="","",MAX(0,C556+D557-C557))</f>
        <v/>
      </c>
      <c r="F557" s="24" t="str">
        <f aca="false">IF($A557="","",Stock_Diario!F557)</f>
        <v/>
      </c>
      <c r="G557" s="24" t="str">
        <f aca="false">IF($A557="","",IF(SUMIFS(Recepciones!$C$5:$C$2000,Recepciones!$B$5:$B$2000,Config!$A$24,Recepciones!$A$5:$A$2000,"&gt;"&amp;$A556,Recepciones!$A$5:$A$2000,"&lt;="&amp;$A557)&gt;0,SUMIFS(Recepciones!$C$5:$C$2000,Recepciones!$B$5:$B$2000,Config!$A$24,Recepciones!$A$5:$A$2000,"&gt;"&amp;$A556,Recepciones!$A$5:$A$2000,"&lt;="&amp;$A557),MAX(0,F557-F556)))</f>
        <v/>
      </c>
      <c r="H557" s="24" t="str">
        <f aca="false">IF($A557="","",MAX(0,F556+G557-F557))</f>
        <v/>
      </c>
      <c r="I557" s="24" t="str">
        <f aca="false">IF($A557="","",Stock_Diario!G557)</f>
        <v/>
      </c>
      <c r="J557" s="24" t="str">
        <f aca="false">IF($A557="","",IF(SUMIFS(Recepciones!$C$5:$C$2000,Recepciones!$B$5:$B$2000,Config!$A$25,Recepciones!$A$5:$A$2000,"&gt;"&amp;$A556,Recepciones!$A$5:$A$2000,"&lt;="&amp;$A557)&gt;0,SUMIFS(Recepciones!$C$5:$C$2000,Recepciones!$B$5:$B$2000,Config!$A$25,Recepciones!$A$5:$A$2000,"&gt;"&amp;$A556,Recepciones!$A$5:$A$2000,"&lt;="&amp;$A557),MAX(0,I557-I556)))</f>
        <v/>
      </c>
      <c r="K557" s="24" t="str">
        <f aca="false">IF($A557="","",MAX(0,I556+J557-I557))</f>
        <v/>
      </c>
      <c r="L557" s="24" t="str">
        <f aca="false">IF($A557="","",E557+H557+K557)</f>
        <v/>
      </c>
      <c r="M557" s="4" t="str">
        <f aca="false">IF($A557="","",IF(AND(D557+G557+J557&gt;0,SUMIFS(Recepciones!$C$5:$C$2000,Recepciones!$A$5:$A$2000,"&gt;"&amp;$A556,Recepciones!$A$5:$A$2000,"&lt;="&amp;$A557)=0),"Aumento de stock sin recepción registrada",IF(B557&gt;1,"Intervalo de "&amp;B557&amp;" días","")))</f>
        <v/>
      </c>
    </row>
    <row r="558" customFormat="false" ht="15" hidden="false" customHeight="false" outlineLevel="0" collapsed="false">
      <c r="A558" s="5" t="str">
        <f aca="false">IF(Stock_Diario!A558="","",Stock_Diario!A558)</f>
        <v/>
      </c>
      <c r="B558" s="4" t="str">
        <f aca="false">IF($A558="","",$A558-$A557)</f>
        <v/>
      </c>
      <c r="C558" s="24" t="str">
        <f aca="false">IF($A558="","",Stock_Diario!E558)</f>
        <v/>
      </c>
      <c r="D558" s="24" t="str">
        <f aca="false">IF($A558="","",IF(SUMIFS(Recepciones!$C$5:$C$2000,Recepciones!$B$5:$B$2000,Config!$A$23,Recepciones!$A$5:$A$2000,"&gt;"&amp;$A557,Recepciones!$A$5:$A$2000,"&lt;="&amp;$A558)&gt;0,SUMIFS(Recepciones!$C$5:$C$2000,Recepciones!$B$5:$B$2000,Config!$A$23,Recepciones!$A$5:$A$2000,"&gt;"&amp;$A557,Recepciones!$A$5:$A$2000,"&lt;="&amp;$A558),MAX(0,C558-C557)))</f>
        <v/>
      </c>
      <c r="E558" s="24" t="str">
        <f aca="false">IF($A558="","",MAX(0,C557+D558-C558))</f>
        <v/>
      </c>
      <c r="F558" s="24" t="str">
        <f aca="false">IF($A558="","",Stock_Diario!F558)</f>
        <v/>
      </c>
      <c r="G558" s="24" t="str">
        <f aca="false">IF($A558="","",IF(SUMIFS(Recepciones!$C$5:$C$2000,Recepciones!$B$5:$B$2000,Config!$A$24,Recepciones!$A$5:$A$2000,"&gt;"&amp;$A557,Recepciones!$A$5:$A$2000,"&lt;="&amp;$A558)&gt;0,SUMIFS(Recepciones!$C$5:$C$2000,Recepciones!$B$5:$B$2000,Config!$A$24,Recepciones!$A$5:$A$2000,"&gt;"&amp;$A557,Recepciones!$A$5:$A$2000,"&lt;="&amp;$A558),MAX(0,F558-F557)))</f>
        <v/>
      </c>
      <c r="H558" s="24" t="str">
        <f aca="false">IF($A558="","",MAX(0,F557+G558-F558))</f>
        <v/>
      </c>
      <c r="I558" s="24" t="str">
        <f aca="false">IF($A558="","",Stock_Diario!G558)</f>
        <v/>
      </c>
      <c r="J558" s="24" t="str">
        <f aca="false">IF($A558="","",IF(SUMIFS(Recepciones!$C$5:$C$2000,Recepciones!$B$5:$B$2000,Config!$A$25,Recepciones!$A$5:$A$2000,"&gt;"&amp;$A557,Recepciones!$A$5:$A$2000,"&lt;="&amp;$A558)&gt;0,SUMIFS(Recepciones!$C$5:$C$2000,Recepciones!$B$5:$B$2000,Config!$A$25,Recepciones!$A$5:$A$2000,"&gt;"&amp;$A557,Recepciones!$A$5:$A$2000,"&lt;="&amp;$A558),MAX(0,I558-I557)))</f>
        <v/>
      </c>
      <c r="K558" s="24" t="str">
        <f aca="false">IF($A558="","",MAX(0,I557+J558-I558))</f>
        <v/>
      </c>
      <c r="L558" s="24" t="str">
        <f aca="false">IF($A558="","",E558+H558+K558)</f>
        <v/>
      </c>
      <c r="M558" s="4" t="str">
        <f aca="false">IF($A558="","",IF(AND(D558+G558+J558&gt;0,SUMIFS(Recepciones!$C$5:$C$2000,Recepciones!$A$5:$A$2000,"&gt;"&amp;$A557,Recepciones!$A$5:$A$2000,"&lt;="&amp;$A558)=0),"Aumento de stock sin recepción registrada",IF(B558&gt;1,"Intervalo de "&amp;B558&amp;" días","")))</f>
        <v/>
      </c>
    </row>
    <row r="559" customFormat="false" ht="15" hidden="false" customHeight="false" outlineLevel="0" collapsed="false">
      <c r="A559" s="5" t="str">
        <f aca="false">IF(Stock_Diario!A559="","",Stock_Diario!A559)</f>
        <v/>
      </c>
      <c r="B559" s="4" t="str">
        <f aca="false">IF($A559="","",$A559-$A558)</f>
        <v/>
      </c>
      <c r="C559" s="24" t="str">
        <f aca="false">IF($A559="","",Stock_Diario!E559)</f>
        <v/>
      </c>
      <c r="D559" s="24" t="str">
        <f aca="false">IF($A559="","",IF(SUMIFS(Recepciones!$C$5:$C$2000,Recepciones!$B$5:$B$2000,Config!$A$23,Recepciones!$A$5:$A$2000,"&gt;"&amp;$A558,Recepciones!$A$5:$A$2000,"&lt;="&amp;$A559)&gt;0,SUMIFS(Recepciones!$C$5:$C$2000,Recepciones!$B$5:$B$2000,Config!$A$23,Recepciones!$A$5:$A$2000,"&gt;"&amp;$A558,Recepciones!$A$5:$A$2000,"&lt;="&amp;$A559),MAX(0,C559-C558)))</f>
        <v/>
      </c>
      <c r="E559" s="24" t="str">
        <f aca="false">IF($A559="","",MAX(0,C558+D559-C559))</f>
        <v/>
      </c>
      <c r="F559" s="24" t="str">
        <f aca="false">IF($A559="","",Stock_Diario!F559)</f>
        <v/>
      </c>
      <c r="G559" s="24" t="str">
        <f aca="false">IF($A559="","",IF(SUMIFS(Recepciones!$C$5:$C$2000,Recepciones!$B$5:$B$2000,Config!$A$24,Recepciones!$A$5:$A$2000,"&gt;"&amp;$A558,Recepciones!$A$5:$A$2000,"&lt;="&amp;$A559)&gt;0,SUMIFS(Recepciones!$C$5:$C$2000,Recepciones!$B$5:$B$2000,Config!$A$24,Recepciones!$A$5:$A$2000,"&gt;"&amp;$A558,Recepciones!$A$5:$A$2000,"&lt;="&amp;$A559),MAX(0,F559-F558)))</f>
        <v/>
      </c>
      <c r="H559" s="24" t="str">
        <f aca="false">IF($A559="","",MAX(0,F558+G559-F559))</f>
        <v/>
      </c>
      <c r="I559" s="24" t="str">
        <f aca="false">IF($A559="","",Stock_Diario!G559)</f>
        <v/>
      </c>
      <c r="J559" s="24" t="str">
        <f aca="false">IF($A559="","",IF(SUMIFS(Recepciones!$C$5:$C$2000,Recepciones!$B$5:$B$2000,Config!$A$25,Recepciones!$A$5:$A$2000,"&gt;"&amp;$A558,Recepciones!$A$5:$A$2000,"&lt;="&amp;$A559)&gt;0,SUMIFS(Recepciones!$C$5:$C$2000,Recepciones!$B$5:$B$2000,Config!$A$25,Recepciones!$A$5:$A$2000,"&gt;"&amp;$A558,Recepciones!$A$5:$A$2000,"&lt;="&amp;$A559),MAX(0,I559-I558)))</f>
        <v/>
      </c>
      <c r="K559" s="24" t="str">
        <f aca="false">IF($A559="","",MAX(0,I558+J559-I559))</f>
        <v/>
      </c>
      <c r="L559" s="24" t="str">
        <f aca="false">IF($A559="","",E559+H559+K559)</f>
        <v/>
      </c>
      <c r="M559" s="4" t="str">
        <f aca="false">IF($A559="","",IF(AND(D559+G559+J559&gt;0,SUMIFS(Recepciones!$C$5:$C$2000,Recepciones!$A$5:$A$2000,"&gt;"&amp;$A558,Recepciones!$A$5:$A$2000,"&lt;="&amp;$A559)=0),"Aumento de stock sin recepción registrada",IF(B559&gt;1,"Intervalo de "&amp;B559&amp;" días","")))</f>
        <v/>
      </c>
    </row>
    <row r="560" customFormat="false" ht="15" hidden="false" customHeight="false" outlineLevel="0" collapsed="false">
      <c r="A560" s="5" t="str">
        <f aca="false">IF(Stock_Diario!A560="","",Stock_Diario!A560)</f>
        <v/>
      </c>
      <c r="B560" s="4" t="str">
        <f aca="false">IF($A560="","",$A560-$A559)</f>
        <v/>
      </c>
      <c r="C560" s="24" t="str">
        <f aca="false">IF($A560="","",Stock_Diario!E560)</f>
        <v/>
      </c>
      <c r="D560" s="24" t="str">
        <f aca="false">IF($A560="","",IF(SUMIFS(Recepciones!$C$5:$C$2000,Recepciones!$B$5:$B$2000,Config!$A$23,Recepciones!$A$5:$A$2000,"&gt;"&amp;$A559,Recepciones!$A$5:$A$2000,"&lt;="&amp;$A560)&gt;0,SUMIFS(Recepciones!$C$5:$C$2000,Recepciones!$B$5:$B$2000,Config!$A$23,Recepciones!$A$5:$A$2000,"&gt;"&amp;$A559,Recepciones!$A$5:$A$2000,"&lt;="&amp;$A560),MAX(0,C560-C559)))</f>
        <v/>
      </c>
      <c r="E560" s="24" t="str">
        <f aca="false">IF($A560="","",MAX(0,C559+D560-C560))</f>
        <v/>
      </c>
      <c r="F560" s="24" t="str">
        <f aca="false">IF($A560="","",Stock_Diario!F560)</f>
        <v/>
      </c>
      <c r="G560" s="24" t="str">
        <f aca="false">IF($A560="","",IF(SUMIFS(Recepciones!$C$5:$C$2000,Recepciones!$B$5:$B$2000,Config!$A$24,Recepciones!$A$5:$A$2000,"&gt;"&amp;$A559,Recepciones!$A$5:$A$2000,"&lt;="&amp;$A560)&gt;0,SUMIFS(Recepciones!$C$5:$C$2000,Recepciones!$B$5:$B$2000,Config!$A$24,Recepciones!$A$5:$A$2000,"&gt;"&amp;$A559,Recepciones!$A$5:$A$2000,"&lt;="&amp;$A560),MAX(0,F560-F559)))</f>
        <v/>
      </c>
      <c r="H560" s="24" t="str">
        <f aca="false">IF($A560="","",MAX(0,F559+G560-F560))</f>
        <v/>
      </c>
      <c r="I560" s="24" t="str">
        <f aca="false">IF($A560="","",Stock_Diario!G560)</f>
        <v/>
      </c>
      <c r="J560" s="24" t="str">
        <f aca="false">IF($A560="","",IF(SUMIFS(Recepciones!$C$5:$C$2000,Recepciones!$B$5:$B$2000,Config!$A$25,Recepciones!$A$5:$A$2000,"&gt;"&amp;$A559,Recepciones!$A$5:$A$2000,"&lt;="&amp;$A560)&gt;0,SUMIFS(Recepciones!$C$5:$C$2000,Recepciones!$B$5:$B$2000,Config!$A$25,Recepciones!$A$5:$A$2000,"&gt;"&amp;$A559,Recepciones!$A$5:$A$2000,"&lt;="&amp;$A560),MAX(0,I560-I559)))</f>
        <v/>
      </c>
      <c r="K560" s="24" t="str">
        <f aca="false">IF($A560="","",MAX(0,I559+J560-I560))</f>
        <v/>
      </c>
      <c r="L560" s="24" t="str">
        <f aca="false">IF($A560="","",E560+H560+K560)</f>
        <v/>
      </c>
      <c r="M560" s="4" t="str">
        <f aca="false">IF($A560="","",IF(AND(D560+G560+J560&gt;0,SUMIFS(Recepciones!$C$5:$C$2000,Recepciones!$A$5:$A$2000,"&gt;"&amp;$A559,Recepciones!$A$5:$A$2000,"&lt;="&amp;$A560)=0),"Aumento de stock sin recepción registrada",IF(B560&gt;1,"Intervalo de "&amp;B560&amp;" días","")))</f>
        <v/>
      </c>
    </row>
    <row r="561" customFormat="false" ht="15" hidden="false" customHeight="false" outlineLevel="0" collapsed="false">
      <c r="A561" s="5" t="str">
        <f aca="false">IF(Stock_Diario!A561="","",Stock_Diario!A561)</f>
        <v/>
      </c>
      <c r="B561" s="4" t="str">
        <f aca="false">IF($A561="","",$A561-$A560)</f>
        <v/>
      </c>
      <c r="C561" s="24" t="str">
        <f aca="false">IF($A561="","",Stock_Diario!E561)</f>
        <v/>
      </c>
      <c r="D561" s="24" t="str">
        <f aca="false">IF($A561="","",IF(SUMIFS(Recepciones!$C$5:$C$2000,Recepciones!$B$5:$B$2000,Config!$A$23,Recepciones!$A$5:$A$2000,"&gt;"&amp;$A560,Recepciones!$A$5:$A$2000,"&lt;="&amp;$A561)&gt;0,SUMIFS(Recepciones!$C$5:$C$2000,Recepciones!$B$5:$B$2000,Config!$A$23,Recepciones!$A$5:$A$2000,"&gt;"&amp;$A560,Recepciones!$A$5:$A$2000,"&lt;="&amp;$A561),MAX(0,C561-C560)))</f>
        <v/>
      </c>
      <c r="E561" s="24" t="str">
        <f aca="false">IF($A561="","",MAX(0,C560+D561-C561))</f>
        <v/>
      </c>
      <c r="F561" s="24" t="str">
        <f aca="false">IF($A561="","",Stock_Diario!F561)</f>
        <v/>
      </c>
      <c r="G561" s="24" t="str">
        <f aca="false">IF($A561="","",IF(SUMIFS(Recepciones!$C$5:$C$2000,Recepciones!$B$5:$B$2000,Config!$A$24,Recepciones!$A$5:$A$2000,"&gt;"&amp;$A560,Recepciones!$A$5:$A$2000,"&lt;="&amp;$A561)&gt;0,SUMIFS(Recepciones!$C$5:$C$2000,Recepciones!$B$5:$B$2000,Config!$A$24,Recepciones!$A$5:$A$2000,"&gt;"&amp;$A560,Recepciones!$A$5:$A$2000,"&lt;="&amp;$A561),MAX(0,F561-F560)))</f>
        <v/>
      </c>
      <c r="H561" s="24" t="str">
        <f aca="false">IF($A561="","",MAX(0,F560+G561-F561))</f>
        <v/>
      </c>
      <c r="I561" s="24" t="str">
        <f aca="false">IF($A561="","",Stock_Diario!G561)</f>
        <v/>
      </c>
      <c r="J561" s="24" t="str">
        <f aca="false">IF($A561="","",IF(SUMIFS(Recepciones!$C$5:$C$2000,Recepciones!$B$5:$B$2000,Config!$A$25,Recepciones!$A$5:$A$2000,"&gt;"&amp;$A560,Recepciones!$A$5:$A$2000,"&lt;="&amp;$A561)&gt;0,SUMIFS(Recepciones!$C$5:$C$2000,Recepciones!$B$5:$B$2000,Config!$A$25,Recepciones!$A$5:$A$2000,"&gt;"&amp;$A560,Recepciones!$A$5:$A$2000,"&lt;="&amp;$A561),MAX(0,I561-I560)))</f>
        <v/>
      </c>
      <c r="K561" s="24" t="str">
        <f aca="false">IF($A561="","",MAX(0,I560+J561-I561))</f>
        <v/>
      </c>
      <c r="L561" s="24" t="str">
        <f aca="false">IF($A561="","",E561+H561+K561)</f>
        <v/>
      </c>
      <c r="M561" s="4" t="str">
        <f aca="false">IF($A561="","",IF(AND(D561+G561+J561&gt;0,SUMIFS(Recepciones!$C$5:$C$2000,Recepciones!$A$5:$A$2000,"&gt;"&amp;$A560,Recepciones!$A$5:$A$2000,"&lt;="&amp;$A561)=0),"Aumento de stock sin recepción registrada",IF(B561&gt;1,"Intervalo de "&amp;B561&amp;" días","")))</f>
        <v/>
      </c>
    </row>
    <row r="562" customFormat="false" ht="15" hidden="false" customHeight="false" outlineLevel="0" collapsed="false">
      <c r="A562" s="5" t="str">
        <f aca="false">IF(Stock_Diario!A562="","",Stock_Diario!A562)</f>
        <v/>
      </c>
      <c r="B562" s="4" t="str">
        <f aca="false">IF($A562="","",$A562-$A561)</f>
        <v/>
      </c>
      <c r="C562" s="24" t="str">
        <f aca="false">IF($A562="","",Stock_Diario!E562)</f>
        <v/>
      </c>
      <c r="D562" s="24" t="str">
        <f aca="false">IF($A562="","",IF(SUMIFS(Recepciones!$C$5:$C$2000,Recepciones!$B$5:$B$2000,Config!$A$23,Recepciones!$A$5:$A$2000,"&gt;"&amp;$A561,Recepciones!$A$5:$A$2000,"&lt;="&amp;$A562)&gt;0,SUMIFS(Recepciones!$C$5:$C$2000,Recepciones!$B$5:$B$2000,Config!$A$23,Recepciones!$A$5:$A$2000,"&gt;"&amp;$A561,Recepciones!$A$5:$A$2000,"&lt;="&amp;$A562),MAX(0,C562-C561)))</f>
        <v/>
      </c>
      <c r="E562" s="24" t="str">
        <f aca="false">IF($A562="","",MAX(0,C561+D562-C562))</f>
        <v/>
      </c>
      <c r="F562" s="24" t="str">
        <f aca="false">IF($A562="","",Stock_Diario!F562)</f>
        <v/>
      </c>
      <c r="G562" s="24" t="str">
        <f aca="false">IF($A562="","",IF(SUMIFS(Recepciones!$C$5:$C$2000,Recepciones!$B$5:$B$2000,Config!$A$24,Recepciones!$A$5:$A$2000,"&gt;"&amp;$A561,Recepciones!$A$5:$A$2000,"&lt;="&amp;$A562)&gt;0,SUMIFS(Recepciones!$C$5:$C$2000,Recepciones!$B$5:$B$2000,Config!$A$24,Recepciones!$A$5:$A$2000,"&gt;"&amp;$A561,Recepciones!$A$5:$A$2000,"&lt;="&amp;$A562),MAX(0,F562-F561)))</f>
        <v/>
      </c>
      <c r="H562" s="24" t="str">
        <f aca="false">IF($A562="","",MAX(0,F561+G562-F562))</f>
        <v/>
      </c>
      <c r="I562" s="24" t="str">
        <f aca="false">IF($A562="","",Stock_Diario!G562)</f>
        <v/>
      </c>
      <c r="J562" s="24" t="str">
        <f aca="false">IF($A562="","",IF(SUMIFS(Recepciones!$C$5:$C$2000,Recepciones!$B$5:$B$2000,Config!$A$25,Recepciones!$A$5:$A$2000,"&gt;"&amp;$A561,Recepciones!$A$5:$A$2000,"&lt;="&amp;$A562)&gt;0,SUMIFS(Recepciones!$C$5:$C$2000,Recepciones!$B$5:$B$2000,Config!$A$25,Recepciones!$A$5:$A$2000,"&gt;"&amp;$A561,Recepciones!$A$5:$A$2000,"&lt;="&amp;$A562),MAX(0,I562-I561)))</f>
        <v/>
      </c>
      <c r="K562" s="24" t="str">
        <f aca="false">IF($A562="","",MAX(0,I561+J562-I562))</f>
        <v/>
      </c>
      <c r="L562" s="24" t="str">
        <f aca="false">IF($A562="","",E562+H562+K562)</f>
        <v/>
      </c>
      <c r="M562" s="4" t="str">
        <f aca="false">IF($A562="","",IF(AND(D562+G562+J562&gt;0,SUMIFS(Recepciones!$C$5:$C$2000,Recepciones!$A$5:$A$2000,"&gt;"&amp;$A561,Recepciones!$A$5:$A$2000,"&lt;="&amp;$A562)=0),"Aumento de stock sin recepción registrada",IF(B562&gt;1,"Intervalo de "&amp;B562&amp;" días","")))</f>
        <v/>
      </c>
    </row>
    <row r="563" customFormat="false" ht="15" hidden="false" customHeight="false" outlineLevel="0" collapsed="false">
      <c r="A563" s="5" t="str">
        <f aca="false">IF(Stock_Diario!A563="","",Stock_Diario!A563)</f>
        <v/>
      </c>
      <c r="B563" s="4" t="str">
        <f aca="false">IF($A563="","",$A563-$A562)</f>
        <v/>
      </c>
      <c r="C563" s="24" t="str">
        <f aca="false">IF($A563="","",Stock_Diario!E563)</f>
        <v/>
      </c>
      <c r="D563" s="24" t="str">
        <f aca="false">IF($A563="","",IF(SUMIFS(Recepciones!$C$5:$C$2000,Recepciones!$B$5:$B$2000,Config!$A$23,Recepciones!$A$5:$A$2000,"&gt;"&amp;$A562,Recepciones!$A$5:$A$2000,"&lt;="&amp;$A563)&gt;0,SUMIFS(Recepciones!$C$5:$C$2000,Recepciones!$B$5:$B$2000,Config!$A$23,Recepciones!$A$5:$A$2000,"&gt;"&amp;$A562,Recepciones!$A$5:$A$2000,"&lt;="&amp;$A563),MAX(0,C563-C562)))</f>
        <v/>
      </c>
      <c r="E563" s="24" t="str">
        <f aca="false">IF($A563="","",MAX(0,C562+D563-C563))</f>
        <v/>
      </c>
      <c r="F563" s="24" t="str">
        <f aca="false">IF($A563="","",Stock_Diario!F563)</f>
        <v/>
      </c>
      <c r="G563" s="24" t="str">
        <f aca="false">IF($A563="","",IF(SUMIFS(Recepciones!$C$5:$C$2000,Recepciones!$B$5:$B$2000,Config!$A$24,Recepciones!$A$5:$A$2000,"&gt;"&amp;$A562,Recepciones!$A$5:$A$2000,"&lt;="&amp;$A563)&gt;0,SUMIFS(Recepciones!$C$5:$C$2000,Recepciones!$B$5:$B$2000,Config!$A$24,Recepciones!$A$5:$A$2000,"&gt;"&amp;$A562,Recepciones!$A$5:$A$2000,"&lt;="&amp;$A563),MAX(0,F563-F562)))</f>
        <v/>
      </c>
      <c r="H563" s="24" t="str">
        <f aca="false">IF($A563="","",MAX(0,F562+G563-F563))</f>
        <v/>
      </c>
      <c r="I563" s="24" t="str">
        <f aca="false">IF($A563="","",Stock_Diario!G563)</f>
        <v/>
      </c>
      <c r="J563" s="24" t="str">
        <f aca="false">IF($A563="","",IF(SUMIFS(Recepciones!$C$5:$C$2000,Recepciones!$B$5:$B$2000,Config!$A$25,Recepciones!$A$5:$A$2000,"&gt;"&amp;$A562,Recepciones!$A$5:$A$2000,"&lt;="&amp;$A563)&gt;0,SUMIFS(Recepciones!$C$5:$C$2000,Recepciones!$B$5:$B$2000,Config!$A$25,Recepciones!$A$5:$A$2000,"&gt;"&amp;$A562,Recepciones!$A$5:$A$2000,"&lt;="&amp;$A563),MAX(0,I563-I562)))</f>
        <v/>
      </c>
      <c r="K563" s="24" t="str">
        <f aca="false">IF($A563="","",MAX(0,I562+J563-I563))</f>
        <v/>
      </c>
      <c r="L563" s="24" t="str">
        <f aca="false">IF($A563="","",E563+H563+K563)</f>
        <v/>
      </c>
      <c r="M563" s="4" t="str">
        <f aca="false">IF($A563="","",IF(AND(D563+G563+J563&gt;0,SUMIFS(Recepciones!$C$5:$C$2000,Recepciones!$A$5:$A$2000,"&gt;"&amp;$A562,Recepciones!$A$5:$A$2000,"&lt;="&amp;$A563)=0),"Aumento de stock sin recepción registrada",IF(B563&gt;1,"Intervalo de "&amp;B563&amp;" días","")))</f>
        <v/>
      </c>
    </row>
    <row r="564" customFormat="false" ht="15" hidden="false" customHeight="false" outlineLevel="0" collapsed="false">
      <c r="A564" s="5" t="str">
        <f aca="false">IF(Stock_Diario!A564="","",Stock_Diario!A564)</f>
        <v/>
      </c>
      <c r="B564" s="4" t="str">
        <f aca="false">IF($A564="","",$A564-$A563)</f>
        <v/>
      </c>
      <c r="C564" s="24" t="str">
        <f aca="false">IF($A564="","",Stock_Diario!E564)</f>
        <v/>
      </c>
      <c r="D564" s="24" t="str">
        <f aca="false">IF($A564="","",IF(SUMIFS(Recepciones!$C$5:$C$2000,Recepciones!$B$5:$B$2000,Config!$A$23,Recepciones!$A$5:$A$2000,"&gt;"&amp;$A563,Recepciones!$A$5:$A$2000,"&lt;="&amp;$A564)&gt;0,SUMIFS(Recepciones!$C$5:$C$2000,Recepciones!$B$5:$B$2000,Config!$A$23,Recepciones!$A$5:$A$2000,"&gt;"&amp;$A563,Recepciones!$A$5:$A$2000,"&lt;="&amp;$A564),MAX(0,C564-C563)))</f>
        <v/>
      </c>
      <c r="E564" s="24" t="str">
        <f aca="false">IF($A564="","",MAX(0,C563+D564-C564))</f>
        <v/>
      </c>
      <c r="F564" s="24" t="str">
        <f aca="false">IF($A564="","",Stock_Diario!F564)</f>
        <v/>
      </c>
      <c r="G564" s="24" t="str">
        <f aca="false">IF($A564="","",IF(SUMIFS(Recepciones!$C$5:$C$2000,Recepciones!$B$5:$B$2000,Config!$A$24,Recepciones!$A$5:$A$2000,"&gt;"&amp;$A563,Recepciones!$A$5:$A$2000,"&lt;="&amp;$A564)&gt;0,SUMIFS(Recepciones!$C$5:$C$2000,Recepciones!$B$5:$B$2000,Config!$A$24,Recepciones!$A$5:$A$2000,"&gt;"&amp;$A563,Recepciones!$A$5:$A$2000,"&lt;="&amp;$A564),MAX(0,F564-F563)))</f>
        <v/>
      </c>
      <c r="H564" s="24" t="str">
        <f aca="false">IF($A564="","",MAX(0,F563+G564-F564))</f>
        <v/>
      </c>
      <c r="I564" s="24" t="str">
        <f aca="false">IF($A564="","",Stock_Diario!G564)</f>
        <v/>
      </c>
      <c r="J564" s="24" t="str">
        <f aca="false">IF($A564="","",IF(SUMIFS(Recepciones!$C$5:$C$2000,Recepciones!$B$5:$B$2000,Config!$A$25,Recepciones!$A$5:$A$2000,"&gt;"&amp;$A563,Recepciones!$A$5:$A$2000,"&lt;="&amp;$A564)&gt;0,SUMIFS(Recepciones!$C$5:$C$2000,Recepciones!$B$5:$B$2000,Config!$A$25,Recepciones!$A$5:$A$2000,"&gt;"&amp;$A563,Recepciones!$A$5:$A$2000,"&lt;="&amp;$A564),MAX(0,I564-I563)))</f>
        <v/>
      </c>
      <c r="K564" s="24" t="str">
        <f aca="false">IF($A564="","",MAX(0,I563+J564-I564))</f>
        <v/>
      </c>
      <c r="L564" s="24" t="str">
        <f aca="false">IF($A564="","",E564+H564+K564)</f>
        <v/>
      </c>
      <c r="M564" s="4" t="str">
        <f aca="false">IF($A564="","",IF(AND(D564+G564+J564&gt;0,SUMIFS(Recepciones!$C$5:$C$2000,Recepciones!$A$5:$A$2000,"&gt;"&amp;$A563,Recepciones!$A$5:$A$2000,"&lt;="&amp;$A564)=0),"Aumento de stock sin recepción registrada",IF(B564&gt;1,"Intervalo de "&amp;B564&amp;" días","")))</f>
        <v/>
      </c>
    </row>
    <row r="565" customFormat="false" ht="15" hidden="false" customHeight="false" outlineLevel="0" collapsed="false">
      <c r="A565" s="5" t="str">
        <f aca="false">IF(Stock_Diario!A565="","",Stock_Diario!A565)</f>
        <v/>
      </c>
      <c r="B565" s="4" t="str">
        <f aca="false">IF($A565="","",$A565-$A564)</f>
        <v/>
      </c>
      <c r="C565" s="24" t="str">
        <f aca="false">IF($A565="","",Stock_Diario!E565)</f>
        <v/>
      </c>
      <c r="D565" s="24" t="str">
        <f aca="false">IF($A565="","",IF(SUMIFS(Recepciones!$C$5:$C$2000,Recepciones!$B$5:$B$2000,Config!$A$23,Recepciones!$A$5:$A$2000,"&gt;"&amp;$A564,Recepciones!$A$5:$A$2000,"&lt;="&amp;$A565)&gt;0,SUMIFS(Recepciones!$C$5:$C$2000,Recepciones!$B$5:$B$2000,Config!$A$23,Recepciones!$A$5:$A$2000,"&gt;"&amp;$A564,Recepciones!$A$5:$A$2000,"&lt;="&amp;$A565),MAX(0,C565-C564)))</f>
        <v/>
      </c>
      <c r="E565" s="24" t="str">
        <f aca="false">IF($A565="","",MAX(0,C564+D565-C565))</f>
        <v/>
      </c>
      <c r="F565" s="24" t="str">
        <f aca="false">IF($A565="","",Stock_Diario!F565)</f>
        <v/>
      </c>
      <c r="G565" s="24" t="str">
        <f aca="false">IF($A565="","",IF(SUMIFS(Recepciones!$C$5:$C$2000,Recepciones!$B$5:$B$2000,Config!$A$24,Recepciones!$A$5:$A$2000,"&gt;"&amp;$A564,Recepciones!$A$5:$A$2000,"&lt;="&amp;$A565)&gt;0,SUMIFS(Recepciones!$C$5:$C$2000,Recepciones!$B$5:$B$2000,Config!$A$24,Recepciones!$A$5:$A$2000,"&gt;"&amp;$A564,Recepciones!$A$5:$A$2000,"&lt;="&amp;$A565),MAX(0,F565-F564)))</f>
        <v/>
      </c>
      <c r="H565" s="24" t="str">
        <f aca="false">IF($A565="","",MAX(0,F564+G565-F565))</f>
        <v/>
      </c>
      <c r="I565" s="24" t="str">
        <f aca="false">IF($A565="","",Stock_Diario!G565)</f>
        <v/>
      </c>
      <c r="J565" s="24" t="str">
        <f aca="false">IF($A565="","",IF(SUMIFS(Recepciones!$C$5:$C$2000,Recepciones!$B$5:$B$2000,Config!$A$25,Recepciones!$A$5:$A$2000,"&gt;"&amp;$A564,Recepciones!$A$5:$A$2000,"&lt;="&amp;$A565)&gt;0,SUMIFS(Recepciones!$C$5:$C$2000,Recepciones!$B$5:$B$2000,Config!$A$25,Recepciones!$A$5:$A$2000,"&gt;"&amp;$A564,Recepciones!$A$5:$A$2000,"&lt;="&amp;$A565),MAX(0,I565-I564)))</f>
        <v/>
      </c>
      <c r="K565" s="24" t="str">
        <f aca="false">IF($A565="","",MAX(0,I564+J565-I565))</f>
        <v/>
      </c>
      <c r="L565" s="24" t="str">
        <f aca="false">IF($A565="","",E565+H565+K565)</f>
        <v/>
      </c>
      <c r="M565" s="4" t="str">
        <f aca="false">IF($A565="","",IF(AND(D565+G565+J565&gt;0,SUMIFS(Recepciones!$C$5:$C$2000,Recepciones!$A$5:$A$2000,"&gt;"&amp;$A564,Recepciones!$A$5:$A$2000,"&lt;="&amp;$A565)=0),"Aumento de stock sin recepción registrada",IF(B565&gt;1,"Intervalo de "&amp;B565&amp;" días","")))</f>
        <v/>
      </c>
    </row>
    <row r="566" customFormat="false" ht="15" hidden="false" customHeight="false" outlineLevel="0" collapsed="false">
      <c r="A566" s="5" t="str">
        <f aca="false">IF(Stock_Diario!A566="","",Stock_Diario!A566)</f>
        <v/>
      </c>
      <c r="B566" s="4" t="str">
        <f aca="false">IF($A566="","",$A566-$A565)</f>
        <v/>
      </c>
      <c r="C566" s="24" t="str">
        <f aca="false">IF($A566="","",Stock_Diario!E566)</f>
        <v/>
      </c>
      <c r="D566" s="24" t="str">
        <f aca="false">IF($A566="","",IF(SUMIFS(Recepciones!$C$5:$C$2000,Recepciones!$B$5:$B$2000,Config!$A$23,Recepciones!$A$5:$A$2000,"&gt;"&amp;$A565,Recepciones!$A$5:$A$2000,"&lt;="&amp;$A566)&gt;0,SUMIFS(Recepciones!$C$5:$C$2000,Recepciones!$B$5:$B$2000,Config!$A$23,Recepciones!$A$5:$A$2000,"&gt;"&amp;$A565,Recepciones!$A$5:$A$2000,"&lt;="&amp;$A566),MAX(0,C566-C565)))</f>
        <v/>
      </c>
      <c r="E566" s="24" t="str">
        <f aca="false">IF($A566="","",MAX(0,C565+D566-C566))</f>
        <v/>
      </c>
      <c r="F566" s="24" t="str">
        <f aca="false">IF($A566="","",Stock_Diario!F566)</f>
        <v/>
      </c>
      <c r="G566" s="24" t="str">
        <f aca="false">IF($A566="","",IF(SUMIFS(Recepciones!$C$5:$C$2000,Recepciones!$B$5:$B$2000,Config!$A$24,Recepciones!$A$5:$A$2000,"&gt;"&amp;$A565,Recepciones!$A$5:$A$2000,"&lt;="&amp;$A566)&gt;0,SUMIFS(Recepciones!$C$5:$C$2000,Recepciones!$B$5:$B$2000,Config!$A$24,Recepciones!$A$5:$A$2000,"&gt;"&amp;$A565,Recepciones!$A$5:$A$2000,"&lt;="&amp;$A566),MAX(0,F566-F565)))</f>
        <v/>
      </c>
      <c r="H566" s="24" t="str">
        <f aca="false">IF($A566="","",MAX(0,F565+G566-F566))</f>
        <v/>
      </c>
      <c r="I566" s="24" t="str">
        <f aca="false">IF($A566="","",Stock_Diario!G566)</f>
        <v/>
      </c>
      <c r="J566" s="24" t="str">
        <f aca="false">IF($A566="","",IF(SUMIFS(Recepciones!$C$5:$C$2000,Recepciones!$B$5:$B$2000,Config!$A$25,Recepciones!$A$5:$A$2000,"&gt;"&amp;$A565,Recepciones!$A$5:$A$2000,"&lt;="&amp;$A566)&gt;0,SUMIFS(Recepciones!$C$5:$C$2000,Recepciones!$B$5:$B$2000,Config!$A$25,Recepciones!$A$5:$A$2000,"&gt;"&amp;$A565,Recepciones!$A$5:$A$2000,"&lt;="&amp;$A566),MAX(0,I566-I565)))</f>
        <v/>
      </c>
      <c r="K566" s="24" t="str">
        <f aca="false">IF($A566="","",MAX(0,I565+J566-I566))</f>
        <v/>
      </c>
      <c r="L566" s="24" t="str">
        <f aca="false">IF($A566="","",E566+H566+K566)</f>
        <v/>
      </c>
      <c r="M566" s="4" t="str">
        <f aca="false">IF($A566="","",IF(AND(D566+G566+J566&gt;0,SUMIFS(Recepciones!$C$5:$C$2000,Recepciones!$A$5:$A$2000,"&gt;"&amp;$A565,Recepciones!$A$5:$A$2000,"&lt;="&amp;$A566)=0),"Aumento de stock sin recepción registrada",IF(B566&gt;1,"Intervalo de "&amp;B566&amp;" días","")))</f>
        <v/>
      </c>
    </row>
    <row r="567" customFormat="false" ht="15" hidden="false" customHeight="false" outlineLevel="0" collapsed="false">
      <c r="A567" s="5" t="str">
        <f aca="false">IF(Stock_Diario!A567="","",Stock_Diario!A567)</f>
        <v/>
      </c>
      <c r="B567" s="4" t="str">
        <f aca="false">IF($A567="","",$A567-$A566)</f>
        <v/>
      </c>
      <c r="C567" s="24" t="str">
        <f aca="false">IF($A567="","",Stock_Diario!E567)</f>
        <v/>
      </c>
      <c r="D567" s="24" t="str">
        <f aca="false">IF($A567="","",IF(SUMIFS(Recepciones!$C$5:$C$2000,Recepciones!$B$5:$B$2000,Config!$A$23,Recepciones!$A$5:$A$2000,"&gt;"&amp;$A566,Recepciones!$A$5:$A$2000,"&lt;="&amp;$A567)&gt;0,SUMIFS(Recepciones!$C$5:$C$2000,Recepciones!$B$5:$B$2000,Config!$A$23,Recepciones!$A$5:$A$2000,"&gt;"&amp;$A566,Recepciones!$A$5:$A$2000,"&lt;="&amp;$A567),MAX(0,C567-C566)))</f>
        <v/>
      </c>
      <c r="E567" s="24" t="str">
        <f aca="false">IF($A567="","",MAX(0,C566+D567-C567))</f>
        <v/>
      </c>
      <c r="F567" s="24" t="str">
        <f aca="false">IF($A567="","",Stock_Diario!F567)</f>
        <v/>
      </c>
      <c r="G567" s="24" t="str">
        <f aca="false">IF($A567="","",IF(SUMIFS(Recepciones!$C$5:$C$2000,Recepciones!$B$5:$B$2000,Config!$A$24,Recepciones!$A$5:$A$2000,"&gt;"&amp;$A566,Recepciones!$A$5:$A$2000,"&lt;="&amp;$A567)&gt;0,SUMIFS(Recepciones!$C$5:$C$2000,Recepciones!$B$5:$B$2000,Config!$A$24,Recepciones!$A$5:$A$2000,"&gt;"&amp;$A566,Recepciones!$A$5:$A$2000,"&lt;="&amp;$A567),MAX(0,F567-F566)))</f>
        <v/>
      </c>
      <c r="H567" s="24" t="str">
        <f aca="false">IF($A567="","",MAX(0,F566+G567-F567))</f>
        <v/>
      </c>
      <c r="I567" s="24" t="str">
        <f aca="false">IF($A567="","",Stock_Diario!G567)</f>
        <v/>
      </c>
      <c r="J567" s="24" t="str">
        <f aca="false">IF($A567="","",IF(SUMIFS(Recepciones!$C$5:$C$2000,Recepciones!$B$5:$B$2000,Config!$A$25,Recepciones!$A$5:$A$2000,"&gt;"&amp;$A566,Recepciones!$A$5:$A$2000,"&lt;="&amp;$A567)&gt;0,SUMIFS(Recepciones!$C$5:$C$2000,Recepciones!$B$5:$B$2000,Config!$A$25,Recepciones!$A$5:$A$2000,"&gt;"&amp;$A566,Recepciones!$A$5:$A$2000,"&lt;="&amp;$A567),MAX(0,I567-I566)))</f>
        <v/>
      </c>
      <c r="K567" s="24" t="str">
        <f aca="false">IF($A567="","",MAX(0,I566+J567-I567))</f>
        <v/>
      </c>
      <c r="L567" s="24" t="str">
        <f aca="false">IF($A567="","",E567+H567+K567)</f>
        <v/>
      </c>
      <c r="M567" s="4" t="str">
        <f aca="false">IF($A567="","",IF(AND(D567+G567+J567&gt;0,SUMIFS(Recepciones!$C$5:$C$2000,Recepciones!$A$5:$A$2000,"&gt;"&amp;$A566,Recepciones!$A$5:$A$2000,"&lt;="&amp;$A567)=0),"Aumento de stock sin recepción registrada",IF(B567&gt;1,"Intervalo de "&amp;B567&amp;" días","")))</f>
        <v/>
      </c>
    </row>
    <row r="568" customFormat="false" ht="15" hidden="false" customHeight="false" outlineLevel="0" collapsed="false">
      <c r="A568" s="5" t="str">
        <f aca="false">IF(Stock_Diario!A568="","",Stock_Diario!A568)</f>
        <v/>
      </c>
      <c r="B568" s="4" t="str">
        <f aca="false">IF($A568="","",$A568-$A567)</f>
        <v/>
      </c>
      <c r="C568" s="24" t="str">
        <f aca="false">IF($A568="","",Stock_Diario!E568)</f>
        <v/>
      </c>
      <c r="D568" s="24" t="str">
        <f aca="false">IF($A568="","",IF(SUMIFS(Recepciones!$C$5:$C$2000,Recepciones!$B$5:$B$2000,Config!$A$23,Recepciones!$A$5:$A$2000,"&gt;"&amp;$A567,Recepciones!$A$5:$A$2000,"&lt;="&amp;$A568)&gt;0,SUMIFS(Recepciones!$C$5:$C$2000,Recepciones!$B$5:$B$2000,Config!$A$23,Recepciones!$A$5:$A$2000,"&gt;"&amp;$A567,Recepciones!$A$5:$A$2000,"&lt;="&amp;$A568),MAX(0,C568-C567)))</f>
        <v/>
      </c>
      <c r="E568" s="24" t="str">
        <f aca="false">IF($A568="","",MAX(0,C567+D568-C568))</f>
        <v/>
      </c>
      <c r="F568" s="24" t="str">
        <f aca="false">IF($A568="","",Stock_Diario!F568)</f>
        <v/>
      </c>
      <c r="G568" s="24" t="str">
        <f aca="false">IF($A568="","",IF(SUMIFS(Recepciones!$C$5:$C$2000,Recepciones!$B$5:$B$2000,Config!$A$24,Recepciones!$A$5:$A$2000,"&gt;"&amp;$A567,Recepciones!$A$5:$A$2000,"&lt;="&amp;$A568)&gt;0,SUMIFS(Recepciones!$C$5:$C$2000,Recepciones!$B$5:$B$2000,Config!$A$24,Recepciones!$A$5:$A$2000,"&gt;"&amp;$A567,Recepciones!$A$5:$A$2000,"&lt;="&amp;$A568),MAX(0,F568-F567)))</f>
        <v/>
      </c>
      <c r="H568" s="24" t="str">
        <f aca="false">IF($A568="","",MAX(0,F567+G568-F568))</f>
        <v/>
      </c>
      <c r="I568" s="24" t="str">
        <f aca="false">IF($A568="","",Stock_Diario!G568)</f>
        <v/>
      </c>
      <c r="J568" s="24" t="str">
        <f aca="false">IF($A568="","",IF(SUMIFS(Recepciones!$C$5:$C$2000,Recepciones!$B$5:$B$2000,Config!$A$25,Recepciones!$A$5:$A$2000,"&gt;"&amp;$A567,Recepciones!$A$5:$A$2000,"&lt;="&amp;$A568)&gt;0,SUMIFS(Recepciones!$C$5:$C$2000,Recepciones!$B$5:$B$2000,Config!$A$25,Recepciones!$A$5:$A$2000,"&gt;"&amp;$A567,Recepciones!$A$5:$A$2000,"&lt;="&amp;$A568),MAX(0,I568-I567)))</f>
        <v/>
      </c>
      <c r="K568" s="24" t="str">
        <f aca="false">IF($A568="","",MAX(0,I567+J568-I568))</f>
        <v/>
      </c>
      <c r="L568" s="24" t="str">
        <f aca="false">IF($A568="","",E568+H568+K568)</f>
        <v/>
      </c>
      <c r="M568" s="4" t="str">
        <f aca="false">IF($A568="","",IF(AND(D568+G568+J568&gt;0,SUMIFS(Recepciones!$C$5:$C$2000,Recepciones!$A$5:$A$2000,"&gt;"&amp;$A567,Recepciones!$A$5:$A$2000,"&lt;="&amp;$A568)=0),"Aumento de stock sin recepción registrada",IF(B568&gt;1,"Intervalo de "&amp;B568&amp;" días","")))</f>
        <v/>
      </c>
    </row>
    <row r="569" customFormat="false" ht="15" hidden="false" customHeight="false" outlineLevel="0" collapsed="false">
      <c r="A569" s="5" t="str">
        <f aca="false">IF(Stock_Diario!A569="","",Stock_Diario!A569)</f>
        <v/>
      </c>
      <c r="B569" s="4" t="str">
        <f aca="false">IF($A569="","",$A569-$A568)</f>
        <v/>
      </c>
      <c r="C569" s="24" t="str">
        <f aca="false">IF($A569="","",Stock_Diario!E569)</f>
        <v/>
      </c>
      <c r="D569" s="24" t="str">
        <f aca="false">IF($A569="","",IF(SUMIFS(Recepciones!$C$5:$C$2000,Recepciones!$B$5:$B$2000,Config!$A$23,Recepciones!$A$5:$A$2000,"&gt;"&amp;$A568,Recepciones!$A$5:$A$2000,"&lt;="&amp;$A569)&gt;0,SUMIFS(Recepciones!$C$5:$C$2000,Recepciones!$B$5:$B$2000,Config!$A$23,Recepciones!$A$5:$A$2000,"&gt;"&amp;$A568,Recepciones!$A$5:$A$2000,"&lt;="&amp;$A569),MAX(0,C569-C568)))</f>
        <v/>
      </c>
      <c r="E569" s="24" t="str">
        <f aca="false">IF($A569="","",MAX(0,C568+D569-C569))</f>
        <v/>
      </c>
      <c r="F569" s="24" t="str">
        <f aca="false">IF($A569="","",Stock_Diario!F569)</f>
        <v/>
      </c>
      <c r="G569" s="24" t="str">
        <f aca="false">IF($A569="","",IF(SUMIFS(Recepciones!$C$5:$C$2000,Recepciones!$B$5:$B$2000,Config!$A$24,Recepciones!$A$5:$A$2000,"&gt;"&amp;$A568,Recepciones!$A$5:$A$2000,"&lt;="&amp;$A569)&gt;0,SUMIFS(Recepciones!$C$5:$C$2000,Recepciones!$B$5:$B$2000,Config!$A$24,Recepciones!$A$5:$A$2000,"&gt;"&amp;$A568,Recepciones!$A$5:$A$2000,"&lt;="&amp;$A569),MAX(0,F569-F568)))</f>
        <v/>
      </c>
      <c r="H569" s="24" t="str">
        <f aca="false">IF($A569="","",MAX(0,F568+G569-F569))</f>
        <v/>
      </c>
      <c r="I569" s="24" t="str">
        <f aca="false">IF($A569="","",Stock_Diario!G569)</f>
        <v/>
      </c>
      <c r="J569" s="24" t="str">
        <f aca="false">IF($A569="","",IF(SUMIFS(Recepciones!$C$5:$C$2000,Recepciones!$B$5:$B$2000,Config!$A$25,Recepciones!$A$5:$A$2000,"&gt;"&amp;$A568,Recepciones!$A$5:$A$2000,"&lt;="&amp;$A569)&gt;0,SUMIFS(Recepciones!$C$5:$C$2000,Recepciones!$B$5:$B$2000,Config!$A$25,Recepciones!$A$5:$A$2000,"&gt;"&amp;$A568,Recepciones!$A$5:$A$2000,"&lt;="&amp;$A569),MAX(0,I569-I568)))</f>
        <v/>
      </c>
      <c r="K569" s="24" t="str">
        <f aca="false">IF($A569="","",MAX(0,I568+J569-I569))</f>
        <v/>
      </c>
      <c r="L569" s="24" t="str">
        <f aca="false">IF($A569="","",E569+H569+K569)</f>
        <v/>
      </c>
      <c r="M569" s="4" t="str">
        <f aca="false">IF($A569="","",IF(AND(D569+G569+J569&gt;0,SUMIFS(Recepciones!$C$5:$C$2000,Recepciones!$A$5:$A$2000,"&gt;"&amp;$A568,Recepciones!$A$5:$A$2000,"&lt;="&amp;$A569)=0),"Aumento de stock sin recepción registrada",IF(B569&gt;1,"Intervalo de "&amp;B569&amp;" días","")))</f>
        <v/>
      </c>
    </row>
    <row r="570" customFormat="false" ht="15" hidden="false" customHeight="false" outlineLevel="0" collapsed="false">
      <c r="A570" s="5" t="str">
        <f aca="false">IF(Stock_Diario!A570="","",Stock_Diario!A570)</f>
        <v/>
      </c>
      <c r="B570" s="4" t="str">
        <f aca="false">IF($A570="","",$A570-$A569)</f>
        <v/>
      </c>
      <c r="C570" s="24" t="str">
        <f aca="false">IF($A570="","",Stock_Diario!E570)</f>
        <v/>
      </c>
      <c r="D570" s="24" t="str">
        <f aca="false">IF($A570="","",IF(SUMIFS(Recepciones!$C$5:$C$2000,Recepciones!$B$5:$B$2000,Config!$A$23,Recepciones!$A$5:$A$2000,"&gt;"&amp;$A569,Recepciones!$A$5:$A$2000,"&lt;="&amp;$A570)&gt;0,SUMIFS(Recepciones!$C$5:$C$2000,Recepciones!$B$5:$B$2000,Config!$A$23,Recepciones!$A$5:$A$2000,"&gt;"&amp;$A569,Recepciones!$A$5:$A$2000,"&lt;="&amp;$A570),MAX(0,C570-C569)))</f>
        <v/>
      </c>
      <c r="E570" s="24" t="str">
        <f aca="false">IF($A570="","",MAX(0,C569+D570-C570))</f>
        <v/>
      </c>
      <c r="F570" s="24" t="str">
        <f aca="false">IF($A570="","",Stock_Diario!F570)</f>
        <v/>
      </c>
      <c r="G570" s="24" t="str">
        <f aca="false">IF($A570="","",IF(SUMIFS(Recepciones!$C$5:$C$2000,Recepciones!$B$5:$B$2000,Config!$A$24,Recepciones!$A$5:$A$2000,"&gt;"&amp;$A569,Recepciones!$A$5:$A$2000,"&lt;="&amp;$A570)&gt;0,SUMIFS(Recepciones!$C$5:$C$2000,Recepciones!$B$5:$B$2000,Config!$A$24,Recepciones!$A$5:$A$2000,"&gt;"&amp;$A569,Recepciones!$A$5:$A$2000,"&lt;="&amp;$A570),MAX(0,F570-F569)))</f>
        <v/>
      </c>
      <c r="H570" s="24" t="str">
        <f aca="false">IF($A570="","",MAX(0,F569+G570-F570))</f>
        <v/>
      </c>
      <c r="I570" s="24" t="str">
        <f aca="false">IF($A570="","",Stock_Diario!G570)</f>
        <v/>
      </c>
      <c r="J570" s="24" t="str">
        <f aca="false">IF($A570="","",IF(SUMIFS(Recepciones!$C$5:$C$2000,Recepciones!$B$5:$B$2000,Config!$A$25,Recepciones!$A$5:$A$2000,"&gt;"&amp;$A569,Recepciones!$A$5:$A$2000,"&lt;="&amp;$A570)&gt;0,SUMIFS(Recepciones!$C$5:$C$2000,Recepciones!$B$5:$B$2000,Config!$A$25,Recepciones!$A$5:$A$2000,"&gt;"&amp;$A569,Recepciones!$A$5:$A$2000,"&lt;="&amp;$A570),MAX(0,I570-I569)))</f>
        <v/>
      </c>
      <c r="K570" s="24" t="str">
        <f aca="false">IF($A570="","",MAX(0,I569+J570-I570))</f>
        <v/>
      </c>
      <c r="L570" s="24" t="str">
        <f aca="false">IF($A570="","",E570+H570+K570)</f>
        <v/>
      </c>
      <c r="M570" s="4" t="str">
        <f aca="false">IF($A570="","",IF(AND(D570+G570+J570&gt;0,SUMIFS(Recepciones!$C$5:$C$2000,Recepciones!$A$5:$A$2000,"&gt;"&amp;$A569,Recepciones!$A$5:$A$2000,"&lt;="&amp;$A570)=0),"Aumento de stock sin recepción registrada",IF(B570&gt;1,"Intervalo de "&amp;B570&amp;" días","")))</f>
        <v/>
      </c>
    </row>
    <row r="571" customFormat="false" ht="15" hidden="false" customHeight="false" outlineLevel="0" collapsed="false">
      <c r="A571" s="5" t="str">
        <f aca="false">IF(Stock_Diario!A571="","",Stock_Diario!A571)</f>
        <v/>
      </c>
      <c r="B571" s="4" t="str">
        <f aca="false">IF($A571="","",$A571-$A570)</f>
        <v/>
      </c>
      <c r="C571" s="24" t="str">
        <f aca="false">IF($A571="","",Stock_Diario!E571)</f>
        <v/>
      </c>
      <c r="D571" s="24" t="str">
        <f aca="false">IF($A571="","",IF(SUMIFS(Recepciones!$C$5:$C$2000,Recepciones!$B$5:$B$2000,Config!$A$23,Recepciones!$A$5:$A$2000,"&gt;"&amp;$A570,Recepciones!$A$5:$A$2000,"&lt;="&amp;$A571)&gt;0,SUMIFS(Recepciones!$C$5:$C$2000,Recepciones!$B$5:$B$2000,Config!$A$23,Recepciones!$A$5:$A$2000,"&gt;"&amp;$A570,Recepciones!$A$5:$A$2000,"&lt;="&amp;$A571),MAX(0,C571-C570)))</f>
        <v/>
      </c>
      <c r="E571" s="24" t="str">
        <f aca="false">IF($A571="","",MAX(0,C570+D571-C571))</f>
        <v/>
      </c>
      <c r="F571" s="24" t="str">
        <f aca="false">IF($A571="","",Stock_Diario!F571)</f>
        <v/>
      </c>
      <c r="G571" s="24" t="str">
        <f aca="false">IF($A571="","",IF(SUMIFS(Recepciones!$C$5:$C$2000,Recepciones!$B$5:$B$2000,Config!$A$24,Recepciones!$A$5:$A$2000,"&gt;"&amp;$A570,Recepciones!$A$5:$A$2000,"&lt;="&amp;$A571)&gt;0,SUMIFS(Recepciones!$C$5:$C$2000,Recepciones!$B$5:$B$2000,Config!$A$24,Recepciones!$A$5:$A$2000,"&gt;"&amp;$A570,Recepciones!$A$5:$A$2000,"&lt;="&amp;$A571),MAX(0,F571-F570)))</f>
        <v/>
      </c>
      <c r="H571" s="24" t="str">
        <f aca="false">IF($A571="","",MAX(0,F570+G571-F571))</f>
        <v/>
      </c>
      <c r="I571" s="24" t="str">
        <f aca="false">IF($A571="","",Stock_Diario!G571)</f>
        <v/>
      </c>
      <c r="J571" s="24" t="str">
        <f aca="false">IF($A571="","",IF(SUMIFS(Recepciones!$C$5:$C$2000,Recepciones!$B$5:$B$2000,Config!$A$25,Recepciones!$A$5:$A$2000,"&gt;"&amp;$A570,Recepciones!$A$5:$A$2000,"&lt;="&amp;$A571)&gt;0,SUMIFS(Recepciones!$C$5:$C$2000,Recepciones!$B$5:$B$2000,Config!$A$25,Recepciones!$A$5:$A$2000,"&gt;"&amp;$A570,Recepciones!$A$5:$A$2000,"&lt;="&amp;$A571),MAX(0,I571-I570)))</f>
        <v/>
      </c>
      <c r="K571" s="24" t="str">
        <f aca="false">IF($A571="","",MAX(0,I570+J571-I571))</f>
        <v/>
      </c>
      <c r="L571" s="24" t="str">
        <f aca="false">IF($A571="","",E571+H571+K571)</f>
        <v/>
      </c>
      <c r="M571" s="4" t="str">
        <f aca="false">IF($A571="","",IF(AND(D571+G571+J571&gt;0,SUMIFS(Recepciones!$C$5:$C$2000,Recepciones!$A$5:$A$2000,"&gt;"&amp;$A570,Recepciones!$A$5:$A$2000,"&lt;="&amp;$A571)=0),"Aumento de stock sin recepción registrada",IF(B571&gt;1,"Intervalo de "&amp;B571&amp;" días","")))</f>
        <v/>
      </c>
    </row>
    <row r="572" customFormat="false" ht="15" hidden="false" customHeight="false" outlineLevel="0" collapsed="false">
      <c r="A572" s="5" t="str">
        <f aca="false">IF(Stock_Diario!A572="","",Stock_Diario!A572)</f>
        <v/>
      </c>
      <c r="B572" s="4" t="str">
        <f aca="false">IF($A572="","",$A572-$A571)</f>
        <v/>
      </c>
      <c r="C572" s="24" t="str">
        <f aca="false">IF($A572="","",Stock_Diario!E572)</f>
        <v/>
      </c>
      <c r="D572" s="24" t="str">
        <f aca="false">IF($A572="","",IF(SUMIFS(Recepciones!$C$5:$C$2000,Recepciones!$B$5:$B$2000,Config!$A$23,Recepciones!$A$5:$A$2000,"&gt;"&amp;$A571,Recepciones!$A$5:$A$2000,"&lt;="&amp;$A572)&gt;0,SUMIFS(Recepciones!$C$5:$C$2000,Recepciones!$B$5:$B$2000,Config!$A$23,Recepciones!$A$5:$A$2000,"&gt;"&amp;$A571,Recepciones!$A$5:$A$2000,"&lt;="&amp;$A572),MAX(0,C572-C571)))</f>
        <v/>
      </c>
      <c r="E572" s="24" t="str">
        <f aca="false">IF($A572="","",MAX(0,C571+D572-C572))</f>
        <v/>
      </c>
      <c r="F572" s="24" t="str">
        <f aca="false">IF($A572="","",Stock_Diario!F572)</f>
        <v/>
      </c>
      <c r="G572" s="24" t="str">
        <f aca="false">IF($A572="","",IF(SUMIFS(Recepciones!$C$5:$C$2000,Recepciones!$B$5:$B$2000,Config!$A$24,Recepciones!$A$5:$A$2000,"&gt;"&amp;$A571,Recepciones!$A$5:$A$2000,"&lt;="&amp;$A572)&gt;0,SUMIFS(Recepciones!$C$5:$C$2000,Recepciones!$B$5:$B$2000,Config!$A$24,Recepciones!$A$5:$A$2000,"&gt;"&amp;$A571,Recepciones!$A$5:$A$2000,"&lt;="&amp;$A572),MAX(0,F572-F571)))</f>
        <v/>
      </c>
      <c r="H572" s="24" t="str">
        <f aca="false">IF($A572="","",MAX(0,F571+G572-F572))</f>
        <v/>
      </c>
      <c r="I572" s="24" t="str">
        <f aca="false">IF($A572="","",Stock_Diario!G572)</f>
        <v/>
      </c>
      <c r="J572" s="24" t="str">
        <f aca="false">IF($A572="","",IF(SUMIFS(Recepciones!$C$5:$C$2000,Recepciones!$B$5:$B$2000,Config!$A$25,Recepciones!$A$5:$A$2000,"&gt;"&amp;$A571,Recepciones!$A$5:$A$2000,"&lt;="&amp;$A572)&gt;0,SUMIFS(Recepciones!$C$5:$C$2000,Recepciones!$B$5:$B$2000,Config!$A$25,Recepciones!$A$5:$A$2000,"&gt;"&amp;$A571,Recepciones!$A$5:$A$2000,"&lt;="&amp;$A572),MAX(0,I572-I571)))</f>
        <v/>
      </c>
      <c r="K572" s="24" t="str">
        <f aca="false">IF($A572="","",MAX(0,I571+J572-I572))</f>
        <v/>
      </c>
      <c r="L572" s="24" t="str">
        <f aca="false">IF($A572="","",E572+H572+K572)</f>
        <v/>
      </c>
      <c r="M572" s="4" t="str">
        <f aca="false">IF($A572="","",IF(AND(D572+G572+J572&gt;0,SUMIFS(Recepciones!$C$5:$C$2000,Recepciones!$A$5:$A$2000,"&gt;"&amp;$A571,Recepciones!$A$5:$A$2000,"&lt;="&amp;$A572)=0),"Aumento de stock sin recepción registrada",IF(B572&gt;1,"Intervalo de "&amp;B572&amp;" días","")))</f>
        <v/>
      </c>
    </row>
    <row r="573" customFormat="false" ht="15" hidden="false" customHeight="false" outlineLevel="0" collapsed="false">
      <c r="A573" s="5" t="str">
        <f aca="false">IF(Stock_Diario!A573="","",Stock_Diario!A573)</f>
        <v/>
      </c>
      <c r="B573" s="4" t="str">
        <f aca="false">IF($A573="","",$A573-$A572)</f>
        <v/>
      </c>
      <c r="C573" s="24" t="str">
        <f aca="false">IF($A573="","",Stock_Diario!E573)</f>
        <v/>
      </c>
      <c r="D573" s="24" t="str">
        <f aca="false">IF($A573="","",IF(SUMIFS(Recepciones!$C$5:$C$2000,Recepciones!$B$5:$B$2000,Config!$A$23,Recepciones!$A$5:$A$2000,"&gt;"&amp;$A572,Recepciones!$A$5:$A$2000,"&lt;="&amp;$A573)&gt;0,SUMIFS(Recepciones!$C$5:$C$2000,Recepciones!$B$5:$B$2000,Config!$A$23,Recepciones!$A$5:$A$2000,"&gt;"&amp;$A572,Recepciones!$A$5:$A$2000,"&lt;="&amp;$A573),MAX(0,C573-C572)))</f>
        <v/>
      </c>
      <c r="E573" s="24" t="str">
        <f aca="false">IF($A573="","",MAX(0,C572+D573-C573))</f>
        <v/>
      </c>
      <c r="F573" s="24" t="str">
        <f aca="false">IF($A573="","",Stock_Diario!F573)</f>
        <v/>
      </c>
      <c r="G573" s="24" t="str">
        <f aca="false">IF($A573="","",IF(SUMIFS(Recepciones!$C$5:$C$2000,Recepciones!$B$5:$B$2000,Config!$A$24,Recepciones!$A$5:$A$2000,"&gt;"&amp;$A572,Recepciones!$A$5:$A$2000,"&lt;="&amp;$A573)&gt;0,SUMIFS(Recepciones!$C$5:$C$2000,Recepciones!$B$5:$B$2000,Config!$A$24,Recepciones!$A$5:$A$2000,"&gt;"&amp;$A572,Recepciones!$A$5:$A$2000,"&lt;="&amp;$A573),MAX(0,F573-F572)))</f>
        <v/>
      </c>
      <c r="H573" s="24" t="str">
        <f aca="false">IF($A573="","",MAX(0,F572+G573-F573))</f>
        <v/>
      </c>
      <c r="I573" s="24" t="str">
        <f aca="false">IF($A573="","",Stock_Diario!G573)</f>
        <v/>
      </c>
      <c r="J573" s="24" t="str">
        <f aca="false">IF($A573="","",IF(SUMIFS(Recepciones!$C$5:$C$2000,Recepciones!$B$5:$B$2000,Config!$A$25,Recepciones!$A$5:$A$2000,"&gt;"&amp;$A572,Recepciones!$A$5:$A$2000,"&lt;="&amp;$A573)&gt;0,SUMIFS(Recepciones!$C$5:$C$2000,Recepciones!$B$5:$B$2000,Config!$A$25,Recepciones!$A$5:$A$2000,"&gt;"&amp;$A572,Recepciones!$A$5:$A$2000,"&lt;="&amp;$A573),MAX(0,I573-I572)))</f>
        <v/>
      </c>
      <c r="K573" s="24" t="str">
        <f aca="false">IF($A573="","",MAX(0,I572+J573-I573))</f>
        <v/>
      </c>
      <c r="L573" s="24" t="str">
        <f aca="false">IF($A573="","",E573+H573+K573)</f>
        <v/>
      </c>
      <c r="M573" s="4" t="str">
        <f aca="false">IF($A573="","",IF(AND(D573+G573+J573&gt;0,SUMIFS(Recepciones!$C$5:$C$2000,Recepciones!$A$5:$A$2000,"&gt;"&amp;$A572,Recepciones!$A$5:$A$2000,"&lt;="&amp;$A573)=0),"Aumento de stock sin recepción registrada",IF(B573&gt;1,"Intervalo de "&amp;B573&amp;" días","")))</f>
        <v/>
      </c>
    </row>
    <row r="574" customFormat="false" ht="15" hidden="false" customHeight="false" outlineLevel="0" collapsed="false">
      <c r="A574" s="5" t="str">
        <f aca="false">IF(Stock_Diario!A574="","",Stock_Diario!A574)</f>
        <v/>
      </c>
      <c r="B574" s="4" t="str">
        <f aca="false">IF($A574="","",$A574-$A573)</f>
        <v/>
      </c>
      <c r="C574" s="24" t="str">
        <f aca="false">IF($A574="","",Stock_Diario!E574)</f>
        <v/>
      </c>
      <c r="D574" s="24" t="str">
        <f aca="false">IF($A574="","",IF(SUMIFS(Recepciones!$C$5:$C$2000,Recepciones!$B$5:$B$2000,Config!$A$23,Recepciones!$A$5:$A$2000,"&gt;"&amp;$A573,Recepciones!$A$5:$A$2000,"&lt;="&amp;$A574)&gt;0,SUMIFS(Recepciones!$C$5:$C$2000,Recepciones!$B$5:$B$2000,Config!$A$23,Recepciones!$A$5:$A$2000,"&gt;"&amp;$A573,Recepciones!$A$5:$A$2000,"&lt;="&amp;$A574),MAX(0,C574-C573)))</f>
        <v/>
      </c>
      <c r="E574" s="24" t="str">
        <f aca="false">IF($A574="","",MAX(0,C573+D574-C574))</f>
        <v/>
      </c>
      <c r="F574" s="24" t="str">
        <f aca="false">IF($A574="","",Stock_Diario!F574)</f>
        <v/>
      </c>
      <c r="G574" s="24" t="str">
        <f aca="false">IF($A574="","",IF(SUMIFS(Recepciones!$C$5:$C$2000,Recepciones!$B$5:$B$2000,Config!$A$24,Recepciones!$A$5:$A$2000,"&gt;"&amp;$A573,Recepciones!$A$5:$A$2000,"&lt;="&amp;$A574)&gt;0,SUMIFS(Recepciones!$C$5:$C$2000,Recepciones!$B$5:$B$2000,Config!$A$24,Recepciones!$A$5:$A$2000,"&gt;"&amp;$A573,Recepciones!$A$5:$A$2000,"&lt;="&amp;$A574),MAX(0,F574-F573)))</f>
        <v/>
      </c>
      <c r="H574" s="24" t="str">
        <f aca="false">IF($A574="","",MAX(0,F573+G574-F574))</f>
        <v/>
      </c>
      <c r="I574" s="24" t="str">
        <f aca="false">IF($A574="","",Stock_Diario!G574)</f>
        <v/>
      </c>
      <c r="J574" s="24" t="str">
        <f aca="false">IF($A574="","",IF(SUMIFS(Recepciones!$C$5:$C$2000,Recepciones!$B$5:$B$2000,Config!$A$25,Recepciones!$A$5:$A$2000,"&gt;"&amp;$A573,Recepciones!$A$5:$A$2000,"&lt;="&amp;$A574)&gt;0,SUMIFS(Recepciones!$C$5:$C$2000,Recepciones!$B$5:$B$2000,Config!$A$25,Recepciones!$A$5:$A$2000,"&gt;"&amp;$A573,Recepciones!$A$5:$A$2000,"&lt;="&amp;$A574),MAX(0,I574-I573)))</f>
        <v/>
      </c>
      <c r="K574" s="24" t="str">
        <f aca="false">IF($A574="","",MAX(0,I573+J574-I574))</f>
        <v/>
      </c>
      <c r="L574" s="24" t="str">
        <f aca="false">IF($A574="","",E574+H574+K574)</f>
        <v/>
      </c>
      <c r="M574" s="4" t="str">
        <f aca="false">IF($A574="","",IF(AND(D574+G574+J574&gt;0,SUMIFS(Recepciones!$C$5:$C$2000,Recepciones!$A$5:$A$2000,"&gt;"&amp;$A573,Recepciones!$A$5:$A$2000,"&lt;="&amp;$A574)=0),"Aumento de stock sin recepción registrada",IF(B574&gt;1,"Intervalo de "&amp;B574&amp;" días","")))</f>
        <v/>
      </c>
    </row>
    <row r="575" customFormat="false" ht="15" hidden="false" customHeight="false" outlineLevel="0" collapsed="false">
      <c r="A575" s="5" t="str">
        <f aca="false">IF(Stock_Diario!A575="","",Stock_Diario!A575)</f>
        <v/>
      </c>
      <c r="B575" s="4" t="str">
        <f aca="false">IF($A575="","",$A575-$A574)</f>
        <v/>
      </c>
      <c r="C575" s="24" t="str">
        <f aca="false">IF($A575="","",Stock_Diario!E575)</f>
        <v/>
      </c>
      <c r="D575" s="24" t="str">
        <f aca="false">IF($A575="","",IF(SUMIFS(Recepciones!$C$5:$C$2000,Recepciones!$B$5:$B$2000,Config!$A$23,Recepciones!$A$5:$A$2000,"&gt;"&amp;$A574,Recepciones!$A$5:$A$2000,"&lt;="&amp;$A575)&gt;0,SUMIFS(Recepciones!$C$5:$C$2000,Recepciones!$B$5:$B$2000,Config!$A$23,Recepciones!$A$5:$A$2000,"&gt;"&amp;$A574,Recepciones!$A$5:$A$2000,"&lt;="&amp;$A575),MAX(0,C575-C574)))</f>
        <v/>
      </c>
      <c r="E575" s="24" t="str">
        <f aca="false">IF($A575="","",MAX(0,C574+D575-C575))</f>
        <v/>
      </c>
      <c r="F575" s="24" t="str">
        <f aca="false">IF($A575="","",Stock_Diario!F575)</f>
        <v/>
      </c>
      <c r="G575" s="24" t="str">
        <f aca="false">IF($A575="","",IF(SUMIFS(Recepciones!$C$5:$C$2000,Recepciones!$B$5:$B$2000,Config!$A$24,Recepciones!$A$5:$A$2000,"&gt;"&amp;$A574,Recepciones!$A$5:$A$2000,"&lt;="&amp;$A575)&gt;0,SUMIFS(Recepciones!$C$5:$C$2000,Recepciones!$B$5:$B$2000,Config!$A$24,Recepciones!$A$5:$A$2000,"&gt;"&amp;$A574,Recepciones!$A$5:$A$2000,"&lt;="&amp;$A575),MAX(0,F575-F574)))</f>
        <v/>
      </c>
      <c r="H575" s="24" t="str">
        <f aca="false">IF($A575="","",MAX(0,F574+G575-F575))</f>
        <v/>
      </c>
      <c r="I575" s="24" t="str">
        <f aca="false">IF($A575="","",Stock_Diario!G575)</f>
        <v/>
      </c>
      <c r="J575" s="24" t="str">
        <f aca="false">IF($A575="","",IF(SUMIFS(Recepciones!$C$5:$C$2000,Recepciones!$B$5:$B$2000,Config!$A$25,Recepciones!$A$5:$A$2000,"&gt;"&amp;$A574,Recepciones!$A$5:$A$2000,"&lt;="&amp;$A575)&gt;0,SUMIFS(Recepciones!$C$5:$C$2000,Recepciones!$B$5:$B$2000,Config!$A$25,Recepciones!$A$5:$A$2000,"&gt;"&amp;$A574,Recepciones!$A$5:$A$2000,"&lt;="&amp;$A575),MAX(0,I575-I574)))</f>
        <v/>
      </c>
      <c r="K575" s="24" t="str">
        <f aca="false">IF($A575="","",MAX(0,I574+J575-I575))</f>
        <v/>
      </c>
      <c r="L575" s="24" t="str">
        <f aca="false">IF($A575="","",E575+H575+K575)</f>
        <v/>
      </c>
      <c r="M575" s="4" t="str">
        <f aca="false">IF($A575="","",IF(AND(D575+G575+J575&gt;0,SUMIFS(Recepciones!$C$5:$C$2000,Recepciones!$A$5:$A$2000,"&gt;"&amp;$A574,Recepciones!$A$5:$A$2000,"&lt;="&amp;$A575)=0),"Aumento de stock sin recepción registrada",IF(B575&gt;1,"Intervalo de "&amp;B575&amp;" días","")))</f>
        <v/>
      </c>
    </row>
    <row r="576" customFormat="false" ht="15" hidden="false" customHeight="false" outlineLevel="0" collapsed="false">
      <c r="A576" s="5" t="str">
        <f aca="false">IF(Stock_Diario!A576="","",Stock_Diario!A576)</f>
        <v/>
      </c>
      <c r="B576" s="4" t="str">
        <f aca="false">IF($A576="","",$A576-$A575)</f>
        <v/>
      </c>
      <c r="C576" s="24" t="str">
        <f aca="false">IF($A576="","",Stock_Diario!E576)</f>
        <v/>
      </c>
      <c r="D576" s="24" t="str">
        <f aca="false">IF($A576="","",IF(SUMIFS(Recepciones!$C$5:$C$2000,Recepciones!$B$5:$B$2000,Config!$A$23,Recepciones!$A$5:$A$2000,"&gt;"&amp;$A575,Recepciones!$A$5:$A$2000,"&lt;="&amp;$A576)&gt;0,SUMIFS(Recepciones!$C$5:$C$2000,Recepciones!$B$5:$B$2000,Config!$A$23,Recepciones!$A$5:$A$2000,"&gt;"&amp;$A575,Recepciones!$A$5:$A$2000,"&lt;="&amp;$A576),MAX(0,C576-C575)))</f>
        <v/>
      </c>
      <c r="E576" s="24" t="str">
        <f aca="false">IF($A576="","",MAX(0,C575+D576-C576))</f>
        <v/>
      </c>
      <c r="F576" s="24" t="str">
        <f aca="false">IF($A576="","",Stock_Diario!F576)</f>
        <v/>
      </c>
      <c r="G576" s="24" t="str">
        <f aca="false">IF($A576="","",IF(SUMIFS(Recepciones!$C$5:$C$2000,Recepciones!$B$5:$B$2000,Config!$A$24,Recepciones!$A$5:$A$2000,"&gt;"&amp;$A575,Recepciones!$A$5:$A$2000,"&lt;="&amp;$A576)&gt;0,SUMIFS(Recepciones!$C$5:$C$2000,Recepciones!$B$5:$B$2000,Config!$A$24,Recepciones!$A$5:$A$2000,"&gt;"&amp;$A575,Recepciones!$A$5:$A$2000,"&lt;="&amp;$A576),MAX(0,F576-F575)))</f>
        <v/>
      </c>
      <c r="H576" s="24" t="str">
        <f aca="false">IF($A576="","",MAX(0,F575+G576-F576))</f>
        <v/>
      </c>
      <c r="I576" s="24" t="str">
        <f aca="false">IF($A576="","",Stock_Diario!G576)</f>
        <v/>
      </c>
      <c r="J576" s="24" t="str">
        <f aca="false">IF($A576="","",IF(SUMIFS(Recepciones!$C$5:$C$2000,Recepciones!$B$5:$B$2000,Config!$A$25,Recepciones!$A$5:$A$2000,"&gt;"&amp;$A575,Recepciones!$A$5:$A$2000,"&lt;="&amp;$A576)&gt;0,SUMIFS(Recepciones!$C$5:$C$2000,Recepciones!$B$5:$B$2000,Config!$A$25,Recepciones!$A$5:$A$2000,"&gt;"&amp;$A575,Recepciones!$A$5:$A$2000,"&lt;="&amp;$A576),MAX(0,I576-I575)))</f>
        <v/>
      </c>
      <c r="K576" s="24" t="str">
        <f aca="false">IF($A576="","",MAX(0,I575+J576-I576))</f>
        <v/>
      </c>
      <c r="L576" s="24" t="str">
        <f aca="false">IF($A576="","",E576+H576+K576)</f>
        <v/>
      </c>
      <c r="M576" s="4" t="str">
        <f aca="false">IF($A576="","",IF(AND(D576+G576+J576&gt;0,SUMIFS(Recepciones!$C$5:$C$2000,Recepciones!$A$5:$A$2000,"&gt;"&amp;$A575,Recepciones!$A$5:$A$2000,"&lt;="&amp;$A576)=0),"Aumento de stock sin recepción registrada",IF(B576&gt;1,"Intervalo de "&amp;B576&amp;" días","")))</f>
        <v/>
      </c>
    </row>
    <row r="577" customFormat="false" ht="15" hidden="false" customHeight="false" outlineLevel="0" collapsed="false">
      <c r="A577" s="5" t="str">
        <f aca="false">IF(Stock_Diario!A577="","",Stock_Diario!A577)</f>
        <v/>
      </c>
      <c r="B577" s="4" t="str">
        <f aca="false">IF($A577="","",$A577-$A576)</f>
        <v/>
      </c>
      <c r="C577" s="24" t="str">
        <f aca="false">IF($A577="","",Stock_Diario!E577)</f>
        <v/>
      </c>
      <c r="D577" s="24" t="str">
        <f aca="false">IF($A577="","",IF(SUMIFS(Recepciones!$C$5:$C$2000,Recepciones!$B$5:$B$2000,Config!$A$23,Recepciones!$A$5:$A$2000,"&gt;"&amp;$A576,Recepciones!$A$5:$A$2000,"&lt;="&amp;$A577)&gt;0,SUMIFS(Recepciones!$C$5:$C$2000,Recepciones!$B$5:$B$2000,Config!$A$23,Recepciones!$A$5:$A$2000,"&gt;"&amp;$A576,Recepciones!$A$5:$A$2000,"&lt;="&amp;$A577),MAX(0,C577-C576)))</f>
        <v/>
      </c>
      <c r="E577" s="24" t="str">
        <f aca="false">IF($A577="","",MAX(0,C576+D577-C577))</f>
        <v/>
      </c>
      <c r="F577" s="24" t="str">
        <f aca="false">IF($A577="","",Stock_Diario!F577)</f>
        <v/>
      </c>
      <c r="G577" s="24" t="str">
        <f aca="false">IF($A577="","",IF(SUMIFS(Recepciones!$C$5:$C$2000,Recepciones!$B$5:$B$2000,Config!$A$24,Recepciones!$A$5:$A$2000,"&gt;"&amp;$A576,Recepciones!$A$5:$A$2000,"&lt;="&amp;$A577)&gt;0,SUMIFS(Recepciones!$C$5:$C$2000,Recepciones!$B$5:$B$2000,Config!$A$24,Recepciones!$A$5:$A$2000,"&gt;"&amp;$A576,Recepciones!$A$5:$A$2000,"&lt;="&amp;$A577),MAX(0,F577-F576)))</f>
        <v/>
      </c>
      <c r="H577" s="24" t="str">
        <f aca="false">IF($A577="","",MAX(0,F576+G577-F577))</f>
        <v/>
      </c>
      <c r="I577" s="24" t="str">
        <f aca="false">IF($A577="","",Stock_Diario!G577)</f>
        <v/>
      </c>
      <c r="J577" s="24" t="str">
        <f aca="false">IF($A577="","",IF(SUMIFS(Recepciones!$C$5:$C$2000,Recepciones!$B$5:$B$2000,Config!$A$25,Recepciones!$A$5:$A$2000,"&gt;"&amp;$A576,Recepciones!$A$5:$A$2000,"&lt;="&amp;$A577)&gt;0,SUMIFS(Recepciones!$C$5:$C$2000,Recepciones!$B$5:$B$2000,Config!$A$25,Recepciones!$A$5:$A$2000,"&gt;"&amp;$A576,Recepciones!$A$5:$A$2000,"&lt;="&amp;$A577),MAX(0,I577-I576)))</f>
        <v/>
      </c>
      <c r="K577" s="24" t="str">
        <f aca="false">IF($A577="","",MAX(0,I576+J577-I577))</f>
        <v/>
      </c>
      <c r="L577" s="24" t="str">
        <f aca="false">IF($A577="","",E577+H577+K577)</f>
        <v/>
      </c>
      <c r="M577" s="4" t="str">
        <f aca="false">IF($A577="","",IF(AND(D577+G577+J577&gt;0,SUMIFS(Recepciones!$C$5:$C$2000,Recepciones!$A$5:$A$2000,"&gt;"&amp;$A576,Recepciones!$A$5:$A$2000,"&lt;="&amp;$A577)=0),"Aumento de stock sin recepción registrada",IF(B577&gt;1,"Intervalo de "&amp;B577&amp;" días","")))</f>
        <v/>
      </c>
    </row>
    <row r="578" customFormat="false" ht="15" hidden="false" customHeight="false" outlineLevel="0" collapsed="false">
      <c r="A578" s="5" t="str">
        <f aca="false">IF(Stock_Diario!A578="","",Stock_Diario!A578)</f>
        <v/>
      </c>
      <c r="B578" s="4" t="str">
        <f aca="false">IF($A578="","",$A578-$A577)</f>
        <v/>
      </c>
      <c r="C578" s="24" t="str">
        <f aca="false">IF($A578="","",Stock_Diario!E578)</f>
        <v/>
      </c>
      <c r="D578" s="24" t="str">
        <f aca="false">IF($A578="","",IF(SUMIFS(Recepciones!$C$5:$C$2000,Recepciones!$B$5:$B$2000,Config!$A$23,Recepciones!$A$5:$A$2000,"&gt;"&amp;$A577,Recepciones!$A$5:$A$2000,"&lt;="&amp;$A578)&gt;0,SUMIFS(Recepciones!$C$5:$C$2000,Recepciones!$B$5:$B$2000,Config!$A$23,Recepciones!$A$5:$A$2000,"&gt;"&amp;$A577,Recepciones!$A$5:$A$2000,"&lt;="&amp;$A578),MAX(0,C578-C577)))</f>
        <v/>
      </c>
      <c r="E578" s="24" t="str">
        <f aca="false">IF($A578="","",MAX(0,C577+D578-C578))</f>
        <v/>
      </c>
      <c r="F578" s="24" t="str">
        <f aca="false">IF($A578="","",Stock_Diario!F578)</f>
        <v/>
      </c>
      <c r="G578" s="24" t="str">
        <f aca="false">IF($A578="","",IF(SUMIFS(Recepciones!$C$5:$C$2000,Recepciones!$B$5:$B$2000,Config!$A$24,Recepciones!$A$5:$A$2000,"&gt;"&amp;$A577,Recepciones!$A$5:$A$2000,"&lt;="&amp;$A578)&gt;0,SUMIFS(Recepciones!$C$5:$C$2000,Recepciones!$B$5:$B$2000,Config!$A$24,Recepciones!$A$5:$A$2000,"&gt;"&amp;$A577,Recepciones!$A$5:$A$2000,"&lt;="&amp;$A578),MAX(0,F578-F577)))</f>
        <v/>
      </c>
      <c r="H578" s="24" t="str">
        <f aca="false">IF($A578="","",MAX(0,F577+G578-F578))</f>
        <v/>
      </c>
      <c r="I578" s="24" t="str">
        <f aca="false">IF($A578="","",Stock_Diario!G578)</f>
        <v/>
      </c>
      <c r="J578" s="24" t="str">
        <f aca="false">IF($A578="","",IF(SUMIFS(Recepciones!$C$5:$C$2000,Recepciones!$B$5:$B$2000,Config!$A$25,Recepciones!$A$5:$A$2000,"&gt;"&amp;$A577,Recepciones!$A$5:$A$2000,"&lt;="&amp;$A578)&gt;0,SUMIFS(Recepciones!$C$5:$C$2000,Recepciones!$B$5:$B$2000,Config!$A$25,Recepciones!$A$5:$A$2000,"&gt;"&amp;$A577,Recepciones!$A$5:$A$2000,"&lt;="&amp;$A578),MAX(0,I578-I577)))</f>
        <v/>
      </c>
      <c r="K578" s="24" t="str">
        <f aca="false">IF($A578="","",MAX(0,I577+J578-I578))</f>
        <v/>
      </c>
      <c r="L578" s="24" t="str">
        <f aca="false">IF($A578="","",E578+H578+K578)</f>
        <v/>
      </c>
      <c r="M578" s="4" t="str">
        <f aca="false">IF($A578="","",IF(AND(D578+G578+J578&gt;0,SUMIFS(Recepciones!$C$5:$C$2000,Recepciones!$A$5:$A$2000,"&gt;"&amp;$A577,Recepciones!$A$5:$A$2000,"&lt;="&amp;$A578)=0),"Aumento de stock sin recepción registrada",IF(B578&gt;1,"Intervalo de "&amp;B578&amp;" días","")))</f>
        <v/>
      </c>
    </row>
    <row r="579" customFormat="false" ht="15" hidden="false" customHeight="false" outlineLevel="0" collapsed="false">
      <c r="A579" s="5" t="str">
        <f aca="false">IF(Stock_Diario!A579="","",Stock_Diario!A579)</f>
        <v/>
      </c>
      <c r="B579" s="4" t="str">
        <f aca="false">IF($A579="","",$A579-$A578)</f>
        <v/>
      </c>
      <c r="C579" s="24" t="str">
        <f aca="false">IF($A579="","",Stock_Diario!E579)</f>
        <v/>
      </c>
      <c r="D579" s="24" t="str">
        <f aca="false">IF($A579="","",IF(SUMIFS(Recepciones!$C$5:$C$2000,Recepciones!$B$5:$B$2000,Config!$A$23,Recepciones!$A$5:$A$2000,"&gt;"&amp;$A578,Recepciones!$A$5:$A$2000,"&lt;="&amp;$A579)&gt;0,SUMIFS(Recepciones!$C$5:$C$2000,Recepciones!$B$5:$B$2000,Config!$A$23,Recepciones!$A$5:$A$2000,"&gt;"&amp;$A578,Recepciones!$A$5:$A$2000,"&lt;="&amp;$A579),MAX(0,C579-C578)))</f>
        <v/>
      </c>
      <c r="E579" s="24" t="str">
        <f aca="false">IF($A579="","",MAX(0,C578+D579-C579))</f>
        <v/>
      </c>
      <c r="F579" s="24" t="str">
        <f aca="false">IF($A579="","",Stock_Diario!F579)</f>
        <v/>
      </c>
      <c r="G579" s="24" t="str">
        <f aca="false">IF($A579="","",IF(SUMIFS(Recepciones!$C$5:$C$2000,Recepciones!$B$5:$B$2000,Config!$A$24,Recepciones!$A$5:$A$2000,"&gt;"&amp;$A578,Recepciones!$A$5:$A$2000,"&lt;="&amp;$A579)&gt;0,SUMIFS(Recepciones!$C$5:$C$2000,Recepciones!$B$5:$B$2000,Config!$A$24,Recepciones!$A$5:$A$2000,"&gt;"&amp;$A578,Recepciones!$A$5:$A$2000,"&lt;="&amp;$A579),MAX(0,F579-F578)))</f>
        <v/>
      </c>
      <c r="H579" s="24" t="str">
        <f aca="false">IF($A579="","",MAX(0,F578+G579-F579))</f>
        <v/>
      </c>
      <c r="I579" s="24" t="str">
        <f aca="false">IF($A579="","",Stock_Diario!G579)</f>
        <v/>
      </c>
      <c r="J579" s="24" t="str">
        <f aca="false">IF($A579="","",IF(SUMIFS(Recepciones!$C$5:$C$2000,Recepciones!$B$5:$B$2000,Config!$A$25,Recepciones!$A$5:$A$2000,"&gt;"&amp;$A578,Recepciones!$A$5:$A$2000,"&lt;="&amp;$A579)&gt;0,SUMIFS(Recepciones!$C$5:$C$2000,Recepciones!$B$5:$B$2000,Config!$A$25,Recepciones!$A$5:$A$2000,"&gt;"&amp;$A578,Recepciones!$A$5:$A$2000,"&lt;="&amp;$A579),MAX(0,I579-I578)))</f>
        <v/>
      </c>
      <c r="K579" s="24" t="str">
        <f aca="false">IF($A579="","",MAX(0,I578+J579-I579))</f>
        <v/>
      </c>
      <c r="L579" s="24" t="str">
        <f aca="false">IF($A579="","",E579+H579+K579)</f>
        <v/>
      </c>
      <c r="M579" s="4" t="str">
        <f aca="false">IF($A579="","",IF(AND(D579+G579+J579&gt;0,SUMIFS(Recepciones!$C$5:$C$2000,Recepciones!$A$5:$A$2000,"&gt;"&amp;$A578,Recepciones!$A$5:$A$2000,"&lt;="&amp;$A579)=0),"Aumento de stock sin recepción registrada",IF(B579&gt;1,"Intervalo de "&amp;B579&amp;" días","")))</f>
        <v/>
      </c>
    </row>
    <row r="580" customFormat="false" ht="15" hidden="false" customHeight="false" outlineLevel="0" collapsed="false">
      <c r="A580" s="5" t="str">
        <f aca="false">IF(Stock_Diario!A580="","",Stock_Diario!A580)</f>
        <v/>
      </c>
      <c r="B580" s="4" t="str">
        <f aca="false">IF($A580="","",$A580-$A579)</f>
        <v/>
      </c>
      <c r="C580" s="24" t="str">
        <f aca="false">IF($A580="","",Stock_Diario!E580)</f>
        <v/>
      </c>
      <c r="D580" s="24" t="str">
        <f aca="false">IF($A580="","",IF(SUMIFS(Recepciones!$C$5:$C$2000,Recepciones!$B$5:$B$2000,Config!$A$23,Recepciones!$A$5:$A$2000,"&gt;"&amp;$A579,Recepciones!$A$5:$A$2000,"&lt;="&amp;$A580)&gt;0,SUMIFS(Recepciones!$C$5:$C$2000,Recepciones!$B$5:$B$2000,Config!$A$23,Recepciones!$A$5:$A$2000,"&gt;"&amp;$A579,Recepciones!$A$5:$A$2000,"&lt;="&amp;$A580),MAX(0,C580-C579)))</f>
        <v/>
      </c>
      <c r="E580" s="24" t="str">
        <f aca="false">IF($A580="","",MAX(0,C579+D580-C580))</f>
        <v/>
      </c>
      <c r="F580" s="24" t="str">
        <f aca="false">IF($A580="","",Stock_Diario!F580)</f>
        <v/>
      </c>
      <c r="G580" s="24" t="str">
        <f aca="false">IF($A580="","",IF(SUMIFS(Recepciones!$C$5:$C$2000,Recepciones!$B$5:$B$2000,Config!$A$24,Recepciones!$A$5:$A$2000,"&gt;"&amp;$A579,Recepciones!$A$5:$A$2000,"&lt;="&amp;$A580)&gt;0,SUMIFS(Recepciones!$C$5:$C$2000,Recepciones!$B$5:$B$2000,Config!$A$24,Recepciones!$A$5:$A$2000,"&gt;"&amp;$A579,Recepciones!$A$5:$A$2000,"&lt;="&amp;$A580),MAX(0,F580-F579)))</f>
        <v/>
      </c>
      <c r="H580" s="24" t="str">
        <f aca="false">IF($A580="","",MAX(0,F579+G580-F580))</f>
        <v/>
      </c>
      <c r="I580" s="24" t="str">
        <f aca="false">IF($A580="","",Stock_Diario!G580)</f>
        <v/>
      </c>
      <c r="J580" s="24" t="str">
        <f aca="false">IF($A580="","",IF(SUMIFS(Recepciones!$C$5:$C$2000,Recepciones!$B$5:$B$2000,Config!$A$25,Recepciones!$A$5:$A$2000,"&gt;"&amp;$A579,Recepciones!$A$5:$A$2000,"&lt;="&amp;$A580)&gt;0,SUMIFS(Recepciones!$C$5:$C$2000,Recepciones!$B$5:$B$2000,Config!$A$25,Recepciones!$A$5:$A$2000,"&gt;"&amp;$A579,Recepciones!$A$5:$A$2000,"&lt;="&amp;$A580),MAX(0,I580-I579)))</f>
        <v/>
      </c>
      <c r="K580" s="24" t="str">
        <f aca="false">IF($A580="","",MAX(0,I579+J580-I580))</f>
        <v/>
      </c>
      <c r="L580" s="24" t="str">
        <f aca="false">IF($A580="","",E580+H580+K580)</f>
        <v/>
      </c>
      <c r="M580" s="4" t="str">
        <f aca="false">IF($A580="","",IF(AND(D580+G580+J580&gt;0,SUMIFS(Recepciones!$C$5:$C$2000,Recepciones!$A$5:$A$2000,"&gt;"&amp;$A579,Recepciones!$A$5:$A$2000,"&lt;="&amp;$A580)=0),"Aumento de stock sin recepción registrada",IF(B580&gt;1,"Intervalo de "&amp;B580&amp;" días","")))</f>
        <v/>
      </c>
    </row>
    <row r="581" customFormat="false" ht="15" hidden="false" customHeight="false" outlineLevel="0" collapsed="false">
      <c r="A581" s="5" t="str">
        <f aca="false">IF(Stock_Diario!A581="","",Stock_Diario!A581)</f>
        <v/>
      </c>
      <c r="B581" s="4" t="str">
        <f aca="false">IF($A581="","",$A581-$A580)</f>
        <v/>
      </c>
      <c r="C581" s="24" t="str">
        <f aca="false">IF($A581="","",Stock_Diario!E581)</f>
        <v/>
      </c>
      <c r="D581" s="24" t="str">
        <f aca="false">IF($A581="","",IF(SUMIFS(Recepciones!$C$5:$C$2000,Recepciones!$B$5:$B$2000,Config!$A$23,Recepciones!$A$5:$A$2000,"&gt;"&amp;$A580,Recepciones!$A$5:$A$2000,"&lt;="&amp;$A581)&gt;0,SUMIFS(Recepciones!$C$5:$C$2000,Recepciones!$B$5:$B$2000,Config!$A$23,Recepciones!$A$5:$A$2000,"&gt;"&amp;$A580,Recepciones!$A$5:$A$2000,"&lt;="&amp;$A581),MAX(0,C581-C580)))</f>
        <v/>
      </c>
      <c r="E581" s="24" t="str">
        <f aca="false">IF($A581="","",MAX(0,C580+D581-C581))</f>
        <v/>
      </c>
      <c r="F581" s="24" t="str">
        <f aca="false">IF($A581="","",Stock_Diario!F581)</f>
        <v/>
      </c>
      <c r="G581" s="24" t="str">
        <f aca="false">IF($A581="","",IF(SUMIFS(Recepciones!$C$5:$C$2000,Recepciones!$B$5:$B$2000,Config!$A$24,Recepciones!$A$5:$A$2000,"&gt;"&amp;$A580,Recepciones!$A$5:$A$2000,"&lt;="&amp;$A581)&gt;0,SUMIFS(Recepciones!$C$5:$C$2000,Recepciones!$B$5:$B$2000,Config!$A$24,Recepciones!$A$5:$A$2000,"&gt;"&amp;$A580,Recepciones!$A$5:$A$2000,"&lt;="&amp;$A581),MAX(0,F581-F580)))</f>
        <v/>
      </c>
      <c r="H581" s="24" t="str">
        <f aca="false">IF($A581="","",MAX(0,F580+G581-F581))</f>
        <v/>
      </c>
      <c r="I581" s="24" t="str">
        <f aca="false">IF($A581="","",Stock_Diario!G581)</f>
        <v/>
      </c>
      <c r="J581" s="24" t="str">
        <f aca="false">IF($A581="","",IF(SUMIFS(Recepciones!$C$5:$C$2000,Recepciones!$B$5:$B$2000,Config!$A$25,Recepciones!$A$5:$A$2000,"&gt;"&amp;$A580,Recepciones!$A$5:$A$2000,"&lt;="&amp;$A581)&gt;0,SUMIFS(Recepciones!$C$5:$C$2000,Recepciones!$B$5:$B$2000,Config!$A$25,Recepciones!$A$5:$A$2000,"&gt;"&amp;$A580,Recepciones!$A$5:$A$2000,"&lt;="&amp;$A581),MAX(0,I581-I580)))</f>
        <v/>
      </c>
      <c r="K581" s="24" t="str">
        <f aca="false">IF($A581="","",MAX(0,I580+J581-I581))</f>
        <v/>
      </c>
      <c r="L581" s="24" t="str">
        <f aca="false">IF($A581="","",E581+H581+K581)</f>
        <v/>
      </c>
      <c r="M581" s="4" t="str">
        <f aca="false">IF($A581="","",IF(AND(D581+G581+J581&gt;0,SUMIFS(Recepciones!$C$5:$C$2000,Recepciones!$A$5:$A$2000,"&gt;"&amp;$A580,Recepciones!$A$5:$A$2000,"&lt;="&amp;$A581)=0),"Aumento de stock sin recepción registrada",IF(B581&gt;1,"Intervalo de "&amp;B581&amp;" días","")))</f>
        <v/>
      </c>
    </row>
    <row r="582" customFormat="false" ht="15" hidden="false" customHeight="false" outlineLevel="0" collapsed="false">
      <c r="A582" s="5" t="str">
        <f aca="false">IF(Stock_Diario!A582="","",Stock_Diario!A582)</f>
        <v/>
      </c>
      <c r="B582" s="4" t="str">
        <f aca="false">IF($A582="","",$A582-$A581)</f>
        <v/>
      </c>
      <c r="C582" s="24" t="str">
        <f aca="false">IF($A582="","",Stock_Diario!E582)</f>
        <v/>
      </c>
      <c r="D582" s="24" t="str">
        <f aca="false">IF($A582="","",IF(SUMIFS(Recepciones!$C$5:$C$2000,Recepciones!$B$5:$B$2000,Config!$A$23,Recepciones!$A$5:$A$2000,"&gt;"&amp;$A581,Recepciones!$A$5:$A$2000,"&lt;="&amp;$A582)&gt;0,SUMIFS(Recepciones!$C$5:$C$2000,Recepciones!$B$5:$B$2000,Config!$A$23,Recepciones!$A$5:$A$2000,"&gt;"&amp;$A581,Recepciones!$A$5:$A$2000,"&lt;="&amp;$A582),MAX(0,C582-C581)))</f>
        <v/>
      </c>
      <c r="E582" s="24" t="str">
        <f aca="false">IF($A582="","",MAX(0,C581+D582-C582))</f>
        <v/>
      </c>
      <c r="F582" s="24" t="str">
        <f aca="false">IF($A582="","",Stock_Diario!F582)</f>
        <v/>
      </c>
      <c r="G582" s="24" t="str">
        <f aca="false">IF($A582="","",IF(SUMIFS(Recepciones!$C$5:$C$2000,Recepciones!$B$5:$B$2000,Config!$A$24,Recepciones!$A$5:$A$2000,"&gt;"&amp;$A581,Recepciones!$A$5:$A$2000,"&lt;="&amp;$A582)&gt;0,SUMIFS(Recepciones!$C$5:$C$2000,Recepciones!$B$5:$B$2000,Config!$A$24,Recepciones!$A$5:$A$2000,"&gt;"&amp;$A581,Recepciones!$A$5:$A$2000,"&lt;="&amp;$A582),MAX(0,F582-F581)))</f>
        <v/>
      </c>
      <c r="H582" s="24" t="str">
        <f aca="false">IF($A582="","",MAX(0,F581+G582-F582))</f>
        <v/>
      </c>
      <c r="I582" s="24" t="str">
        <f aca="false">IF($A582="","",Stock_Diario!G582)</f>
        <v/>
      </c>
      <c r="J582" s="24" t="str">
        <f aca="false">IF($A582="","",IF(SUMIFS(Recepciones!$C$5:$C$2000,Recepciones!$B$5:$B$2000,Config!$A$25,Recepciones!$A$5:$A$2000,"&gt;"&amp;$A581,Recepciones!$A$5:$A$2000,"&lt;="&amp;$A582)&gt;0,SUMIFS(Recepciones!$C$5:$C$2000,Recepciones!$B$5:$B$2000,Config!$A$25,Recepciones!$A$5:$A$2000,"&gt;"&amp;$A581,Recepciones!$A$5:$A$2000,"&lt;="&amp;$A582),MAX(0,I582-I581)))</f>
        <v/>
      </c>
      <c r="K582" s="24" t="str">
        <f aca="false">IF($A582="","",MAX(0,I581+J582-I582))</f>
        <v/>
      </c>
      <c r="L582" s="24" t="str">
        <f aca="false">IF($A582="","",E582+H582+K582)</f>
        <v/>
      </c>
      <c r="M582" s="4" t="str">
        <f aca="false">IF($A582="","",IF(AND(D582+G582+J582&gt;0,SUMIFS(Recepciones!$C$5:$C$2000,Recepciones!$A$5:$A$2000,"&gt;"&amp;$A581,Recepciones!$A$5:$A$2000,"&lt;="&amp;$A582)=0),"Aumento de stock sin recepción registrada",IF(B582&gt;1,"Intervalo de "&amp;B582&amp;" días","")))</f>
        <v/>
      </c>
    </row>
    <row r="583" customFormat="false" ht="15" hidden="false" customHeight="false" outlineLevel="0" collapsed="false">
      <c r="A583" s="5" t="str">
        <f aca="false">IF(Stock_Diario!A583="","",Stock_Diario!A583)</f>
        <v/>
      </c>
      <c r="B583" s="4" t="str">
        <f aca="false">IF($A583="","",$A583-$A582)</f>
        <v/>
      </c>
      <c r="C583" s="24" t="str">
        <f aca="false">IF($A583="","",Stock_Diario!E583)</f>
        <v/>
      </c>
      <c r="D583" s="24" t="str">
        <f aca="false">IF($A583="","",IF(SUMIFS(Recepciones!$C$5:$C$2000,Recepciones!$B$5:$B$2000,Config!$A$23,Recepciones!$A$5:$A$2000,"&gt;"&amp;$A582,Recepciones!$A$5:$A$2000,"&lt;="&amp;$A583)&gt;0,SUMIFS(Recepciones!$C$5:$C$2000,Recepciones!$B$5:$B$2000,Config!$A$23,Recepciones!$A$5:$A$2000,"&gt;"&amp;$A582,Recepciones!$A$5:$A$2000,"&lt;="&amp;$A583),MAX(0,C583-C582)))</f>
        <v/>
      </c>
      <c r="E583" s="24" t="str">
        <f aca="false">IF($A583="","",MAX(0,C582+D583-C583))</f>
        <v/>
      </c>
      <c r="F583" s="24" t="str">
        <f aca="false">IF($A583="","",Stock_Diario!F583)</f>
        <v/>
      </c>
      <c r="G583" s="24" t="str">
        <f aca="false">IF($A583="","",IF(SUMIFS(Recepciones!$C$5:$C$2000,Recepciones!$B$5:$B$2000,Config!$A$24,Recepciones!$A$5:$A$2000,"&gt;"&amp;$A582,Recepciones!$A$5:$A$2000,"&lt;="&amp;$A583)&gt;0,SUMIFS(Recepciones!$C$5:$C$2000,Recepciones!$B$5:$B$2000,Config!$A$24,Recepciones!$A$5:$A$2000,"&gt;"&amp;$A582,Recepciones!$A$5:$A$2000,"&lt;="&amp;$A583),MAX(0,F583-F582)))</f>
        <v/>
      </c>
      <c r="H583" s="24" t="str">
        <f aca="false">IF($A583="","",MAX(0,F582+G583-F583))</f>
        <v/>
      </c>
      <c r="I583" s="24" t="str">
        <f aca="false">IF($A583="","",Stock_Diario!G583)</f>
        <v/>
      </c>
      <c r="J583" s="24" t="str">
        <f aca="false">IF($A583="","",IF(SUMIFS(Recepciones!$C$5:$C$2000,Recepciones!$B$5:$B$2000,Config!$A$25,Recepciones!$A$5:$A$2000,"&gt;"&amp;$A582,Recepciones!$A$5:$A$2000,"&lt;="&amp;$A583)&gt;0,SUMIFS(Recepciones!$C$5:$C$2000,Recepciones!$B$5:$B$2000,Config!$A$25,Recepciones!$A$5:$A$2000,"&gt;"&amp;$A582,Recepciones!$A$5:$A$2000,"&lt;="&amp;$A583),MAX(0,I583-I582)))</f>
        <v/>
      </c>
      <c r="K583" s="24" t="str">
        <f aca="false">IF($A583="","",MAX(0,I582+J583-I583))</f>
        <v/>
      </c>
      <c r="L583" s="24" t="str">
        <f aca="false">IF($A583="","",E583+H583+K583)</f>
        <v/>
      </c>
      <c r="M583" s="4" t="str">
        <f aca="false">IF($A583="","",IF(AND(D583+G583+J583&gt;0,SUMIFS(Recepciones!$C$5:$C$2000,Recepciones!$A$5:$A$2000,"&gt;"&amp;$A582,Recepciones!$A$5:$A$2000,"&lt;="&amp;$A583)=0),"Aumento de stock sin recepción registrada",IF(B583&gt;1,"Intervalo de "&amp;B583&amp;" días","")))</f>
        <v/>
      </c>
    </row>
    <row r="584" customFormat="false" ht="15" hidden="false" customHeight="false" outlineLevel="0" collapsed="false">
      <c r="A584" s="5" t="str">
        <f aca="false">IF(Stock_Diario!A584="","",Stock_Diario!A584)</f>
        <v/>
      </c>
      <c r="B584" s="4" t="str">
        <f aca="false">IF($A584="","",$A584-$A583)</f>
        <v/>
      </c>
      <c r="C584" s="24" t="str">
        <f aca="false">IF($A584="","",Stock_Diario!E584)</f>
        <v/>
      </c>
      <c r="D584" s="24" t="str">
        <f aca="false">IF($A584="","",IF(SUMIFS(Recepciones!$C$5:$C$2000,Recepciones!$B$5:$B$2000,Config!$A$23,Recepciones!$A$5:$A$2000,"&gt;"&amp;$A583,Recepciones!$A$5:$A$2000,"&lt;="&amp;$A584)&gt;0,SUMIFS(Recepciones!$C$5:$C$2000,Recepciones!$B$5:$B$2000,Config!$A$23,Recepciones!$A$5:$A$2000,"&gt;"&amp;$A583,Recepciones!$A$5:$A$2000,"&lt;="&amp;$A584),MAX(0,C584-C583)))</f>
        <v/>
      </c>
      <c r="E584" s="24" t="str">
        <f aca="false">IF($A584="","",MAX(0,C583+D584-C584))</f>
        <v/>
      </c>
      <c r="F584" s="24" t="str">
        <f aca="false">IF($A584="","",Stock_Diario!F584)</f>
        <v/>
      </c>
      <c r="G584" s="24" t="str">
        <f aca="false">IF($A584="","",IF(SUMIFS(Recepciones!$C$5:$C$2000,Recepciones!$B$5:$B$2000,Config!$A$24,Recepciones!$A$5:$A$2000,"&gt;"&amp;$A583,Recepciones!$A$5:$A$2000,"&lt;="&amp;$A584)&gt;0,SUMIFS(Recepciones!$C$5:$C$2000,Recepciones!$B$5:$B$2000,Config!$A$24,Recepciones!$A$5:$A$2000,"&gt;"&amp;$A583,Recepciones!$A$5:$A$2000,"&lt;="&amp;$A584),MAX(0,F584-F583)))</f>
        <v/>
      </c>
      <c r="H584" s="24" t="str">
        <f aca="false">IF($A584="","",MAX(0,F583+G584-F584))</f>
        <v/>
      </c>
      <c r="I584" s="24" t="str">
        <f aca="false">IF($A584="","",Stock_Diario!G584)</f>
        <v/>
      </c>
      <c r="J584" s="24" t="str">
        <f aca="false">IF($A584="","",IF(SUMIFS(Recepciones!$C$5:$C$2000,Recepciones!$B$5:$B$2000,Config!$A$25,Recepciones!$A$5:$A$2000,"&gt;"&amp;$A583,Recepciones!$A$5:$A$2000,"&lt;="&amp;$A584)&gt;0,SUMIFS(Recepciones!$C$5:$C$2000,Recepciones!$B$5:$B$2000,Config!$A$25,Recepciones!$A$5:$A$2000,"&gt;"&amp;$A583,Recepciones!$A$5:$A$2000,"&lt;="&amp;$A584),MAX(0,I584-I583)))</f>
        <v/>
      </c>
      <c r="K584" s="24" t="str">
        <f aca="false">IF($A584="","",MAX(0,I583+J584-I584))</f>
        <v/>
      </c>
      <c r="L584" s="24" t="str">
        <f aca="false">IF($A584="","",E584+H584+K584)</f>
        <v/>
      </c>
      <c r="M584" s="4" t="str">
        <f aca="false">IF($A584="","",IF(AND(D584+G584+J584&gt;0,SUMIFS(Recepciones!$C$5:$C$2000,Recepciones!$A$5:$A$2000,"&gt;"&amp;$A583,Recepciones!$A$5:$A$2000,"&lt;="&amp;$A584)=0),"Aumento de stock sin recepción registrada",IF(B584&gt;1,"Intervalo de "&amp;B584&amp;" días","")))</f>
        <v/>
      </c>
    </row>
    <row r="585" customFormat="false" ht="15" hidden="false" customHeight="false" outlineLevel="0" collapsed="false">
      <c r="A585" s="5" t="str">
        <f aca="false">IF(Stock_Diario!A585="","",Stock_Diario!A585)</f>
        <v/>
      </c>
      <c r="B585" s="4" t="str">
        <f aca="false">IF($A585="","",$A585-$A584)</f>
        <v/>
      </c>
      <c r="C585" s="24" t="str">
        <f aca="false">IF($A585="","",Stock_Diario!E585)</f>
        <v/>
      </c>
      <c r="D585" s="24" t="str">
        <f aca="false">IF($A585="","",IF(SUMIFS(Recepciones!$C$5:$C$2000,Recepciones!$B$5:$B$2000,Config!$A$23,Recepciones!$A$5:$A$2000,"&gt;"&amp;$A584,Recepciones!$A$5:$A$2000,"&lt;="&amp;$A585)&gt;0,SUMIFS(Recepciones!$C$5:$C$2000,Recepciones!$B$5:$B$2000,Config!$A$23,Recepciones!$A$5:$A$2000,"&gt;"&amp;$A584,Recepciones!$A$5:$A$2000,"&lt;="&amp;$A585),MAX(0,C585-C584)))</f>
        <v/>
      </c>
      <c r="E585" s="24" t="str">
        <f aca="false">IF($A585="","",MAX(0,C584+D585-C585))</f>
        <v/>
      </c>
      <c r="F585" s="24" t="str">
        <f aca="false">IF($A585="","",Stock_Diario!F585)</f>
        <v/>
      </c>
      <c r="G585" s="24" t="str">
        <f aca="false">IF($A585="","",IF(SUMIFS(Recepciones!$C$5:$C$2000,Recepciones!$B$5:$B$2000,Config!$A$24,Recepciones!$A$5:$A$2000,"&gt;"&amp;$A584,Recepciones!$A$5:$A$2000,"&lt;="&amp;$A585)&gt;0,SUMIFS(Recepciones!$C$5:$C$2000,Recepciones!$B$5:$B$2000,Config!$A$24,Recepciones!$A$5:$A$2000,"&gt;"&amp;$A584,Recepciones!$A$5:$A$2000,"&lt;="&amp;$A585),MAX(0,F585-F584)))</f>
        <v/>
      </c>
      <c r="H585" s="24" t="str">
        <f aca="false">IF($A585="","",MAX(0,F584+G585-F585))</f>
        <v/>
      </c>
      <c r="I585" s="24" t="str">
        <f aca="false">IF($A585="","",Stock_Diario!G585)</f>
        <v/>
      </c>
      <c r="J585" s="24" t="str">
        <f aca="false">IF($A585="","",IF(SUMIFS(Recepciones!$C$5:$C$2000,Recepciones!$B$5:$B$2000,Config!$A$25,Recepciones!$A$5:$A$2000,"&gt;"&amp;$A584,Recepciones!$A$5:$A$2000,"&lt;="&amp;$A585)&gt;0,SUMIFS(Recepciones!$C$5:$C$2000,Recepciones!$B$5:$B$2000,Config!$A$25,Recepciones!$A$5:$A$2000,"&gt;"&amp;$A584,Recepciones!$A$5:$A$2000,"&lt;="&amp;$A585),MAX(0,I585-I584)))</f>
        <v/>
      </c>
      <c r="K585" s="24" t="str">
        <f aca="false">IF($A585="","",MAX(0,I584+J585-I585))</f>
        <v/>
      </c>
      <c r="L585" s="24" t="str">
        <f aca="false">IF($A585="","",E585+H585+K585)</f>
        <v/>
      </c>
      <c r="M585" s="4" t="str">
        <f aca="false">IF($A585="","",IF(AND(D585+G585+J585&gt;0,SUMIFS(Recepciones!$C$5:$C$2000,Recepciones!$A$5:$A$2000,"&gt;"&amp;$A584,Recepciones!$A$5:$A$2000,"&lt;="&amp;$A585)=0),"Aumento de stock sin recepción registrada",IF(B585&gt;1,"Intervalo de "&amp;B585&amp;" días","")))</f>
        <v/>
      </c>
    </row>
    <row r="586" customFormat="false" ht="15" hidden="false" customHeight="false" outlineLevel="0" collapsed="false">
      <c r="A586" s="5" t="str">
        <f aca="false">IF(Stock_Diario!A586="","",Stock_Diario!A586)</f>
        <v/>
      </c>
      <c r="B586" s="4" t="str">
        <f aca="false">IF($A586="","",$A586-$A585)</f>
        <v/>
      </c>
      <c r="C586" s="24" t="str">
        <f aca="false">IF($A586="","",Stock_Diario!E586)</f>
        <v/>
      </c>
      <c r="D586" s="24" t="str">
        <f aca="false">IF($A586="","",IF(SUMIFS(Recepciones!$C$5:$C$2000,Recepciones!$B$5:$B$2000,Config!$A$23,Recepciones!$A$5:$A$2000,"&gt;"&amp;$A585,Recepciones!$A$5:$A$2000,"&lt;="&amp;$A586)&gt;0,SUMIFS(Recepciones!$C$5:$C$2000,Recepciones!$B$5:$B$2000,Config!$A$23,Recepciones!$A$5:$A$2000,"&gt;"&amp;$A585,Recepciones!$A$5:$A$2000,"&lt;="&amp;$A586),MAX(0,C586-C585)))</f>
        <v/>
      </c>
      <c r="E586" s="24" t="str">
        <f aca="false">IF($A586="","",MAX(0,C585+D586-C586))</f>
        <v/>
      </c>
      <c r="F586" s="24" t="str">
        <f aca="false">IF($A586="","",Stock_Diario!F586)</f>
        <v/>
      </c>
      <c r="G586" s="24" t="str">
        <f aca="false">IF($A586="","",IF(SUMIFS(Recepciones!$C$5:$C$2000,Recepciones!$B$5:$B$2000,Config!$A$24,Recepciones!$A$5:$A$2000,"&gt;"&amp;$A585,Recepciones!$A$5:$A$2000,"&lt;="&amp;$A586)&gt;0,SUMIFS(Recepciones!$C$5:$C$2000,Recepciones!$B$5:$B$2000,Config!$A$24,Recepciones!$A$5:$A$2000,"&gt;"&amp;$A585,Recepciones!$A$5:$A$2000,"&lt;="&amp;$A586),MAX(0,F586-F585)))</f>
        <v/>
      </c>
      <c r="H586" s="24" t="str">
        <f aca="false">IF($A586="","",MAX(0,F585+G586-F586))</f>
        <v/>
      </c>
      <c r="I586" s="24" t="str">
        <f aca="false">IF($A586="","",Stock_Diario!G586)</f>
        <v/>
      </c>
      <c r="J586" s="24" t="str">
        <f aca="false">IF($A586="","",IF(SUMIFS(Recepciones!$C$5:$C$2000,Recepciones!$B$5:$B$2000,Config!$A$25,Recepciones!$A$5:$A$2000,"&gt;"&amp;$A585,Recepciones!$A$5:$A$2000,"&lt;="&amp;$A586)&gt;0,SUMIFS(Recepciones!$C$5:$C$2000,Recepciones!$B$5:$B$2000,Config!$A$25,Recepciones!$A$5:$A$2000,"&gt;"&amp;$A585,Recepciones!$A$5:$A$2000,"&lt;="&amp;$A586),MAX(0,I586-I585)))</f>
        <v/>
      </c>
      <c r="K586" s="24" t="str">
        <f aca="false">IF($A586="","",MAX(0,I585+J586-I586))</f>
        <v/>
      </c>
      <c r="L586" s="24" t="str">
        <f aca="false">IF($A586="","",E586+H586+K586)</f>
        <v/>
      </c>
      <c r="M586" s="4" t="str">
        <f aca="false">IF($A586="","",IF(AND(D586+G586+J586&gt;0,SUMIFS(Recepciones!$C$5:$C$2000,Recepciones!$A$5:$A$2000,"&gt;"&amp;$A585,Recepciones!$A$5:$A$2000,"&lt;="&amp;$A586)=0),"Aumento de stock sin recepción registrada",IF(B586&gt;1,"Intervalo de "&amp;B586&amp;" días","")))</f>
        <v/>
      </c>
    </row>
    <row r="587" customFormat="false" ht="15" hidden="false" customHeight="false" outlineLevel="0" collapsed="false">
      <c r="A587" s="5" t="str">
        <f aca="false">IF(Stock_Diario!A587="","",Stock_Diario!A587)</f>
        <v/>
      </c>
      <c r="B587" s="4" t="str">
        <f aca="false">IF($A587="","",$A587-$A586)</f>
        <v/>
      </c>
      <c r="C587" s="24" t="str">
        <f aca="false">IF($A587="","",Stock_Diario!E587)</f>
        <v/>
      </c>
      <c r="D587" s="24" t="str">
        <f aca="false">IF($A587="","",IF(SUMIFS(Recepciones!$C$5:$C$2000,Recepciones!$B$5:$B$2000,Config!$A$23,Recepciones!$A$5:$A$2000,"&gt;"&amp;$A586,Recepciones!$A$5:$A$2000,"&lt;="&amp;$A587)&gt;0,SUMIFS(Recepciones!$C$5:$C$2000,Recepciones!$B$5:$B$2000,Config!$A$23,Recepciones!$A$5:$A$2000,"&gt;"&amp;$A586,Recepciones!$A$5:$A$2000,"&lt;="&amp;$A587),MAX(0,C587-C586)))</f>
        <v/>
      </c>
      <c r="E587" s="24" t="str">
        <f aca="false">IF($A587="","",MAX(0,C586+D587-C587))</f>
        <v/>
      </c>
      <c r="F587" s="24" t="str">
        <f aca="false">IF($A587="","",Stock_Diario!F587)</f>
        <v/>
      </c>
      <c r="G587" s="24" t="str">
        <f aca="false">IF($A587="","",IF(SUMIFS(Recepciones!$C$5:$C$2000,Recepciones!$B$5:$B$2000,Config!$A$24,Recepciones!$A$5:$A$2000,"&gt;"&amp;$A586,Recepciones!$A$5:$A$2000,"&lt;="&amp;$A587)&gt;0,SUMIFS(Recepciones!$C$5:$C$2000,Recepciones!$B$5:$B$2000,Config!$A$24,Recepciones!$A$5:$A$2000,"&gt;"&amp;$A586,Recepciones!$A$5:$A$2000,"&lt;="&amp;$A587),MAX(0,F587-F586)))</f>
        <v/>
      </c>
      <c r="H587" s="24" t="str">
        <f aca="false">IF($A587="","",MAX(0,F586+G587-F587))</f>
        <v/>
      </c>
      <c r="I587" s="24" t="str">
        <f aca="false">IF($A587="","",Stock_Diario!G587)</f>
        <v/>
      </c>
      <c r="J587" s="24" t="str">
        <f aca="false">IF($A587="","",IF(SUMIFS(Recepciones!$C$5:$C$2000,Recepciones!$B$5:$B$2000,Config!$A$25,Recepciones!$A$5:$A$2000,"&gt;"&amp;$A586,Recepciones!$A$5:$A$2000,"&lt;="&amp;$A587)&gt;0,SUMIFS(Recepciones!$C$5:$C$2000,Recepciones!$B$5:$B$2000,Config!$A$25,Recepciones!$A$5:$A$2000,"&gt;"&amp;$A586,Recepciones!$A$5:$A$2000,"&lt;="&amp;$A587),MAX(0,I587-I586)))</f>
        <v/>
      </c>
      <c r="K587" s="24" t="str">
        <f aca="false">IF($A587="","",MAX(0,I586+J587-I587))</f>
        <v/>
      </c>
      <c r="L587" s="24" t="str">
        <f aca="false">IF($A587="","",E587+H587+K587)</f>
        <v/>
      </c>
      <c r="M587" s="4" t="str">
        <f aca="false">IF($A587="","",IF(AND(D587+G587+J587&gt;0,SUMIFS(Recepciones!$C$5:$C$2000,Recepciones!$A$5:$A$2000,"&gt;"&amp;$A586,Recepciones!$A$5:$A$2000,"&lt;="&amp;$A587)=0),"Aumento de stock sin recepción registrada",IF(B587&gt;1,"Intervalo de "&amp;B587&amp;" días","")))</f>
        <v/>
      </c>
    </row>
    <row r="588" customFormat="false" ht="15" hidden="false" customHeight="false" outlineLevel="0" collapsed="false">
      <c r="A588" s="5" t="str">
        <f aca="false">IF(Stock_Diario!A588="","",Stock_Diario!A588)</f>
        <v/>
      </c>
      <c r="B588" s="4" t="str">
        <f aca="false">IF($A588="","",$A588-$A587)</f>
        <v/>
      </c>
      <c r="C588" s="24" t="str">
        <f aca="false">IF($A588="","",Stock_Diario!E588)</f>
        <v/>
      </c>
      <c r="D588" s="24" t="str">
        <f aca="false">IF($A588="","",IF(SUMIFS(Recepciones!$C$5:$C$2000,Recepciones!$B$5:$B$2000,Config!$A$23,Recepciones!$A$5:$A$2000,"&gt;"&amp;$A587,Recepciones!$A$5:$A$2000,"&lt;="&amp;$A588)&gt;0,SUMIFS(Recepciones!$C$5:$C$2000,Recepciones!$B$5:$B$2000,Config!$A$23,Recepciones!$A$5:$A$2000,"&gt;"&amp;$A587,Recepciones!$A$5:$A$2000,"&lt;="&amp;$A588),MAX(0,C588-C587)))</f>
        <v/>
      </c>
      <c r="E588" s="24" t="str">
        <f aca="false">IF($A588="","",MAX(0,C587+D588-C588))</f>
        <v/>
      </c>
      <c r="F588" s="24" t="str">
        <f aca="false">IF($A588="","",Stock_Diario!F588)</f>
        <v/>
      </c>
      <c r="G588" s="24" t="str">
        <f aca="false">IF($A588="","",IF(SUMIFS(Recepciones!$C$5:$C$2000,Recepciones!$B$5:$B$2000,Config!$A$24,Recepciones!$A$5:$A$2000,"&gt;"&amp;$A587,Recepciones!$A$5:$A$2000,"&lt;="&amp;$A588)&gt;0,SUMIFS(Recepciones!$C$5:$C$2000,Recepciones!$B$5:$B$2000,Config!$A$24,Recepciones!$A$5:$A$2000,"&gt;"&amp;$A587,Recepciones!$A$5:$A$2000,"&lt;="&amp;$A588),MAX(0,F588-F587)))</f>
        <v/>
      </c>
      <c r="H588" s="24" t="str">
        <f aca="false">IF($A588="","",MAX(0,F587+G588-F588))</f>
        <v/>
      </c>
      <c r="I588" s="24" t="str">
        <f aca="false">IF($A588="","",Stock_Diario!G588)</f>
        <v/>
      </c>
      <c r="J588" s="24" t="str">
        <f aca="false">IF($A588="","",IF(SUMIFS(Recepciones!$C$5:$C$2000,Recepciones!$B$5:$B$2000,Config!$A$25,Recepciones!$A$5:$A$2000,"&gt;"&amp;$A587,Recepciones!$A$5:$A$2000,"&lt;="&amp;$A588)&gt;0,SUMIFS(Recepciones!$C$5:$C$2000,Recepciones!$B$5:$B$2000,Config!$A$25,Recepciones!$A$5:$A$2000,"&gt;"&amp;$A587,Recepciones!$A$5:$A$2000,"&lt;="&amp;$A588),MAX(0,I588-I587)))</f>
        <v/>
      </c>
      <c r="K588" s="24" t="str">
        <f aca="false">IF($A588="","",MAX(0,I587+J588-I588))</f>
        <v/>
      </c>
      <c r="L588" s="24" t="str">
        <f aca="false">IF($A588="","",E588+H588+K588)</f>
        <v/>
      </c>
      <c r="M588" s="4" t="str">
        <f aca="false">IF($A588="","",IF(AND(D588+G588+J588&gt;0,SUMIFS(Recepciones!$C$5:$C$2000,Recepciones!$A$5:$A$2000,"&gt;"&amp;$A587,Recepciones!$A$5:$A$2000,"&lt;="&amp;$A588)=0),"Aumento de stock sin recepción registrada",IF(B588&gt;1,"Intervalo de "&amp;B588&amp;" días","")))</f>
        <v/>
      </c>
    </row>
    <row r="589" customFormat="false" ht="15" hidden="false" customHeight="false" outlineLevel="0" collapsed="false">
      <c r="A589" s="5" t="str">
        <f aca="false">IF(Stock_Diario!A589="","",Stock_Diario!A589)</f>
        <v/>
      </c>
      <c r="B589" s="4" t="str">
        <f aca="false">IF($A589="","",$A589-$A588)</f>
        <v/>
      </c>
      <c r="C589" s="24" t="str">
        <f aca="false">IF($A589="","",Stock_Diario!E589)</f>
        <v/>
      </c>
      <c r="D589" s="24" t="str">
        <f aca="false">IF($A589="","",IF(SUMIFS(Recepciones!$C$5:$C$2000,Recepciones!$B$5:$B$2000,Config!$A$23,Recepciones!$A$5:$A$2000,"&gt;"&amp;$A588,Recepciones!$A$5:$A$2000,"&lt;="&amp;$A589)&gt;0,SUMIFS(Recepciones!$C$5:$C$2000,Recepciones!$B$5:$B$2000,Config!$A$23,Recepciones!$A$5:$A$2000,"&gt;"&amp;$A588,Recepciones!$A$5:$A$2000,"&lt;="&amp;$A589),MAX(0,C589-C588)))</f>
        <v/>
      </c>
      <c r="E589" s="24" t="str">
        <f aca="false">IF($A589="","",MAX(0,C588+D589-C589))</f>
        <v/>
      </c>
      <c r="F589" s="24" t="str">
        <f aca="false">IF($A589="","",Stock_Diario!F589)</f>
        <v/>
      </c>
      <c r="G589" s="24" t="str">
        <f aca="false">IF($A589="","",IF(SUMIFS(Recepciones!$C$5:$C$2000,Recepciones!$B$5:$B$2000,Config!$A$24,Recepciones!$A$5:$A$2000,"&gt;"&amp;$A588,Recepciones!$A$5:$A$2000,"&lt;="&amp;$A589)&gt;0,SUMIFS(Recepciones!$C$5:$C$2000,Recepciones!$B$5:$B$2000,Config!$A$24,Recepciones!$A$5:$A$2000,"&gt;"&amp;$A588,Recepciones!$A$5:$A$2000,"&lt;="&amp;$A589),MAX(0,F589-F588)))</f>
        <v/>
      </c>
      <c r="H589" s="24" t="str">
        <f aca="false">IF($A589="","",MAX(0,F588+G589-F589))</f>
        <v/>
      </c>
      <c r="I589" s="24" t="str">
        <f aca="false">IF($A589="","",Stock_Diario!G589)</f>
        <v/>
      </c>
      <c r="J589" s="24" t="str">
        <f aca="false">IF($A589="","",IF(SUMIFS(Recepciones!$C$5:$C$2000,Recepciones!$B$5:$B$2000,Config!$A$25,Recepciones!$A$5:$A$2000,"&gt;"&amp;$A588,Recepciones!$A$5:$A$2000,"&lt;="&amp;$A589)&gt;0,SUMIFS(Recepciones!$C$5:$C$2000,Recepciones!$B$5:$B$2000,Config!$A$25,Recepciones!$A$5:$A$2000,"&gt;"&amp;$A588,Recepciones!$A$5:$A$2000,"&lt;="&amp;$A589),MAX(0,I589-I588)))</f>
        <v/>
      </c>
      <c r="K589" s="24" t="str">
        <f aca="false">IF($A589="","",MAX(0,I588+J589-I589))</f>
        <v/>
      </c>
      <c r="L589" s="24" t="str">
        <f aca="false">IF($A589="","",E589+H589+K589)</f>
        <v/>
      </c>
      <c r="M589" s="4" t="str">
        <f aca="false">IF($A589="","",IF(AND(D589+G589+J589&gt;0,SUMIFS(Recepciones!$C$5:$C$2000,Recepciones!$A$5:$A$2000,"&gt;"&amp;$A588,Recepciones!$A$5:$A$2000,"&lt;="&amp;$A589)=0),"Aumento de stock sin recepción registrada",IF(B589&gt;1,"Intervalo de "&amp;B589&amp;" días","")))</f>
        <v/>
      </c>
    </row>
    <row r="590" customFormat="false" ht="15" hidden="false" customHeight="false" outlineLevel="0" collapsed="false">
      <c r="A590" s="5" t="str">
        <f aca="false">IF(Stock_Diario!A590="","",Stock_Diario!A590)</f>
        <v/>
      </c>
      <c r="B590" s="4" t="str">
        <f aca="false">IF($A590="","",$A590-$A589)</f>
        <v/>
      </c>
      <c r="C590" s="24" t="str">
        <f aca="false">IF($A590="","",Stock_Diario!E590)</f>
        <v/>
      </c>
      <c r="D590" s="24" t="str">
        <f aca="false">IF($A590="","",IF(SUMIFS(Recepciones!$C$5:$C$2000,Recepciones!$B$5:$B$2000,Config!$A$23,Recepciones!$A$5:$A$2000,"&gt;"&amp;$A589,Recepciones!$A$5:$A$2000,"&lt;="&amp;$A590)&gt;0,SUMIFS(Recepciones!$C$5:$C$2000,Recepciones!$B$5:$B$2000,Config!$A$23,Recepciones!$A$5:$A$2000,"&gt;"&amp;$A589,Recepciones!$A$5:$A$2000,"&lt;="&amp;$A590),MAX(0,C590-C589)))</f>
        <v/>
      </c>
      <c r="E590" s="24" t="str">
        <f aca="false">IF($A590="","",MAX(0,C589+D590-C590))</f>
        <v/>
      </c>
      <c r="F590" s="24" t="str">
        <f aca="false">IF($A590="","",Stock_Diario!F590)</f>
        <v/>
      </c>
      <c r="G590" s="24" t="str">
        <f aca="false">IF($A590="","",IF(SUMIFS(Recepciones!$C$5:$C$2000,Recepciones!$B$5:$B$2000,Config!$A$24,Recepciones!$A$5:$A$2000,"&gt;"&amp;$A589,Recepciones!$A$5:$A$2000,"&lt;="&amp;$A590)&gt;0,SUMIFS(Recepciones!$C$5:$C$2000,Recepciones!$B$5:$B$2000,Config!$A$24,Recepciones!$A$5:$A$2000,"&gt;"&amp;$A589,Recepciones!$A$5:$A$2000,"&lt;="&amp;$A590),MAX(0,F590-F589)))</f>
        <v/>
      </c>
      <c r="H590" s="24" t="str">
        <f aca="false">IF($A590="","",MAX(0,F589+G590-F590))</f>
        <v/>
      </c>
      <c r="I590" s="24" t="str">
        <f aca="false">IF($A590="","",Stock_Diario!G590)</f>
        <v/>
      </c>
      <c r="J590" s="24" t="str">
        <f aca="false">IF($A590="","",IF(SUMIFS(Recepciones!$C$5:$C$2000,Recepciones!$B$5:$B$2000,Config!$A$25,Recepciones!$A$5:$A$2000,"&gt;"&amp;$A589,Recepciones!$A$5:$A$2000,"&lt;="&amp;$A590)&gt;0,SUMIFS(Recepciones!$C$5:$C$2000,Recepciones!$B$5:$B$2000,Config!$A$25,Recepciones!$A$5:$A$2000,"&gt;"&amp;$A589,Recepciones!$A$5:$A$2000,"&lt;="&amp;$A590),MAX(0,I590-I589)))</f>
        <v/>
      </c>
      <c r="K590" s="24" t="str">
        <f aca="false">IF($A590="","",MAX(0,I589+J590-I590))</f>
        <v/>
      </c>
      <c r="L590" s="24" t="str">
        <f aca="false">IF($A590="","",E590+H590+K590)</f>
        <v/>
      </c>
      <c r="M590" s="4" t="str">
        <f aca="false">IF($A590="","",IF(AND(D590+G590+J590&gt;0,SUMIFS(Recepciones!$C$5:$C$2000,Recepciones!$A$5:$A$2000,"&gt;"&amp;$A589,Recepciones!$A$5:$A$2000,"&lt;="&amp;$A590)=0),"Aumento de stock sin recepción registrada",IF(B590&gt;1,"Intervalo de "&amp;B590&amp;" días","")))</f>
        <v/>
      </c>
    </row>
    <row r="591" customFormat="false" ht="15" hidden="false" customHeight="false" outlineLevel="0" collapsed="false">
      <c r="A591" s="5" t="str">
        <f aca="false">IF(Stock_Diario!A591="","",Stock_Diario!A591)</f>
        <v/>
      </c>
      <c r="B591" s="4" t="str">
        <f aca="false">IF($A591="","",$A591-$A590)</f>
        <v/>
      </c>
      <c r="C591" s="24" t="str">
        <f aca="false">IF($A591="","",Stock_Diario!E591)</f>
        <v/>
      </c>
      <c r="D591" s="24" t="str">
        <f aca="false">IF($A591="","",IF(SUMIFS(Recepciones!$C$5:$C$2000,Recepciones!$B$5:$B$2000,Config!$A$23,Recepciones!$A$5:$A$2000,"&gt;"&amp;$A590,Recepciones!$A$5:$A$2000,"&lt;="&amp;$A591)&gt;0,SUMIFS(Recepciones!$C$5:$C$2000,Recepciones!$B$5:$B$2000,Config!$A$23,Recepciones!$A$5:$A$2000,"&gt;"&amp;$A590,Recepciones!$A$5:$A$2000,"&lt;="&amp;$A591),MAX(0,C591-C590)))</f>
        <v/>
      </c>
      <c r="E591" s="24" t="str">
        <f aca="false">IF($A591="","",MAX(0,C590+D591-C591))</f>
        <v/>
      </c>
      <c r="F591" s="24" t="str">
        <f aca="false">IF($A591="","",Stock_Diario!F591)</f>
        <v/>
      </c>
      <c r="G591" s="24" t="str">
        <f aca="false">IF($A591="","",IF(SUMIFS(Recepciones!$C$5:$C$2000,Recepciones!$B$5:$B$2000,Config!$A$24,Recepciones!$A$5:$A$2000,"&gt;"&amp;$A590,Recepciones!$A$5:$A$2000,"&lt;="&amp;$A591)&gt;0,SUMIFS(Recepciones!$C$5:$C$2000,Recepciones!$B$5:$B$2000,Config!$A$24,Recepciones!$A$5:$A$2000,"&gt;"&amp;$A590,Recepciones!$A$5:$A$2000,"&lt;="&amp;$A591),MAX(0,F591-F590)))</f>
        <v/>
      </c>
      <c r="H591" s="24" t="str">
        <f aca="false">IF($A591="","",MAX(0,F590+G591-F591))</f>
        <v/>
      </c>
      <c r="I591" s="24" t="str">
        <f aca="false">IF($A591="","",Stock_Diario!G591)</f>
        <v/>
      </c>
      <c r="J591" s="24" t="str">
        <f aca="false">IF($A591="","",IF(SUMIFS(Recepciones!$C$5:$C$2000,Recepciones!$B$5:$B$2000,Config!$A$25,Recepciones!$A$5:$A$2000,"&gt;"&amp;$A590,Recepciones!$A$5:$A$2000,"&lt;="&amp;$A591)&gt;0,SUMIFS(Recepciones!$C$5:$C$2000,Recepciones!$B$5:$B$2000,Config!$A$25,Recepciones!$A$5:$A$2000,"&gt;"&amp;$A590,Recepciones!$A$5:$A$2000,"&lt;="&amp;$A591),MAX(0,I591-I590)))</f>
        <v/>
      </c>
      <c r="K591" s="24" t="str">
        <f aca="false">IF($A591="","",MAX(0,I590+J591-I591))</f>
        <v/>
      </c>
      <c r="L591" s="24" t="str">
        <f aca="false">IF($A591="","",E591+H591+K591)</f>
        <v/>
      </c>
      <c r="M591" s="4" t="str">
        <f aca="false">IF($A591="","",IF(AND(D591+G591+J591&gt;0,SUMIFS(Recepciones!$C$5:$C$2000,Recepciones!$A$5:$A$2000,"&gt;"&amp;$A590,Recepciones!$A$5:$A$2000,"&lt;="&amp;$A591)=0),"Aumento de stock sin recepción registrada",IF(B591&gt;1,"Intervalo de "&amp;B591&amp;" días","")))</f>
        <v/>
      </c>
    </row>
    <row r="592" customFormat="false" ht="15" hidden="false" customHeight="false" outlineLevel="0" collapsed="false">
      <c r="A592" s="5" t="str">
        <f aca="false">IF(Stock_Diario!A592="","",Stock_Diario!A592)</f>
        <v/>
      </c>
      <c r="B592" s="4" t="str">
        <f aca="false">IF($A592="","",$A592-$A591)</f>
        <v/>
      </c>
      <c r="C592" s="24" t="str">
        <f aca="false">IF($A592="","",Stock_Diario!E592)</f>
        <v/>
      </c>
      <c r="D592" s="24" t="str">
        <f aca="false">IF($A592="","",IF(SUMIFS(Recepciones!$C$5:$C$2000,Recepciones!$B$5:$B$2000,Config!$A$23,Recepciones!$A$5:$A$2000,"&gt;"&amp;$A591,Recepciones!$A$5:$A$2000,"&lt;="&amp;$A592)&gt;0,SUMIFS(Recepciones!$C$5:$C$2000,Recepciones!$B$5:$B$2000,Config!$A$23,Recepciones!$A$5:$A$2000,"&gt;"&amp;$A591,Recepciones!$A$5:$A$2000,"&lt;="&amp;$A592),MAX(0,C592-C591)))</f>
        <v/>
      </c>
      <c r="E592" s="24" t="str">
        <f aca="false">IF($A592="","",MAX(0,C591+D592-C592))</f>
        <v/>
      </c>
      <c r="F592" s="24" t="str">
        <f aca="false">IF($A592="","",Stock_Diario!F592)</f>
        <v/>
      </c>
      <c r="G592" s="24" t="str">
        <f aca="false">IF($A592="","",IF(SUMIFS(Recepciones!$C$5:$C$2000,Recepciones!$B$5:$B$2000,Config!$A$24,Recepciones!$A$5:$A$2000,"&gt;"&amp;$A591,Recepciones!$A$5:$A$2000,"&lt;="&amp;$A592)&gt;0,SUMIFS(Recepciones!$C$5:$C$2000,Recepciones!$B$5:$B$2000,Config!$A$24,Recepciones!$A$5:$A$2000,"&gt;"&amp;$A591,Recepciones!$A$5:$A$2000,"&lt;="&amp;$A592),MAX(0,F592-F591)))</f>
        <v/>
      </c>
      <c r="H592" s="24" t="str">
        <f aca="false">IF($A592="","",MAX(0,F591+G592-F592))</f>
        <v/>
      </c>
      <c r="I592" s="24" t="str">
        <f aca="false">IF($A592="","",Stock_Diario!G592)</f>
        <v/>
      </c>
      <c r="J592" s="24" t="str">
        <f aca="false">IF($A592="","",IF(SUMIFS(Recepciones!$C$5:$C$2000,Recepciones!$B$5:$B$2000,Config!$A$25,Recepciones!$A$5:$A$2000,"&gt;"&amp;$A591,Recepciones!$A$5:$A$2000,"&lt;="&amp;$A592)&gt;0,SUMIFS(Recepciones!$C$5:$C$2000,Recepciones!$B$5:$B$2000,Config!$A$25,Recepciones!$A$5:$A$2000,"&gt;"&amp;$A591,Recepciones!$A$5:$A$2000,"&lt;="&amp;$A592),MAX(0,I592-I591)))</f>
        <v/>
      </c>
      <c r="K592" s="24" t="str">
        <f aca="false">IF($A592="","",MAX(0,I591+J592-I592))</f>
        <v/>
      </c>
      <c r="L592" s="24" t="str">
        <f aca="false">IF($A592="","",E592+H592+K592)</f>
        <v/>
      </c>
      <c r="M592" s="4" t="str">
        <f aca="false">IF($A592="","",IF(AND(D592+G592+J592&gt;0,SUMIFS(Recepciones!$C$5:$C$2000,Recepciones!$A$5:$A$2000,"&gt;"&amp;$A591,Recepciones!$A$5:$A$2000,"&lt;="&amp;$A592)=0),"Aumento de stock sin recepción registrada",IF(B592&gt;1,"Intervalo de "&amp;B592&amp;" días","")))</f>
        <v/>
      </c>
    </row>
    <row r="593" customFormat="false" ht="15" hidden="false" customHeight="false" outlineLevel="0" collapsed="false">
      <c r="A593" s="5" t="str">
        <f aca="false">IF(Stock_Diario!A593="","",Stock_Diario!A593)</f>
        <v/>
      </c>
      <c r="B593" s="4" t="str">
        <f aca="false">IF($A593="","",$A593-$A592)</f>
        <v/>
      </c>
      <c r="C593" s="24" t="str">
        <f aca="false">IF($A593="","",Stock_Diario!E593)</f>
        <v/>
      </c>
      <c r="D593" s="24" t="str">
        <f aca="false">IF($A593="","",IF(SUMIFS(Recepciones!$C$5:$C$2000,Recepciones!$B$5:$B$2000,Config!$A$23,Recepciones!$A$5:$A$2000,"&gt;"&amp;$A592,Recepciones!$A$5:$A$2000,"&lt;="&amp;$A593)&gt;0,SUMIFS(Recepciones!$C$5:$C$2000,Recepciones!$B$5:$B$2000,Config!$A$23,Recepciones!$A$5:$A$2000,"&gt;"&amp;$A592,Recepciones!$A$5:$A$2000,"&lt;="&amp;$A593),MAX(0,C593-C592)))</f>
        <v/>
      </c>
      <c r="E593" s="24" t="str">
        <f aca="false">IF($A593="","",MAX(0,C592+D593-C593))</f>
        <v/>
      </c>
      <c r="F593" s="24" t="str">
        <f aca="false">IF($A593="","",Stock_Diario!F593)</f>
        <v/>
      </c>
      <c r="G593" s="24" t="str">
        <f aca="false">IF($A593="","",IF(SUMIFS(Recepciones!$C$5:$C$2000,Recepciones!$B$5:$B$2000,Config!$A$24,Recepciones!$A$5:$A$2000,"&gt;"&amp;$A592,Recepciones!$A$5:$A$2000,"&lt;="&amp;$A593)&gt;0,SUMIFS(Recepciones!$C$5:$C$2000,Recepciones!$B$5:$B$2000,Config!$A$24,Recepciones!$A$5:$A$2000,"&gt;"&amp;$A592,Recepciones!$A$5:$A$2000,"&lt;="&amp;$A593),MAX(0,F593-F592)))</f>
        <v/>
      </c>
      <c r="H593" s="24" t="str">
        <f aca="false">IF($A593="","",MAX(0,F592+G593-F593))</f>
        <v/>
      </c>
      <c r="I593" s="24" t="str">
        <f aca="false">IF($A593="","",Stock_Diario!G593)</f>
        <v/>
      </c>
      <c r="J593" s="24" t="str">
        <f aca="false">IF($A593="","",IF(SUMIFS(Recepciones!$C$5:$C$2000,Recepciones!$B$5:$B$2000,Config!$A$25,Recepciones!$A$5:$A$2000,"&gt;"&amp;$A592,Recepciones!$A$5:$A$2000,"&lt;="&amp;$A593)&gt;0,SUMIFS(Recepciones!$C$5:$C$2000,Recepciones!$B$5:$B$2000,Config!$A$25,Recepciones!$A$5:$A$2000,"&gt;"&amp;$A592,Recepciones!$A$5:$A$2000,"&lt;="&amp;$A593),MAX(0,I593-I592)))</f>
        <v/>
      </c>
      <c r="K593" s="24" t="str">
        <f aca="false">IF($A593="","",MAX(0,I592+J593-I593))</f>
        <v/>
      </c>
      <c r="L593" s="24" t="str">
        <f aca="false">IF($A593="","",E593+H593+K593)</f>
        <v/>
      </c>
      <c r="M593" s="4" t="str">
        <f aca="false">IF($A593="","",IF(AND(D593+G593+J593&gt;0,SUMIFS(Recepciones!$C$5:$C$2000,Recepciones!$A$5:$A$2000,"&gt;"&amp;$A592,Recepciones!$A$5:$A$2000,"&lt;="&amp;$A593)=0),"Aumento de stock sin recepción registrada",IF(B593&gt;1,"Intervalo de "&amp;B593&amp;" días","")))</f>
        <v/>
      </c>
    </row>
    <row r="594" customFormat="false" ht="15" hidden="false" customHeight="false" outlineLevel="0" collapsed="false">
      <c r="A594" s="5" t="str">
        <f aca="false">IF(Stock_Diario!A594="","",Stock_Diario!A594)</f>
        <v/>
      </c>
      <c r="B594" s="4" t="str">
        <f aca="false">IF($A594="","",$A594-$A593)</f>
        <v/>
      </c>
      <c r="C594" s="24" t="str">
        <f aca="false">IF($A594="","",Stock_Diario!E594)</f>
        <v/>
      </c>
      <c r="D594" s="24" t="str">
        <f aca="false">IF($A594="","",IF(SUMIFS(Recepciones!$C$5:$C$2000,Recepciones!$B$5:$B$2000,Config!$A$23,Recepciones!$A$5:$A$2000,"&gt;"&amp;$A593,Recepciones!$A$5:$A$2000,"&lt;="&amp;$A594)&gt;0,SUMIFS(Recepciones!$C$5:$C$2000,Recepciones!$B$5:$B$2000,Config!$A$23,Recepciones!$A$5:$A$2000,"&gt;"&amp;$A593,Recepciones!$A$5:$A$2000,"&lt;="&amp;$A594),MAX(0,C594-C593)))</f>
        <v/>
      </c>
      <c r="E594" s="24" t="str">
        <f aca="false">IF($A594="","",MAX(0,C593+D594-C594))</f>
        <v/>
      </c>
      <c r="F594" s="24" t="str">
        <f aca="false">IF($A594="","",Stock_Diario!F594)</f>
        <v/>
      </c>
      <c r="G594" s="24" t="str">
        <f aca="false">IF($A594="","",IF(SUMIFS(Recepciones!$C$5:$C$2000,Recepciones!$B$5:$B$2000,Config!$A$24,Recepciones!$A$5:$A$2000,"&gt;"&amp;$A593,Recepciones!$A$5:$A$2000,"&lt;="&amp;$A594)&gt;0,SUMIFS(Recepciones!$C$5:$C$2000,Recepciones!$B$5:$B$2000,Config!$A$24,Recepciones!$A$5:$A$2000,"&gt;"&amp;$A593,Recepciones!$A$5:$A$2000,"&lt;="&amp;$A594),MAX(0,F594-F593)))</f>
        <v/>
      </c>
      <c r="H594" s="24" t="str">
        <f aca="false">IF($A594="","",MAX(0,F593+G594-F594))</f>
        <v/>
      </c>
      <c r="I594" s="24" t="str">
        <f aca="false">IF($A594="","",Stock_Diario!G594)</f>
        <v/>
      </c>
      <c r="J594" s="24" t="str">
        <f aca="false">IF($A594="","",IF(SUMIFS(Recepciones!$C$5:$C$2000,Recepciones!$B$5:$B$2000,Config!$A$25,Recepciones!$A$5:$A$2000,"&gt;"&amp;$A593,Recepciones!$A$5:$A$2000,"&lt;="&amp;$A594)&gt;0,SUMIFS(Recepciones!$C$5:$C$2000,Recepciones!$B$5:$B$2000,Config!$A$25,Recepciones!$A$5:$A$2000,"&gt;"&amp;$A593,Recepciones!$A$5:$A$2000,"&lt;="&amp;$A594),MAX(0,I594-I593)))</f>
        <v/>
      </c>
      <c r="K594" s="24" t="str">
        <f aca="false">IF($A594="","",MAX(0,I593+J594-I594))</f>
        <v/>
      </c>
      <c r="L594" s="24" t="str">
        <f aca="false">IF($A594="","",E594+H594+K594)</f>
        <v/>
      </c>
      <c r="M594" s="4" t="str">
        <f aca="false">IF($A594="","",IF(AND(D594+G594+J594&gt;0,SUMIFS(Recepciones!$C$5:$C$2000,Recepciones!$A$5:$A$2000,"&gt;"&amp;$A593,Recepciones!$A$5:$A$2000,"&lt;="&amp;$A594)=0),"Aumento de stock sin recepción registrada",IF(B594&gt;1,"Intervalo de "&amp;B594&amp;" días","")))</f>
        <v/>
      </c>
    </row>
    <row r="595" customFormat="false" ht="15" hidden="false" customHeight="false" outlineLevel="0" collapsed="false">
      <c r="A595" s="5" t="str">
        <f aca="false">IF(Stock_Diario!A595="","",Stock_Diario!A595)</f>
        <v/>
      </c>
      <c r="B595" s="4" t="str">
        <f aca="false">IF($A595="","",$A595-$A594)</f>
        <v/>
      </c>
      <c r="C595" s="24" t="str">
        <f aca="false">IF($A595="","",Stock_Diario!E595)</f>
        <v/>
      </c>
      <c r="D595" s="24" t="str">
        <f aca="false">IF($A595="","",IF(SUMIFS(Recepciones!$C$5:$C$2000,Recepciones!$B$5:$B$2000,Config!$A$23,Recepciones!$A$5:$A$2000,"&gt;"&amp;$A594,Recepciones!$A$5:$A$2000,"&lt;="&amp;$A595)&gt;0,SUMIFS(Recepciones!$C$5:$C$2000,Recepciones!$B$5:$B$2000,Config!$A$23,Recepciones!$A$5:$A$2000,"&gt;"&amp;$A594,Recepciones!$A$5:$A$2000,"&lt;="&amp;$A595),MAX(0,C595-C594)))</f>
        <v/>
      </c>
      <c r="E595" s="24" t="str">
        <f aca="false">IF($A595="","",MAX(0,C594+D595-C595))</f>
        <v/>
      </c>
      <c r="F595" s="24" t="str">
        <f aca="false">IF($A595="","",Stock_Diario!F595)</f>
        <v/>
      </c>
      <c r="G595" s="24" t="str">
        <f aca="false">IF($A595="","",IF(SUMIFS(Recepciones!$C$5:$C$2000,Recepciones!$B$5:$B$2000,Config!$A$24,Recepciones!$A$5:$A$2000,"&gt;"&amp;$A594,Recepciones!$A$5:$A$2000,"&lt;="&amp;$A595)&gt;0,SUMIFS(Recepciones!$C$5:$C$2000,Recepciones!$B$5:$B$2000,Config!$A$24,Recepciones!$A$5:$A$2000,"&gt;"&amp;$A594,Recepciones!$A$5:$A$2000,"&lt;="&amp;$A595),MAX(0,F595-F594)))</f>
        <v/>
      </c>
      <c r="H595" s="24" t="str">
        <f aca="false">IF($A595="","",MAX(0,F594+G595-F595))</f>
        <v/>
      </c>
      <c r="I595" s="24" t="str">
        <f aca="false">IF($A595="","",Stock_Diario!G595)</f>
        <v/>
      </c>
      <c r="J595" s="24" t="str">
        <f aca="false">IF($A595="","",IF(SUMIFS(Recepciones!$C$5:$C$2000,Recepciones!$B$5:$B$2000,Config!$A$25,Recepciones!$A$5:$A$2000,"&gt;"&amp;$A594,Recepciones!$A$5:$A$2000,"&lt;="&amp;$A595)&gt;0,SUMIFS(Recepciones!$C$5:$C$2000,Recepciones!$B$5:$B$2000,Config!$A$25,Recepciones!$A$5:$A$2000,"&gt;"&amp;$A594,Recepciones!$A$5:$A$2000,"&lt;="&amp;$A595),MAX(0,I595-I594)))</f>
        <v/>
      </c>
      <c r="K595" s="24" t="str">
        <f aca="false">IF($A595="","",MAX(0,I594+J595-I595))</f>
        <v/>
      </c>
      <c r="L595" s="24" t="str">
        <f aca="false">IF($A595="","",E595+H595+K595)</f>
        <v/>
      </c>
      <c r="M595" s="4" t="str">
        <f aca="false">IF($A595="","",IF(AND(D595+G595+J595&gt;0,SUMIFS(Recepciones!$C$5:$C$2000,Recepciones!$A$5:$A$2000,"&gt;"&amp;$A594,Recepciones!$A$5:$A$2000,"&lt;="&amp;$A595)=0),"Aumento de stock sin recepción registrada",IF(B595&gt;1,"Intervalo de "&amp;B595&amp;" días","")))</f>
        <v/>
      </c>
    </row>
    <row r="596" customFormat="false" ht="15" hidden="false" customHeight="false" outlineLevel="0" collapsed="false">
      <c r="A596" s="5" t="str">
        <f aca="false">IF(Stock_Diario!A596="","",Stock_Diario!A596)</f>
        <v/>
      </c>
      <c r="B596" s="4" t="str">
        <f aca="false">IF($A596="","",$A596-$A595)</f>
        <v/>
      </c>
      <c r="C596" s="24" t="str">
        <f aca="false">IF($A596="","",Stock_Diario!E596)</f>
        <v/>
      </c>
      <c r="D596" s="24" t="str">
        <f aca="false">IF($A596="","",IF(SUMIFS(Recepciones!$C$5:$C$2000,Recepciones!$B$5:$B$2000,Config!$A$23,Recepciones!$A$5:$A$2000,"&gt;"&amp;$A595,Recepciones!$A$5:$A$2000,"&lt;="&amp;$A596)&gt;0,SUMIFS(Recepciones!$C$5:$C$2000,Recepciones!$B$5:$B$2000,Config!$A$23,Recepciones!$A$5:$A$2000,"&gt;"&amp;$A595,Recepciones!$A$5:$A$2000,"&lt;="&amp;$A596),MAX(0,C596-C595)))</f>
        <v/>
      </c>
      <c r="E596" s="24" t="str">
        <f aca="false">IF($A596="","",MAX(0,C595+D596-C596))</f>
        <v/>
      </c>
      <c r="F596" s="24" t="str">
        <f aca="false">IF($A596="","",Stock_Diario!F596)</f>
        <v/>
      </c>
      <c r="G596" s="24" t="str">
        <f aca="false">IF($A596="","",IF(SUMIFS(Recepciones!$C$5:$C$2000,Recepciones!$B$5:$B$2000,Config!$A$24,Recepciones!$A$5:$A$2000,"&gt;"&amp;$A595,Recepciones!$A$5:$A$2000,"&lt;="&amp;$A596)&gt;0,SUMIFS(Recepciones!$C$5:$C$2000,Recepciones!$B$5:$B$2000,Config!$A$24,Recepciones!$A$5:$A$2000,"&gt;"&amp;$A595,Recepciones!$A$5:$A$2000,"&lt;="&amp;$A596),MAX(0,F596-F595)))</f>
        <v/>
      </c>
      <c r="H596" s="24" t="str">
        <f aca="false">IF($A596="","",MAX(0,F595+G596-F596))</f>
        <v/>
      </c>
      <c r="I596" s="24" t="str">
        <f aca="false">IF($A596="","",Stock_Diario!G596)</f>
        <v/>
      </c>
      <c r="J596" s="24" t="str">
        <f aca="false">IF($A596="","",IF(SUMIFS(Recepciones!$C$5:$C$2000,Recepciones!$B$5:$B$2000,Config!$A$25,Recepciones!$A$5:$A$2000,"&gt;"&amp;$A595,Recepciones!$A$5:$A$2000,"&lt;="&amp;$A596)&gt;0,SUMIFS(Recepciones!$C$5:$C$2000,Recepciones!$B$5:$B$2000,Config!$A$25,Recepciones!$A$5:$A$2000,"&gt;"&amp;$A595,Recepciones!$A$5:$A$2000,"&lt;="&amp;$A596),MAX(0,I596-I595)))</f>
        <v/>
      </c>
      <c r="K596" s="24" t="str">
        <f aca="false">IF($A596="","",MAX(0,I595+J596-I596))</f>
        <v/>
      </c>
      <c r="L596" s="24" t="str">
        <f aca="false">IF($A596="","",E596+H596+K596)</f>
        <v/>
      </c>
      <c r="M596" s="4" t="str">
        <f aca="false">IF($A596="","",IF(AND(D596+G596+J596&gt;0,SUMIFS(Recepciones!$C$5:$C$2000,Recepciones!$A$5:$A$2000,"&gt;"&amp;$A595,Recepciones!$A$5:$A$2000,"&lt;="&amp;$A596)=0),"Aumento de stock sin recepción registrada",IF(B596&gt;1,"Intervalo de "&amp;B596&amp;" días","")))</f>
        <v/>
      </c>
    </row>
    <row r="597" customFormat="false" ht="15" hidden="false" customHeight="false" outlineLevel="0" collapsed="false">
      <c r="A597" s="5" t="str">
        <f aca="false">IF(Stock_Diario!A597="","",Stock_Diario!A597)</f>
        <v/>
      </c>
      <c r="B597" s="4" t="str">
        <f aca="false">IF($A597="","",$A597-$A596)</f>
        <v/>
      </c>
      <c r="C597" s="24" t="str">
        <f aca="false">IF($A597="","",Stock_Diario!E597)</f>
        <v/>
      </c>
      <c r="D597" s="24" t="str">
        <f aca="false">IF($A597="","",IF(SUMIFS(Recepciones!$C$5:$C$2000,Recepciones!$B$5:$B$2000,Config!$A$23,Recepciones!$A$5:$A$2000,"&gt;"&amp;$A596,Recepciones!$A$5:$A$2000,"&lt;="&amp;$A597)&gt;0,SUMIFS(Recepciones!$C$5:$C$2000,Recepciones!$B$5:$B$2000,Config!$A$23,Recepciones!$A$5:$A$2000,"&gt;"&amp;$A596,Recepciones!$A$5:$A$2000,"&lt;="&amp;$A597),MAX(0,C597-C596)))</f>
        <v/>
      </c>
      <c r="E597" s="24" t="str">
        <f aca="false">IF($A597="","",MAX(0,C596+D597-C597))</f>
        <v/>
      </c>
      <c r="F597" s="24" t="str">
        <f aca="false">IF($A597="","",Stock_Diario!F597)</f>
        <v/>
      </c>
      <c r="G597" s="24" t="str">
        <f aca="false">IF($A597="","",IF(SUMIFS(Recepciones!$C$5:$C$2000,Recepciones!$B$5:$B$2000,Config!$A$24,Recepciones!$A$5:$A$2000,"&gt;"&amp;$A596,Recepciones!$A$5:$A$2000,"&lt;="&amp;$A597)&gt;0,SUMIFS(Recepciones!$C$5:$C$2000,Recepciones!$B$5:$B$2000,Config!$A$24,Recepciones!$A$5:$A$2000,"&gt;"&amp;$A596,Recepciones!$A$5:$A$2000,"&lt;="&amp;$A597),MAX(0,F597-F596)))</f>
        <v/>
      </c>
      <c r="H597" s="24" t="str">
        <f aca="false">IF($A597="","",MAX(0,F596+G597-F597))</f>
        <v/>
      </c>
      <c r="I597" s="24" t="str">
        <f aca="false">IF($A597="","",Stock_Diario!G597)</f>
        <v/>
      </c>
      <c r="J597" s="24" t="str">
        <f aca="false">IF($A597="","",IF(SUMIFS(Recepciones!$C$5:$C$2000,Recepciones!$B$5:$B$2000,Config!$A$25,Recepciones!$A$5:$A$2000,"&gt;"&amp;$A596,Recepciones!$A$5:$A$2000,"&lt;="&amp;$A597)&gt;0,SUMIFS(Recepciones!$C$5:$C$2000,Recepciones!$B$5:$B$2000,Config!$A$25,Recepciones!$A$5:$A$2000,"&gt;"&amp;$A596,Recepciones!$A$5:$A$2000,"&lt;="&amp;$A597),MAX(0,I597-I596)))</f>
        <v/>
      </c>
      <c r="K597" s="24" t="str">
        <f aca="false">IF($A597="","",MAX(0,I596+J597-I597))</f>
        <v/>
      </c>
      <c r="L597" s="24" t="str">
        <f aca="false">IF($A597="","",E597+H597+K597)</f>
        <v/>
      </c>
      <c r="M597" s="4" t="str">
        <f aca="false">IF($A597="","",IF(AND(D597+G597+J597&gt;0,SUMIFS(Recepciones!$C$5:$C$2000,Recepciones!$A$5:$A$2000,"&gt;"&amp;$A596,Recepciones!$A$5:$A$2000,"&lt;="&amp;$A597)=0),"Aumento de stock sin recepción registrada",IF(B597&gt;1,"Intervalo de "&amp;B597&amp;" días","")))</f>
        <v/>
      </c>
    </row>
    <row r="598" customFormat="false" ht="15" hidden="false" customHeight="false" outlineLevel="0" collapsed="false">
      <c r="A598" s="5" t="str">
        <f aca="false">IF(Stock_Diario!A598="","",Stock_Diario!A598)</f>
        <v/>
      </c>
      <c r="B598" s="4" t="str">
        <f aca="false">IF($A598="","",$A598-$A597)</f>
        <v/>
      </c>
      <c r="C598" s="24" t="str">
        <f aca="false">IF($A598="","",Stock_Diario!E598)</f>
        <v/>
      </c>
      <c r="D598" s="24" t="str">
        <f aca="false">IF($A598="","",IF(SUMIFS(Recepciones!$C$5:$C$2000,Recepciones!$B$5:$B$2000,Config!$A$23,Recepciones!$A$5:$A$2000,"&gt;"&amp;$A597,Recepciones!$A$5:$A$2000,"&lt;="&amp;$A598)&gt;0,SUMIFS(Recepciones!$C$5:$C$2000,Recepciones!$B$5:$B$2000,Config!$A$23,Recepciones!$A$5:$A$2000,"&gt;"&amp;$A597,Recepciones!$A$5:$A$2000,"&lt;="&amp;$A598),MAX(0,C598-C597)))</f>
        <v/>
      </c>
      <c r="E598" s="24" t="str">
        <f aca="false">IF($A598="","",MAX(0,C597+D598-C598))</f>
        <v/>
      </c>
      <c r="F598" s="24" t="str">
        <f aca="false">IF($A598="","",Stock_Diario!F598)</f>
        <v/>
      </c>
      <c r="G598" s="24" t="str">
        <f aca="false">IF($A598="","",IF(SUMIFS(Recepciones!$C$5:$C$2000,Recepciones!$B$5:$B$2000,Config!$A$24,Recepciones!$A$5:$A$2000,"&gt;"&amp;$A597,Recepciones!$A$5:$A$2000,"&lt;="&amp;$A598)&gt;0,SUMIFS(Recepciones!$C$5:$C$2000,Recepciones!$B$5:$B$2000,Config!$A$24,Recepciones!$A$5:$A$2000,"&gt;"&amp;$A597,Recepciones!$A$5:$A$2000,"&lt;="&amp;$A598),MAX(0,F598-F597)))</f>
        <v/>
      </c>
      <c r="H598" s="24" t="str">
        <f aca="false">IF($A598="","",MAX(0,F597+G598-F598))</f>
        <v/>
      </c>
      <c r="I598" s="24" t="str">
        <f aca="false">IF($A598="","",Stock_Diario!G598)</f>
        <v/>
      </c>
      <c r="J598" s="24" t="str">
        <f aca="false">IF($A598="","",IF(SUMIFS(Recepciones!$C$5:$C$2000,Recepciones!$B$5:$B$2000,Config!$A$25,Recepciones!$A$5:$A$2000,"&gt;"&amp;$A597,Recepciones!$A$5:$A$2000,"&lt;="&amp;$A598)&gt;0,SUMIFS(Recepciones!$C$5:$C$2000,Recepciones!$B$5:$B$2000,Config!$A$25,Recepciones!$A$5:$A$2000,"&gt;"&amp;$A597,Recepciones!$A$5:$A$2000,"&lt;="&amp;$A598),MAX(0,I598-I597)))</f>
        <v/>
      </c>
      <c r="K598" s="24" t="str">
        <f aca="false">IF($A598="","",MAX(0,I597+J598-I598))</f>
        <v/>
      </c>
      <c r="L598" s="24" t="str">
        <f aca="false">IF($A598="","",E598+H598+K598)</f>
        <v/>
      </c>
      <c r="M598" s="4" t="str">
        <f aca="false">IF($A598="","",IF(AND(D598+G598+J598&gt;0,SUMIFS(Recepciones!$C$5:$C$2000,Recepciones!$A$5:$A$2000,"&gt;"&amp;$A597,Recepciones!$A$5:$A$2000,"&lt;="&amp;$A598)=0),"Aumento de stock sin recepción registrada",IF(B598&gt;1,"Intervalo de "&amp;B598&amp;" días","")))</f>
        <v/>
      </c>
    </row>
    <row r="599" customFormat="false" ht="15" hidden="false" customHeight="false" outlineLevel="0" collapsed="false">
      <c r="A599" s="5" t="str">
        <f aca="false">IF(Stock_Diario!A599="","",Stock_Diario!A599)</f>
        <v/>
      </c>
      <c r="B599" s="4" t="str">
        <f aca="false">IF($A599="","",$A599-$A598)</f>
        <v/>
      </c>
      <c r="C599" s="24" t="str">
        <f aca="false">IF($A599="","",Stock_Diario!E599)</f>
        <v/>
      </c>
      <c r="D599" s="24" t="str">
        <f aca="false">IF($A599="","",IF(SUMIFS(Recepciones!$C$5:$C$2000,Recepciones!$B$5:$B$2000,Config!$A$23,Recepciones!$A$5:$A$2000,"&gt;"&amp;$A598,Recepciones!$A$5:$A$2000,"&lt;="&amp;$A599)&gt;0,SUMIFS(Recepciones!$C$5:$C$2000,Recepciones!$B$5:$B$2000,Config!$A$23,Recepciones!$A$5:$A$2000,"&gt;"&amp;$A598,Recepciones!$A$5:$A$2000,"&lt;="&amp;$A599),MAX(0,C599-C598)))</f>
        <v/>
      </c>
      <c r="E599" s="24" t="str">
        <f aca="false">IF($A599="","",MAX(0,C598+D599-C599))</f>
        <v/>
      </c>
      <c r="F599" s="24" t="str">
        <f aca="false">IF($A599="","",Stock_Diario!F599)</f>
        <v/>
      </c>
      <c r="G599" s="24" t="str">
        <f aca="false">IF($A599="","",IF(SUMIFS(Recepciones!$C$5:$C$2000,Recepciones!$B$5:$B$2000,Config!$A$24,Recepciones!$A$5:$A$2000,"&gt;"&amp;$A598,Recepciones!$A$5:$A$2000,"&lt;="&amp;$A599)&gt;0,SUMIFS(Recepciones!$C$5:$C$2000,Recepciones!$B$5:$B$2000,Config!$A$24,Recepciones!$A$5:$A$2000,"&gt;"&amp;$A598,Recepciones!$A$5:$A$2000,"&lt;="&amp;$A599),MAX(0,F599-F598)))</f>
        <v/>
      </c>
      <c r="H599" s="24" t="str">
        <f aca="false">IF($A599="","",MAX(0,F598+G599-F599))</f>
        <v/>
      </c>
      <c r="I599" s="24" t="str">
        <f aca="false">IF($A599="","",Stock_Diario!G599)</f>
        <v/>
      </c>
      <c r="J599" s="24" t="str">
        <f aca="false">IF($A599="","",IF(SUMIFS(Recepciones!$C$5:$C$2000,Recepciones!$B$5:$B$2000,Config!$A$25,Recepciones!$A$5:$A$2000,"&gt;"&amp;$A598,Recepciones!$A$5:$A$2000,"&lt;="&amp;$A599)&gt;0,SUMIFS(Recepciones!$C$5:$C$2000,Recepciones!$B$5:$B$2000,Config!$A$25,Recepciones!$A$5:$A$2000,"&gt;"&amp;$A598,Recepciones!$A$5:$A$2000,"&lt;="&amp;$A599),MAX(0,I599-I598)))</f>
        <v/>
      </c>
      <c r="K599" s="24" t="str">
        <f aca="false">IF($A599="","",MAX(0,I598+J599-I599))</f>
        <v/>
      </c>
      <c r="L599" s="24" t="str">
        <f aca="false">IF($A599="","",E599+H599+K599)</f>
        <v/>
      </c>
      <c r="M599" s="4" t="str">
        <f aca="false">IF($A599="","",IF(AND(D599+G599+J599&gt;0,SUMIFS(Recepciones!$C$5:$C$2000,Recepciones!$A$5:$A$2000,"&gt;"&amp;$A598,Recepciones!$A$5:$A$2000,"&lt;="&amp;$A599)=0),"Aumento de stock sin recepción registrada",IF(B599&gt;1,"Intervalo de "&amp;B599&amp;" días","")))</f>
        <v/>
      </c>
    </row>
    <row r="600" customFormat="false" ht="15" hidden="false" customHeight="false" outlineLevel="0" collapsed="false">
      <c r="A600" s="5" t="str">
        <f aca="false">IF(Stock_Diario!A600="","",Stock_Diario!A600)</f>
        <v/>
      </c>
      <c r="B600" s="4" t="str">
        <f aca="false">IF($A600="","",$A600-$A599)</f>
        <v/>
      </c>
      <c r="C600" s="24" t="str">
        <f aca="false">IF($A600="","",Stock_Diario!E600)</f>
        <v/>
      </c>
      <c r="D600" s="24" t="str">
        <f aca="false">IF($A600="","",IF(SUMIFS(Recepciones!$C$5:$C$2000,Recepciones!$B$5:$B$2000,Config!$A$23,Recepciones!$A$5:$A$2000,"&gt;"&amp;$A599,Recepciones!$A$5:$A$2000,"&lt;="&amp;$A600)&gt;0,SUMIFS(Recepciones!$C$5:$C$2000,Recepciones!$B$5:$B$2000,Config!$A$23,Recepciones!$A$5:$A$2000,"&gt;"&amp;$A599,Recepciones!$A$5:$A$2000,"&lt;="&amp;$A600),MAX(0,C600-C599)))</f>
        <v/>
      </c>
      <c r="E600" s="24" t="str">
        <f aca="false">IF($A600="","",MAX(0,C599+D600-C600))</f>
        <v/>
      </c>
      <c r="F600" s="24" t="str">
        <f aca="false">IF($A600="","",Stock_Diario!F600)</f>
        <v/>
      </c>
      <c r="G600" s="24" t="str">
        <f aca="false">IF($A600="","",IF(SUMIFS(Recepciones!$C$5:$C$2000,Recepciones!$B$5:$B$2000,Config!$A$24,Recepciones!$A$5:$A$2000,"&gt;"&amp;$A599,Recepciones!$A$5:$A$2000,"&lt;="&amp;$A600)&gt;0,SUMIFS(Recepciones!$C$5:$C$2000,Recepciones!$B$5:$B$2000,Config!$A$24,Recepciones!$A$5:$A$2000,"&gt;"&amp;$A599,Recepciones!$A$5:$A$2000,"&lt;="&amp;$A600),MAX(0,F600-F599)))</f>
        <v/>
      </c>
      <c r="H600" s="24" t="str">
        <f aca="false">IF($A600="","",MAX(0,F599+G600-F600))</f>
        <v/>
      </c>
      <c r="I600" s="24" t="str">
        <f aca="false">IF($A600="","",Stock_Diario!G600)</f>
        <v/>
      </c>
      <c r="J600" s="24" t="str">
        <f aca="false">IF($A600="","",IF(SUMIFS(Recepciones!$C$5:$C$2000,Recepciones!$B$5:$B$2000,Config!$A$25,Recepciones!$A$5:$A$2000,"&gt;"&amp;$A599,Recepciones!$A$5:$A$2000,"&lt;="&amp;$A600)&gt;0,SUMIFS(Recepciones!$C$5:$C$2000,Recepciones!$B$5:$B$2000,Config!$A$25,Recepciones!$A$5:$A$2000,"&gt;"&amp;$A599,Recepciones!$A$5:$A$2000,"&lt;="&amp;$A600),MAX(0,I600-I599)))</f>
        <v/>
      </c>
      <c r="K600" s="24" t="str">
        <f aca="false">IF($A600="","",MAX(0,I599+J600-I600))</f>
        <v/>
      </c>
      <c r="L600" s="24" t="str">
        <f aca="false">IF($A600="","",E600+H600+K600)</f>
        <v/>
      </c>
      <c r="M600" s="4" t="str">
        <f aca="false">IF($A600="","",IF(AND(D600+G600+J600&gt;0,SUMIFS(Recepciones!$C$5:$C$2000,Recepciones!$A$5:$A$2000,"&gt;"&amp;$A599,Recepciones!$A$5:$A$2000,"&lt;="&amp;$A600)=0),"Aumento de stock sin recepción registrada",IF(B600&gt;1,"Intervalo de "&amp;B600&amp;" días","")))</f>
        <v/>
      </c>
    </row>
    <row r="601" customFormat="false" ht="15" hidden="false" customHeight="false" outlineLevel="0" collapsed="false">
      <c r="A601" s="5" t="str">
        <f aca="false">IF(Stock_Diario!A601="","",Stock_Diario!A601)</f>
        <v/>
      </c>
      <c r="B601" s="4" t="str">
        <f aca="false">IF($A601="","",$A601-$A600)</f>
        <v/>
      </c>
      <c r="C601" s="24" t="str">
        <f aca="false">IF($A601="","",Stock_Diario!E601)</f>
        <v/>
      </c>
      <c r="D601" s="24" t="str">
        <f aca="false">IF($A601="","",IF(SUMIFS(Recepciones!$C$5:$C$2000,Recepciones!$B$5:$B$2000,Config!$A$23,Recepciones!$A$5:$A$2000,"&gt;"&amp;$A600,Recepciones!$A$5:$A$2000,"&lt;="&amp;$A601)&gt;0,SUMIFS(Recepciones!$C$5:$C$2000,Recepciones!$B$5:$B$2000,Config!$A$23,Recepciones!$A$5:$A$2000,"&gt;"&amp;$A600,Recepciones!$A$5:$A$2000,"&lt;="&amp;$A601),MAX(0,C601-C600)))</f>
        <v/>
      </c>
      <c r="E601" s="24" t="str">
        <f aca="false">IF($A601="","",MAX(0,C600+D601-C601))</f>
        <v/>
      </c>
      <c r="F601" s="24" t="str">
        <f aca="false">IF($A601="","",Stock_Diario!F601)</f>
        <v/>
      </c>
      <c r="G601" s="24" t="str">
        <f aca="false">IF($A601="","",IF(SUMIFS(Recepciones!$C$5:$C$2000,Recepciones!$B$5:$B$2000,Config!$A$24,Recepciones!$A$5:$A$2000,"&gt;"&amp;$A600,Recepciones!$A$5:$A$2000,"&lt;="&amp;$A601)&gt;0,SUMIFS(Recepciones!$C$5:$C$2000,Recepciones!$B$5:$B$2000,Config!$A$24,Recepciones!$A$5:$A$2000,"&gt;"&amp;$A600,Recepciones!$A$5:$A$2000,"&lt;="&amp;$A601),MAX(0,F601-F600)))</f>
        <v/>
      </c>
      <c r="H601" s="24" t="str">
        <f aca="false">IF($A601="","",MAX(0,F600+G601-F601))</f>
        <v/>
      </c>
      <c r="I601" s="24" t="str">
        <f aca="false">IF($A601="","",Stock_Diario!G601)</f>
        <v/>
      </c>
      <c r="J601" s="24" t="str">
        <f aca="false">IF($A601="","",IF(SUMIFS(Recepciones!$C$5:$C$2000,Recepciones!$B$5:$B$2000,Config!$A$25,Recepciones!$A$5:$A$2000,"&gt;"&amp;$A600,Recepciones!$A$5:$A$2000,"&lt;="&amp;$A601)&gt;0,SUMIFS(Recepciones!$C$5:$C$2000,Recepciones!$B$5:$B$2000,Config!$A$25,Recepciones!$A$5:$A$2000,"&gt;"&amp;$A600,Recepciones!$A$5:$A$2000,"&lt;="&amp;$A601),MAX(0,I601-I600)))</f>
        <v/>
      </c>
      <c r="K601" s="24" t="str">
        <f aca="false">IF($A601="","",MAX(0,I600+J601-I601))</f>
        <v/>
      </c>
      <c r="L601" s="24" t="str">
        <f aca="false">IF($A601="","",E601+H601+K601)</f>
        <v/>
      </c>
      <c r="M601" s="4" t="str">
        <f aca="false">IF($A601="","",IF(AND(D601+G601+J601&gt;0,SUMIFS(Recepciones!$C$5:$C$2000,Recepciones!$A$5:$A$2000,"&gt;"&amp;$A600,Recepciones!$A$5:$A$2000,"&lt;="&amp;$A601)=0),"Aumento de stock sin recepción registrada",IF(B601&gt;1,"Intervalo de "&amp;B601&amp;" días","")))</f>
        <v/>
      </c>
    </row>
    <row r="602" customFormat="false" ht="15" hidden="false" customHeight="false" outlineLevel="0" collapsed="false">
      <c r="A602" s="5" t="str">
        <f aca="false">IF(Stock_Diario!A602="","",Stock_Diario!A602)</f>
        <v/>
      </c>
      <c r="B602" s="4" t="str">
        <f aca="false">IF($A602="","",$A602-$A601)</f>
        <v/>
      </c>
      <c r="C602" s="24" t="str">
        <f aca="false">IF($A602="","",Stock_Diario!E602)</f>
        <v/>
      </c>
      <c r="D602" s="24" t="str">
        <f aca="false">IF($A602="","",IF(SUMIFS(Recepciones!$C$5:$C$2000,Recepciones!$B$5:$B$2000,Config!$A$23,Recepciones!$A$5:$A$2000,"&gt;"&amp;$A601,Recepciones!$A$5:$A$2000,"&lt;="&amp;$A602)&gt;0,SUMIFS(Recepciones!$C$5:$C$2000,Recepciones!$B$5:$B$2000,Config!$A$23,Recepciones!$A$5:$A$2000,"&gt;"&amp;$A601,Recepciones!$A$5:$A$2000,"&lt;="&amp;$A602),MAX(0,C602-C601)))</f>
        <v/>
      </c>
      <c r="E602" s="24" t="str">
        <f aca="false">IF($A602="","",MAX(0,C601+D602-C602))</f>
        <v/>
      </c>
      <c r="F602" s="24" t="str">
        <f aca="false">IF($A602="","",Stock_Diario!F602)</f>
        <v/>
      </c>
      <c r="G602" s="24" t="str">
        <f aca="false">IF($A602="","",IF(SUMIFS(Recepciones!$C$5:$C$2000,Recepciones!$B$5:$B$2000,Config!$A$24,Recepciones!$A$5:$A$2000,"&gt;"&amp;$A601,Recepciones!$A$5:$A$2000,"&lt;="&amp;$A602)&gt;0,SUMIFS(Recepciones!$C$5:$C$2000,Recepciones!$B$5:$B$2000,Config!$A$24,Recepciones!$A$5:$A$2000,"&gt;"&amp;$A601,Recepciones!$A$5:$A$2000,"&lt;="&amp;$A602),MAX(0,F602-F601)))</f>
        <v/>
      </c>
      <c r="H602" s="24" t="str">
        <f aca="false">IF($A602="","",MAX(0,F601+G602-F602))</f>
        <v/>
      </c>
      <c r="I602" s="24" t="str">
        <f aca="false">IF($A602="","",Stock_Diario!G602)</f>
        <v/>
      </c>
      <c r="J602" s="24" t="str">
        <f aca="false">IF($A602="","",IF(SUMIFS(Recepciones!$C$5:$C$2000,Recepciones!$B$5:$B$2000,Config!$A$25,Recepciones!$A$5:$A$2000,"&gt;"&amp;$A601,Recepciones!$A$5:$A$2000,"&lt;="&amp;$A602)&gt;0,SUMIFS(Recepciones!$C$5:$C$2000,Recepciones!$B$5:$B$2000,Config!$A$25,Recepciones!$A$5:$A$2000,"&gt;"&amp;$A601,Recepciones!$A$5:$A$2000,"&lt;="&amp;$A602),MAX(0,I602-I601)))</f>
        <v/>
      </c>
      <c r="K602" s="24" t="str">
        <f aca="false">IF($A602="","",MAX(0,I601+J602-I602))</f>
        <v/>
      </c>
      <c r="L602" s="24" t="str">
        <f aca="false">IF($A602="","",E602+H602+K602)</f>
        <v/>
      </c>
      <c r="M602" s="4" t="str">
        <f aca="false">IF($A602="","",IF(AND(D602+G602+J602&gt;0,SUMIFS(Recepciones!$C$5:$C$2000,Recepciones!$A$5:$A$2000,"&gt;"&amp;$A601,Recepciones!$A$5:$A$2000,"&lt;="&amp;$A602)=0),"Aumento de stock sin recepción registrada",IF(B602&gt;1,"Intervalo de "&amp;B602&amp;" días","")))</f>
        <v/>
      </c>
    </row>
    <row r="603" customFormat="false" ht="15" hidden="false" customHeight="false" outlineLevel="0" collapsed="false">
      <c r="A603" s="5" t="str">
        <f aca="false">IF(Stock_Diario!A603="","",Stock_Diario!A603)</f>
        <v/>
      </c>
      <c r="B603" s="4" t="str">
        <f aca="false">IF($A603="","",$A603-$A602)</f>
        <v/>
      </c>
      <c r="C603" s="24" t="str">
        <f aca="false">IF($A603="","",Stock_Diario!E603)</f>
        <v/>
      </c>
      <c r="D603" s="24" t="str">
        <f aca="false">IF($A603="","",IF(SUMIFS(Recepciones!$C$5:$C$2000,Recepciones!$B$5:$B$2000,Config!$A$23,Recepciones!$A$5:$A$2000,"&gt;"&amp;$A602,Recepciones!$A$5:$A$2000,"&lt;="&amp;$A603)&gt;0,SUMIFS(Recepciones!$C$5:$C$2000,Recepciones!$B$5:$B$2000,Config!$A$23,Recepciones!$A$5:$A$2000,"&gt;"&amp;$A602,Recepciones!$A$5:$A$2000,"&lt;="&amp;$A603),MAX(0,C603-C602)))</f>
        <v/>
      </c>
      <c r="E603" s="24" t="str">
        <f aca="false">IF($A603="","",MAX(0,C602+D603-C603))</f>
        <v/>
      </c>
      <c r="F603" s="24" t="str">
        <f aca="false">IF($A603="","",Stock_Diario!F603)</f>
        <v/>
      </c>
      <c r="G603" s="24" t="str">
        <f aca="false">IF($A603="","",IF(SUMIFS(Recepciones!$C$5:$C$2000,Recepciones!$B$5:$B$2000,Config!$A$24,Recepciones!$A$5:$A$2000,"&gt;"&amp;$A602,Recepciones!$A$5:$A$2000,"&lt;="&amp;$A603)&gt;0,SUMIFS(Recepciones!$C$5:$C$2000,Recepciones!$B$5:$B$2000,Config!$A$24,Recepciones!$A$5:$A$2000,"&gt;"&amp;$A602,Recepciones!$A$5:$A$2000,"&lt;="&amp;$A603),MAX(0,F603-F602)))</f>
        <v/>
      </c>
      <c r="H603" s="24" t="str">
        <f aca="false">IF($A603="","",MAX(0,F602+G603-F603))</f>
        <v/>
      </c>
      <c r="I603" s="24" t="str">
        <f aca="false">IF($A603="","",Stock_Diario!G603)</f>
        <v/>
      </c>
      <c r="J603" s="24" t="str">
        <f aca="false">IF($A603="","",IF(SUMIFS(Recepciones!$C$5:$C$2000,Recepciones!$B$5:$B$2000,Config!$A$25,Recepciones!$A$5:$A$2000,"&gt;"&amp;$A602,Recepciones!$A$5:$A$2000,"&lt;="&amp;$A603)&gt;0,SUMIFS(Recepciones!$C$5:$C$2000,Recepciones!$B$5:$B$2000,Config!$A$25,Recepciones!$A$5:$A$2000,"&gt;"&amp;$A602,Recepciones!$A$5:$A$2000,"&lt;="&amp;$A603),MAX(0,I603-I602)))</f>
        <v/>
      </c>
      <c r="K603" s="24" t="str">
        <f aca="false">IF($A603="","",MAX(0,I602+J603-I603))</f>
        <v/>
      </c>
      <c r="L603" s="24" t="str">
        <f aca="false">IF($A603="","",E603+H603+K603)</f>
        <v/>
      </c>
      <c r="M603" s="4" t="str">
        <f aca="false">IF($A603="","",IF(AND(D603+G603+J603&gt;0,SUMIFS(Recepciones!$C$5:$C$2000,Recepciones!$A$5:$A$2000,"&gt;"&amp;$A602,Recepciones!$A$5:$A$2000,"&lt;="&amp;$A603)=0),"Aumento de stock sin recepción registrada",IF(B603&gt;1,"Intervalo de "&amp;B603&amp;" días","")))</f>
        <v/>
      </c>
    </row>
    <row r="604" customFormat="false" ht="15" hidden="false" customHeight="false" outlineLevel="0" collapsed="false">
      <c r="A604" s="5" t="str">
        <f aca="false">IF(Stock_Diario!A604="","",Stock_Diario!A604)</f>
        <v/>
      </c>
      <c r="B604" s="4" t="str">
        <f aca="false">IF($A604="","",$A604-$A603)</f>
        <v/>
      </c>
      <c r="C604" s="24" t="str">
        <f aca="false">IF($A604="","",Stock_Diario!E604)</f>
        <v/>
      </c>
      <c r="D604" s="24" t="str">
        <f aca="false">IF($A604="","",IF(SUMIFS(Recepciones!$C$5:$C$2000,Recepciones!$B$5:$B$2000,Config!$A$23,Recepciones!$A$5:$A$2000,"&gt;"&amp;$A603,Recepciones!$A$5:$A$2000,"&lt;="&amp;$A604)&gt;0,SUMIFS(Recepciones!$C$5:$C$2000,Recepciones!$B$5:$B$2000,Config!$A$23,Recepciones!$A$5:$A$2000,"&gt;"&amp;$A603,Recepciones!$A$5:$A$2000,"&lt;="&amp;$A604),MAX(0,C604-C603)))</f>
        <v/>
      </c>
      <c r="E604" s="24" t="str">
        <f aca="false">IF($A604="","",MAX(0,C603+D604-C604))</f>
        <v/>
      </c>
      <c r="F604" s="24" t="str">
        <f aca="false">IF($A604="","",Stock_Diario!F604)</f>
        <v/>
      </c>
      <c r="G604" s="24" t="str">
        <f aca="false">IF($A604="","",IF(SUMIFS(Recepciones!$C$5:$C$2000,Recepciones!$B$5:$B$2000,Config!$A$24,Recepciones!$A$5:$A$2000,"&gt;"&amp;$A603,Recepciones!$A$5:$A$2000,"&lt;="&amp;$A604)&gt;0,SUMIFS(Recepciones!$C$5:$C$2000,Recepciones!$B$5:$B$2000,Config!$A$24,Recepciones!$A$5:$A$2000,"&gt;"&amp;$A603,Recepciones!$A$5:$A$2000,"&lt;="&amp;$A604),MAX(0,F604-F603)))</f>
        <v/>
      </c>
      <c r="H604" s="24" t="str">
        <f aca="false">IF($A604="","",MAX(0,F603+G604-F604))</f>
        <v/>
      </c>
      <c r="I604" s="24" t="str">
        <f aca="false">IF($A604="","",Stock_Diario!G604)</f>
        <v/>
      </c>
      <c r="J604" s="24" t="str">
        <f aca="false">IF($A604="","",IF(SUMIFS(Recepciones!$C$5:$C$2000,Recepciones!$B$5:$B$2000,Config!$A$25,Recepciones!$A$5:$A$2000,"&gt;"&amp;$A603,Recepciones!$A$5:$A$2000,"&lt;="&amp;$A604)&gt;0,SUMIFS(Recepciones!$C$5:$C$2000,Recepciones!$B$5:$B$2000,Config!$A$25,Recepciones!$A$5:$A$2000,"&gt;"&amp;$A603,Recepciones!$A$5:$A$2000,"&lt;="&amp;$A604),MAX(0,I604-I603)))</f>
        <v/>
      </c>
      <c r="K604" s="24" t="str">
        <f aca="false">IF($A604="","",MAX(0,I603+J604-I604))</f>
        <v/>
      </c>
      <c r="L604" s="24" t="str">
        <f aca="false">IF($A604="","",E604+H604+K604)</f>
        <v/>
      </c>
      <c r="M604" s="4" t="str">
        <f aca="false">IF($A604="","",IF(AND(D604+G604+J604&gt;0,SUMIFS(Recepciones!$C$5:$C$2000,Recepciones!$A$5:$A$2000,"&gt;"&amp;$A603,Recepciones!$A$5:$A$2000,"&lt;="&amp;$A604)=0),"Aumento de stock sin recepción registrada",IF(B604&gt;1,"Intervalo de "&amp;B604&amp;" días","")))</f>
        <v/>
      </c>
    </row>
    <row r="605" customFormat="false" ht="15" hidden="false" customHeight="false" outlineLevel="0" collapsed="false">
      <c r="A605" s="5" t="str">
        <f aca="false">IF(Stock_Diario!A605="","",Stock_Diario!A605)</f>
        <v/>
      </c>
      <c r="B605" s="4" t="str">
        <f aca="false">IF($A605="","",$A605-$A604)</f>
        <v/>
      </c>
      <c r="C605" s="24" t="str">
        <f aca="false">IF($A605="","",Stock_Diario!E605)</f>
        <v/>
      </c>
      <c r="D605" s="24" t="str">
        <f aca="false">IF($A605="","",IF(SUMIFS(Recepciones!$C$5:$C$2000,Recepciones!$B$5:$B$2000,Config!$A$23,Recepciones!$A$5:$A$2000,"&gt;"&amp;$A604,Recepciones!$A$5:$A$2000,"&lt;="&amp;$A605)&gt;0,SUMIFS(Recepciones!$C$5:$C$2000,Recepciones!$B$5:$B$2000,Config!$A$23,Recepciones!$A$5:$A$2000,"&gt;"&amp;$A604,Recepciones!$A$5:$A$2000,"&lt;="&amp;$A605),MAX(0,C605-C604)))</f>
        <v/>
      </c>
      <c r="E605" s="24" t="str">
        <f aca="false">IF($A605="","",MAX(0,C604+D605-C605))</f>
        <v/>
      </c>
      <c r="F605" s="24" t="str">
        <f aca="false">IF($A605="","",Stock_Diario!F605)</f>
        <v/>
      </c>
      <c r="G605" s="24" t="str">
        <f aca="false">IF($A605="","",IF(SUMIFS(Recepciones!$C$5:$C$2000,Recepciones!$B$5:$B$2000,Config!$A$24,Recepciones!$A$5:$A$2000,"&gt;"&amp;$A604,Recepciones!$A$5:$A$2000,"&lt;="&amp;$A605)&gt;0,SUMIFS(Recepciones!$C$5:$C$2000,Recepciones!$B$5:$B$2000,Config!$A$24,Recepciones!$A$5:$A$2000,"&gt;"&amp;$A604,Recepciones!$A$5:$A$2000,"&lt;="&amp;$A605),MAX(0,F605-F604)))</f>
        <v/>
      </c>
      <c r="H605" s="24" t="str">
        <f aca="false">IF($A605="","",MAX(0,F604+G605-F605))</f>
        <v/>
      </c>
      <c r="I605" s="24" t="str">
        <f aca="false">IF($A605="","",Stock_Diario!G605)</f>
        <v/>
      </c>
      <c r="J605" s="24" t="str">
        <f aca="false">IF($A605="","",IF(SUMIFS(Recepciones!$C$5:$C$2000,Recepciones!$B$5:$B$2000,Config!$A$25,Recepciones!$A$5:$A$2000,"&gt;"&amp;$A604,Recepciones!$A$5:$A$2000,"&lt;="&amp;$A605)&gt;0,SUMIFS(Recepciones!$C$5:$C$2000,Recepciones!$B$5:$B$2000,Config!$A$25,Recepciones!$A$5:$A$2000,"&gt;"&amp;$A604,Recepciones!$A$5:$A$2000,"&lt;="&amp;$A605),MAX(0,I605-I604)))</f>
        <v/>
      </c>
      <c r="K605" s="24" t="str">
        <f aca="false">IF($A605="","",MAX(0,I604+J605-I605))</f>
        <v/>
      </c>
      <c r="L605" s="24" t="str">
        <f aca="false">IF($A605="","",E605+H605+K605)</f>
        <v/>
      </c>
      <c r="M605" s="4" t="str">
        <f aca="false">IF($A605="","",IF(AND(D605+G605+J605&gt;0,SUMIFS(Recepciones!$C$5:$C$2000,Recepciones!$A$5:$A$2000,"&gt;"&amp;$A604,Recepciones!$A$5:$A$2000,"&lt;="&amp;$A605)=0),"Aumento de stock sin recepción registrada",IF(B605&gt;1,"Intervalo de "&amp;B605&amp;" días","")))</f>
        <v/>
      </c>
    </row>
    <row r="606" customFormat="false" ht="15" hidden="false" customHeight="false" outlineLevel="0" collapsed="false">
      <c r="A606" s="5" t="str">
        <f aca="false">IF(Stock_Diario!A606="","",Stock_Diario!A606)</f>
        <v/>
      </c>
      <c r="B606" s="4" t="str">
        <f aca="false">IF($A606="","",$A606-$A605)</f>
        <v/>
      </c>
      <c r="C606" s="24" t="str">
        <f aca="false">IF($A606="","",Stock_Diario!E606)</f>
        <v/>
      </c>
      <c r="D606" s="24" t="str">
        <f aca="false">IF($A606="","",IF(SUMIFS(Recepciones!$C$5:$C$2000,Recepciones!$B$5:$B$2000,Config!$A$23,Recepciones!$A$5:$A$2000,"&gt;"&amp;$A605,Recepciones!$A$5:$A$2000,"&lt;="&amp;$A606)&gt;0,SUMIFS(Recepciones!$C$5:$C$2000,Recepciones!$B$5:$B$2000,Config!$A$23,Recepciones!$A$5:$A$2000,"&gt;"&amp;$A605,Recepciones!$A$5:$A$2000,"&lt;="&amp;$A606),MAX(0,C606-C605)))</f>
        <v/>
      </c>
      <c r="E606" s="24" t="str">
        <f aca="false">IF($A606="","",MAX(0,C605+D606-C606))</f>
        <v/>
      </c>
      <c r="F606" s="24" t="str">
        <f aca="false">IF($A606="","",Stock_Diario!F606)</f>
        <v/>
      </c>
      <c r="G606" s="24" t="str">
        <f aca="false">IF($A606="","",IF(SUMIFS(Recepciones!$C$5:$C$2000,Recepciones!$B$5:$B$2000,Config!$A$24,Recepciones!$A$5:$A$2000,"&gt;"&amp;$A605,Recepciones!$A$5:$A$2000,"&lt;="&amp;$A606)&gt;0,SUMIFS(Recepciones!$C$5:$C$2000,Recepciones!$B$5:$B$2000,Config!$A$24,Recepciones!$A$5:$A$2000,"&gt;"&amp;$A605,Recepciones!$A$5:$A$2000,"&lt;="&amp;$A606),MAX(0,F606-F605)))</f>
        <v/>
      </c>
      <c r="H606" s="24" t="str">
        <f aca="false">IF($A606="","",MAX(0,F605+G606-F606))</f>
        <v/>
      </c>
      <c r="I606" s="24" t="str">
        <f aca="false">IF($A606="","",Stock_Diario!G606)</f>
        <v/>
      </c>
      <c r="J606" s="24" t="str">
        <f aca="false">IF($A606="","",IF(SUMIFS(Recepciones!$C$5:$C$2000,Recepciones!$B$5:$B$2000,Config!$A$25,Recepciones!$A$5:$A$2000,"&gt;"&amp;$A605,Recepciones!$A$5:$A$2000,"&lt;="&amp;$A606)&gt;0,SUMIFS(Recepciones!$C$5:$C$2000,Recepciones!$B$5:$B$2000,Config!$A$25,Recepciones!$A$5:$A$2000,"&gt;"&amp;$A605,Recepciones!$A$5:$A$2000,"&lt;="&amp;$A606),MAX(0,I606-I605)))</f>
        <v/>
      </c>
      <c r="K606" s="24" t="str">
        <f aca="false">IF($A606="","",MAX(0,I605+J606-I606))</f>
        <v/>
      </c>
      <c r="L606" s="24" t="str">
        <f aca="false">IF($A606="","",E606+H606+K606)</f>
        <v/>
      </c>
      <c r="M606" s="4" t="str">
        <f aca="false">IF($A606="","",IF(AND(D606+G606+J606&gt;0,SUMIFS(Recepciones!$C$5:$C$2000,Recepciones!$A$5:$A$2000,"&gt;"&amp;$A605,Recepciones!$A$5:$A$2000,"&lt;="&amp;$A606)=0),"Aumento de stock sin recepción registrada",IF(B606&gt;1,"Intervalo de "&amp;B606&amp;" días","")))</f>
        <v/>
      </c>
    </row>
    <row r="607" customFormat="false" ht="15" hidden="false" customHeight="false" outlineLevel="0" collapsed="false">
      <c r="A607" s="5" t="str">
        <f aca="false">IF(Stock_Diario!A607="","",Stock_Diario!A607)</f>
        <v/>
      </c>
      <c r="B607" s="4" t="str">
        <f aca="false">IF($A607="","",$A607-$A606)</f>
        <v/>
      </c>
      <c r="C607" s="24" t="str">
        <f aca="false">IF($A607="","",Stock_Diario!E607)</f>
        <v/>
      </c>
      <c r="D607" s="24" t="str">
        <f aca="false">IF($A607="","",IF(SUMIFS(Recepciones!$C$5:$C$2000,Recepciones!$B$5:$B$2000,Config!$A$23,Recepciones!$A$5:$A$2000,"&gt;"&amp;$A606,Recepciones!$A$5:$A$2000,"&lt;="&amp;$A607)&gt;0,SUMIFS(Recepciones!$C$5:$C$2000,Recepciones!$B$5:$B$2000,Config!$A$23,Recepciones!$A$5:$A$2000,"&gt;"&amp;$A606,Recepciones!$A$5:$A$2000,"&lt;="&amp;$A607),MAX(0,C607-C606)))</f>
        <v/>
      </c>
      <c r="E607" s="24" t="str">
        <f aca="false">IF($A607="","",MAX(0,C606+D607-C607))</f>
        <v/>
      </c>
      <c r="F607" s="24" t="str">
        <f aca="false">IF($A607="","",Stock_Diario!F607)</f>
        <v/>
      </c>
      <c r="G607" s="24" t="str">
        <f aca="false">IF($A607="","",IF(SUMIFS(Recepciones!$C$5:$C$2000,Recepciones!$B$5:$B$2000,Config!$A$24,Recepciones!$A$5:$A$2000,"&gt;"&amp;$A606,Recepciones!$A$5:$A$2000,"&lt;="&amp;$A607)&gt;0,SUMIFS(Recepciones!$C$5:$C$2000,Recepciones!$B$5:$B$2000,Config!$A$24,Recepciones!$A$5:$A$2000,"&gt;"&amp;$A606,Recepciones!$A$5:$A$2000,"&lt;="&amp;$A607),MAX(0,F607-F606)))</f>
        <v/>
      </c>
      <c r="H607" s="24" t="str">
        <f aca="false">IF($A607="","",MAX(0,F606+G607-F607))</f>
        <v/>
      </c>
      <c r="I607" s="24" t="str">
        <f aca="false">IF($A607="","",Stock_Diario!G607)</f>
        <v/>
      </c>
      <c r="J607" s="24" t="str">
        <f aca="false">IF($A607="","",IF(SUMIFS(Recepciones!$C$5:$C$2000,Recepciones!$B$5:$B$2000,Config!$A$25,Recepciones!$A$5:$A$2000,"&gt;"&amp;$A606,Recepciones!$A$5:$A$2000,"&lt;="&amp;$A607)&gt;0,SUMIFS(Recepciones!$C$5:$C$2000,Recepciones!$B$5:$B$2000,Config!$A$25,Recepciones!$A$5:$A$2000,"&gt;"&amp;$A606,Recepciones!$A$5:$A$2000,"&lt;="&amp;$A607),MAX(0,I607-I606)))</f>
        <v/>
      </c>
      <c r="K607" s="24" t="str">
        <f aca="false">IF($A607="","",MAX(0,I606+J607-I607))</f>
        <v/>
      </c>
      <c r="L607" s="24" t="str">
        <f aca="false">IF($A607="","",E607+H607+K607)</f>
        <v/>
      </c>
      <c r="M607" s="4" t="str">
        <f aca="false">IF($A607="","",IF(AND(D607+G607+J607&gt;0,SUMIFS(Recepciones!$C$5:$C$2000,Recepciones!$A$5:$A$2000,"&gt;"&amp;$A606,Recepciones!$A$5:$A$2000,"&lt;="&amp;$A607)=0),"Aumento de stock sin recepción registrada",IF(B607&gt;1,"Intervalo de "&amp;B607&amp;" días","")))</f>
        <v/>
      </c>
    </row>
    <row r="608" customFormat="false" ht="15" hidden="false" customHeight="false" outlineLevel="0" collapsed="false">
      <c r="A608" s="5" t="str">
        <f aca="false">IF(Stock_Diario!A608="","",Stock_Diario!A608)</f>
        <v/>
      </c>
      <c r="B608" s="4" t="str">
        <f aca="false">IF($A608="","",$A608-$A607)</f>
        <v/>
      </c>
      <c r="C608" s="24" t="str">
        <f aca="false">IF($A608="","",Stock_Diario!E608)</f>
        <v/>
      </c>
      <c r="D608" s="24" t="str">
        <f aca="false">IF($A608="","",IF(SUMIFS(Recepciones!$C$5:$C$2000,Recepciones!$B$5:$B$2000,Config!$A$23,Recepciones!$A$5:$A$2000,"&gt;"&amp;$A607,Recepciones!$A$5:$A$2000,"&lt;="&amp;$A608)&gt;0,SUMIFS(Recepciones!$C$5:$C$2000,Recepciones!$B$5:$B$2000,Config!$A$23,Recepciones!$A$5:$A$2000,"&gt;"&amp;$A607,Recepciones!$A$5:$A$2000,"&lt;="&amp;$A608),MAX(0,C608-C607)))</f>
        <v/>
      </c>
      <c r="E608" s="24" t="str">
        <f aca="false">IF($A608="","",MAX(0,C607+D608-C608))</f>
        <v/>
      </c>
      <c r="F608" s="24" t="str">
        <f aca="false">IF($A608="","",Stock_Diario!F608)</f>
        <v/>
      </c>
      <c r="G608" s="24" t="str">
        <f aca="false">IF($A608="","",IF(SUMIFS(Recepciones!$C$5:$C$2000,Recepciones!$B$5:$B$2000,Config!$A$24,Recepciones!$A$5:$A$2000,"&gt;"&amp;$A607,Recepciones!$A$5:$A$2000,"&lt;="&amp;$A608)&gt;0,SUMIFS(Recepciones!$C$5:$C$2000,Recepciones!$B$5:$B$2000,Config!$A$24,Recepciones!$A$5:$A$2000,"&gt;"&amp;$A607,Recepciones!$A$5:$A$2000,"&lt;="&amp;$A608),MAX(0,F608-F607)))</f>
        <v/>
      </c>
      <c r="H608" s="24" t="str">
        <f aca="false">IF($A608="","",MAX(0,F607+G608-F608))</f>
        <v/>
      </c>
      <c r="I608" s="24" t="str">
        <f aca="false">IF($A608="","",Stock_Diario!G608)</f>
        <v/>
      </c>
      <c r="J608" s="24" t="str">
        <f aca="false">IF($A608="","",IF(SUMIFS(Recepciones!$C$5:$C$2000,Recepciones!$B$5:$B$2000,Config!$A$25,Recepciones!$A$5:$A$2000,"&gt;"&amp;$A607,Recepciones!$A$5:$A$2000,"&lt;="&amp;$A608)&gt;0,SUMIFS(Recepciones!$C$5:$C$2000,Recepciones!$B$5:$B$2000,Config!$A$25,Recepciones!$A$5:$A$2000,"&gt;"&amp;$A607,Recepciones!$A$5:$A$2000,"&lt;="&amp;$A608),MAX(0,I608-I607)))</f>
        <v/>
      </c>
      <c r="K608" s="24" t="str">
        <f aca="false">IF($A608="","",MAX(0,I607+J608-I608))</f>
        <v/>
      </c>
      <c r="L608" s="24" t="str">
        <f aca="false">IF($A608="","",E608+H608+K608)</f>
        <v/>
      </c>
      <c r="M608" s="4" t="str">
        <f aca="false">IF($A608="","",IF(AND(D608+G608+J608&gt;0,SUMIFS(Recepciones!$C$5:$C$2000,Recepciones!$A$5:$A$2000,"&gt;"&amp;$A607,Recepciones!$A$5:$A$2000,"&lt;="&amp;$A608)=0),"Aumento de stock sin recepción registrada",IF(B608&gt;1,"Intervalo de "&amp;B608&amp;" días","")))</f>
        <v/>
      </c>
    </row>
    <row r="609" customFormat="false" ht="15" hidden="false" customHeight="false" outlineLevel="0" collapsed="false">
      <c r="A609" s="5" t="str">
        <f aca="false">IF(Stock_Diario!A609="","",Stock_Diario!A609)</f>
        <v/>
      </c>
      <c r="B609" s="4" t="str">
        <f aca="false">IF($A609="","",$A609-$A608)</f>
        <v/>
      </c>
      <c r="C609" s="24" t="str">
        <f aca="false">IF($A609="","",Stock_Diario!E609)</f>
        <v/>
      </c>
      <c r="D609" s="24" t="str">
        <f aca="false">IF($A609="","",IF(SUMIFS(Recepciones!$C$5:$C$2000,Recepciones!$B$5:$B$2000,Config!$A$23,Recepciones!$A$5:$A$2000,"&gt;"&amp;$A608,Recepciones!$A$5:$A$2000,"&lt;="&amp;$A609)&gt;0,SUMIFS(Recepciones!$C$5:$C$2000,Recepciones!$B$5:$B$2000,Config!$A$23,Recepciones!$A$5:$A$2000,"&gt;"&amp;$A608,Recepciones!$A$5:$A$2000,"&lt;="&amp;$A609),MAX(0,C609-C608)))</f>
        <v/>
      </c>
      <c r="E609" s="24" t="str">
        <f aca="false">IF($A609="","",MAX(0,C608+D609-C609))</f>
        <v/>
      </c>
      <c r="F609" s="24" t="str">
        <f aca="false">IF($A609="","",Stock_Diario!F609)</f>
        <v/>
      </c>
      <c r="G609" s="24" t="str">
        <f aca="false">IF($A609="","",IF(SUMIFS(Recepciones!$C$5:$C$2000,Recepciones!$B$5:$B$2000,Config!$A$24,Recepciones!$A$5:$A$2000,"&gt;"&amp;$A608,Recepciones!$A$5:$A$2000,"&lt;="&amp;$A609)&gt;0,SUMIFS(Recepciones!$C$5:$C$2000,Recepciones!$B$5:$B$2000,Config!$A$24,Recepciones!$A$5:$A$2000,"&gt;"&amp;$A608,Recepciones!$A$5:$A$2000,"&lt;="&amp;$A609),MAX(0,F609-F608)))</f>
        <v/>
      </c>
      <c r="H609" s="24" t="str">
        <f aca="false">IF($A609="","",MAX(0,F608+G609-F609))</f>
        <v/>
      </c>
      <c r="I609" s="24" t="str">
        <f aca="false">IF($A609="","",Stock_Diario!G609)</f>
        <v/>
      </c>
      <c r="J609" s="24" t="str">
        <f aca="false">IF($A609="","",IF(SUMIFS(Recepciones!$C$5:$C$2000,Recepciones!$B$5:$B$2000,Config!$A$25,Recepciones!$A$5:$A$2000,"&gt;"&amp;$A608,Recepciones!$A$5:$A$2000,"&lt;="&amp;$A609)&gt;0,SUMIFS(Recepciones!$C$5:$C$2000,Recepciones!$B$5:$B$2000,Config!$A$25,Recepciones!$A$5:$A$2000,"&gt;"&amp;$A608,Recepciones!$A$5:$A$2000,"&lt;="&amp;$A609),MAX(0,I609-I608)))</f>
        <v/>
      </c>
      <c r="K609" s="24" t="str">
        <f aca="false">IF($A609="","",MAX(0,I608+J609-I609))</f>
        <v/>
      </c>
      <c r="L609" s="24" t="str">
        <f aca="false">IF($A609="","",E609+H609+K609)</f>
        <v/>
      </c>
      <c r="M609" s="4" t="str">
        <f aca="false">IF($A609="","",IF(AND(D609+G609+J609&gt;0,SUMIFS(Recepciones!$C$5:$C$2000,Recepciones!$A$5:$A$2000,"&gt;"&amp;$A608,Recepciones!$A$5:$A$2000,"&lt;="&amp;$A609)=0),"Aumento de stock sin recepción registrada",IF(B609&gt;1,"Intervalo de "&amp;B609&amp;" días","")))</f>
        <v/>
      </c>
    </row>
    <row r="610" customFormat="false" ht="15" hidden="false" customHeight="false" outlineLevel="0" collapsed="false">
      <c r="A610" s="5" t="str">
        <f aca="false">IF(Stock_Diario!A610="","",Stock_Diario!A610)</f>
        <v/>
      </c>
      <c r="B610" s="4" t="str">
        <f aca="false">IF($A610="","",$A610-$A609)</f>
        <v/>
      </c>
      <c r="C610" s="24" t="str">
        <f aca="false">IF($A610="","",Stock_Diario!E610)</f>
        <v/>
      </c>
      <c r="D610" s="24" t="str">
        <f aca="false">IF($A610="","",IF(SUMIFS(Recepciones!$C$5:$C$2000,Recepciones!$B$5:$B$2000,Config!$A$23,Recepciones!$A$5:$A$2000,"&gt;"&amp;$A609,Recepciones!$A$5:$A$2000,"&lt;="&amp;$A610)&gt;0,SUMIFS(Recepciones!$C$5:$C$2000,Recepciones!$B$5:$B$2000,Config!$A$23,Recepciones!$A$5:$A$2000,"&gt;"&amp;$A609,Recepciones!$A$5:$A$2000,"&lt;="&amp;$A610),MAX(0,C610-C609)))</f>
        <v/>
      </c>
      <c r="E610" s="24" t="str">
        <f aca="false">IF($A610="","",MAX(0,C609+D610-C610))</f>
        <v/>
      </c>
      <c r="F610" s="24" t="str">
        <f aca="false">IF($A610="","",Stock_Diario!F610)</f>
        <v/>
      </c>
      <c r="G610" s="24" t="str">
        <f aca="false">IF($A610="","",IF(SUMIFS(Recepciones!$C$5:$C$2000,Recepciones!$B$5:$B$2000,Config!$A$24,Recepciones!$A$5:$A$2000,"&gt;"&amp;$A609,Recepciones!$A$5:$A$2000,"&lt;="&amp;$A610)&gt;0,SUMIFS(Recepciones!$C$5:$C$2000,Recepciones!$B$5:$B$2000,Config!$A$24,Recepciones!$A$5:$A$2000,"&gt;"&amp;$A609,Recepciones!$A$5:$A$2000,"&lt;="&amp;$A610),MAX(0,F610-F609)))</f>
        <v/>
      </c>
      <c r="H610" s="24" t="str">
        <f aca="false">IF($A610="","",MAX(0,F609+G610-F610))</f>
        <v/>
      </c>
      <c r="I610" s="24" t="str">
        <f aca="false">IF($A610="","",Stock_Diario!G610)</f>
        <v/>
      </c>
      <c r="J610" s="24" t="str">
        <f aca="false">IF($A610="","",IF(SUMIFS(Recepciones!$C$5:$C$2000,Recepciones!$B$5:$B$2000,Config!$A$25,Recepciones!$A$5:$A$2000,"&gt;"&amp;$A609,Recepciones!$A$5:$A$2000,"&lt;="&amp;$A610)&gt;0,SUMIFS(Recepciones!$C$5:$C$2000,Recepciones!$B$5:$B$2000,Config!$A$25,Recepciones!$A$5:$A$2000,"&gt;"&amp;$A609,Recepciones!$A$5:$A$2000,"&lt;="&amp;$A610),MAX(0,I610-I609)))</f>
        <v/>
      </c>
      <c r="K610" s="24" t="str">
        <f aca="false">IF($A610="","",MAX(0,I609+J610-I610))</f>
        <v/>
      </c>
      <c r="L610" s="24" t="str">
        <f aca="false">IF($A610="","",E610+H610+K610)</f>
        <v/>
      </c>
      <c r="M610" s="4" t="str">
        <f aca="false">IF($A610="","",IF(AND(D610+G610+J610&gt;0,SUMIFS(Recepciones!$C$5:$C$2000,Recepciones!$A$5:$A$2000,"&gt;"&amp;$A609,Recepciones!$A$5:$A$2000,"&lt;="&amp;$A610)=0),"Aumento de stock sin recepción registrada",IF(B610&gt;1,"Intervalo de "&amp;B610&amp;" días","")))</f>
        <v/>
      </c>
    </row>
    <row r="611" customFormat="false" ht="15" hidden="false" customHeight="false" outlineLevel="0" collapsed="false">
      <c r="A611" s="5" t="str">
        <f aca="false">IF(Stock_Diario!A611="","",Stock_Diario!A611)</f>
        <v/>
      </c>
      <c r="B611" s="4" t="str">
        <f aca="false">IF($A611="","",$A611-$A610)</f>
        <v/>
      </c>
      <c r="C611" s="24" t="str">
        <f aca="false">IF($A611="","",Stock_Diario!E611)</f>
        <v/>
      </c>
      <c r="D611" s="24" t="str">
        <f aca="false">IF($A611="","",IF(SUMIFS(Recepciones!$C$5:$C$2000,Recepciones!$B$5:$B$2000,Config!$A$23,Recepciones!$A$5:$A$2000,"&gt;"&amp;$A610,Recepciones!$A$5:$A$2000,"&lt;="&amp;$A611)&gt;0,SUMIFS(Recepciones!$C$5:$C$2000,Recepciones!$B$5:$B$2000,Config!$A$23,Recepciones!$A$5:$A$2000,"&gt;"&amp;$A610,Recepciones!$A$5:$A$2000,"&lt;="&amp;$A611),MAX(0,C611-C610)))</f>
        <v/>
      </c>
      <c r="E611" s="24" t="str">
        <f aca="false">IF($A611="","",MAX(0,C610+D611-C611))</f>
        <v/>
      </c>
      <c r="F611" s="24" t="str">
        <f aca="false">IF($A611="","",Stock_Diario!F611)</f>
        <v/>
      </c>
      <c r="G611" s="24" t="str">
        <f aca="false">IF($A611="","",IF(SUMIFS(Recepciones!$C$5:$C$2000,Recepciones!$B$5:$B$2000,Config!$A$24,Recepciones!$A$5:$A$2000,"&gt;"&amp;$A610,Recepciones!$A$5:$A$2000,"&lt;="&amp;$A611)&gt;0,SUMIFS(Recepciones!$C$5:$C$2000,Recepciones!$B$5:$B$2000,Config!$A$24,Recepciones!$A$5:$A$2000,"&gt;"&amp;$A610,Recepciones!$A$5:$A$2000,"&lt;="&amp;$A611),MAX(0,F611-F610)))</f>
        <v/>
      </c>
      <c r="H611" s="24" t="str">
        <f aca="false">IF($A611="","",MAX(0,F610+G611-F611))</f>
        <v/>
      </c>
      <c r="I611" s="24" t="str">
        <f aca="false">IF($A611="","",Stock_Diario!G611)</f>
        <v/>
      </c>
      <c r="J611" s="24" t="str">
        <f aca="false">IF($A611="","",IF(SUMIFS(Recepciones!$C$5:$C$2000,Recepciones!$B$5:$B$2000,Config!$A$25,Recepciones!$A$5:$A$2000,"&gt;"&amp;$A610,Recepciones!$A$5:$A$2000,"&lt;="&amp;$A611)&gt;0,SUMIFS(Recepciones!$C$5:$C$2000,Recepciones!$B$5:$B$2000,Config!$A$25,Recepciones!$A$5:$A$2000,"&gt;"&amp;$A610,Recepciones!$A$5:$A$2000,"&lt;="&amp;$A611),MAX(0,I611-I610)))</f>
        <v/>
      </c>
      <c r="K611" s="24" t="str">
        <f aca="false">IF($A611="","",MAX(0,I610+J611-I611))</f>
        <v/>
      </c>
      <c r="L611" s="24" t="str">
        <f aca="false">IF($A611="","",E611+H611+K611)</f>
        <v/>
      </c>
      <c r="M611" s="4" t="str">
        <f aca="false">IF($A611="","",IF(AND(D611+G611+J611&gt;0,SUMIFS(Recepciones!$C$5:$C$2000,Recepciones!$A$5:$A$2000,"&gt;"&amp;$A610,Recepciones!$A$5:$A$2000,"&lt;="&amp;$A611)=0),"Aumento de stock sin recepción registrada",IF(B611&gt;1,"Intervalo de "&amp;B611&amp;" días","")))</f>
        <v/>
      </c>
    </row>
    <row r="612" customFormat="false" ht="15" hidden="false" customHeight="false" outlineLevel="0" collapsed="false">
      <c r="A612" s="5" t="str">
        <f aca="false">IF(Stock_Diario!A612="","",Stock_Diario!A612)</f>
        <v/>
      </c>
      <c r="B612" s="4" t="str">
        <f aca="false">IF($A612="","",$A612-$A611)</f>
        <v/>
      </c>
      <c r="C612" s="24" t="str">
        <f aca="false">IF($A612="","",Stock_Diario!E612)</f>
        <v/>
      </c>
      <c r="D612" s="24" t="str">
        <f aca="false">IF($A612="","",IF(SUMIFS(Recepciones!$C$5:$C$2000,Recepciones!$B$5:$B$2000,Config!$A$23,Recepciones!$A$5:$A$2000,"&gt;"&amp;$A611,Recepciones!$A$5:$A$2000,"&lt;="&amp;$A612)&gt;0,SUMIFS(Recepciones!$C$5:$C$2000,Recepciones!$B$5:$B$2000,Config!$A$23,Recepciones!$A$5:$A$2000,"&gt;"&amp;$A611,Recepciones!$A$5:$A$2000,"&lt;="&amp;$A612),MAX(0,C612-C611)))</f>
        <v/>
      </c>
      <c r="E612" s="24" t="str">
        <f aca="false">IF($A612="","",MAX(0,C611+D612-C612))</f>
        <v/>
      </c>
      <c r="F612" s="24" t="str">
        <f aca="false">IF($A612="","",Stock_Diario!F612)</f>
        <v/>
      </c>
      <c r="G612" s="24" t="str">
        <f aca="false">IF($A612="","",IF(SUMIFS(Recepciones!$C$5:$C$2000,Recepciones!$B$5:$B$2000,Config!$A$24,Recepciones!$A$5:$A$2000,"&gt;"&amp;$A611,Recepciones!$A$5:$A$2000,"&lt;="&amp;$A612)&gt;0,SUMIFS(Recepciones!$C$5:$C$2000,Recepciones!$B$5:$B$2000,Config!$A$24,Recepciones!$A$5:$A$2000,"&gt;"&amp;$A611,Recepciones!$A$5:$A$2000,"&lt;="&amp;$A612),MAX(0,F612-F611)))</f>
        <v/>
      </c>
      <c r="H612" s="24" t="str">
        <f aca="false">IF($A612="","",MAX(0,F611+G612-F612))</f>
        <v/>
      </c>
      <c r="I612" s="24" t="str">
        <f aca="false">IF($A612="","",Stock_Diario!G612)</f>
        <v/>
      </c>
      <c r="J612" s="24" t="str">
        <f aca="false">IF($A612="","",IF(SUMIFS(Recepciones!$C$5:$C$2000,Recepciones!$B$5:$B$2000,Config!$A$25,Recepciones!$A$5:$A$2000,"&gt;"&amp;$A611,Recepciones!$A$5:$A$2000,"&lt;="&amp;$A612)&gt;0,SUMIFS(Recepciones!$C$5:$C$2000,Recepciones!$B$5:$B$2000,Config!$A$25,Recepciones!$A$5:$A$2000,"&gt;"&amp;$A611,Recepciones!$A$5:$A$2000,"&lt;="&amp;$A612),MAX(0,I612-I611)))</f>
        <v/>
      </c>
      <c r="K612" s="24" t="str">
        <f aca="false">IF($A612="","",MAX(0,I611+J612-I612))</f>
        <v/>
      </c>
      <c r="L612" s="24" t="str">
        <f aca="false">IF($A612="","",E612+H612+K612)</f>
        <v/>
      </c>
      <c r="M612" s="4" t="str">
        <f aca="false">IF($A612="","",IF(AND(D612+G612+J612&gt;0,SUMIFS(Recepciones!$C$5:$C$2000,Recepciones!$A$5:$A$2000,"&gt;"&amp;$A611,Recepciones!$A$5:$A$2000,"&lt;="&amp;$A612)=0),"Aumento de stock sin recepción registrada",IF(B612&gt;1,"Intervalo de "&amp;B612&amp;" días","")))</f>
        <v/>
      </c>
    </row>
    <row r="613" customFormat="false" ht="15" hidden="false" customHeight="false" outlineLevel="0" collapsed="false">
      <c r="A613" s="5" t="str">
        <f aca="false">IF(Stock_Diario!A613="","",Stock_Diario!A613)</f>
        <v/>
      </c>
      <c r="B613" s="4" t="str">
        <f aca="false">IF($A613="","",$A613-$A612)</f>
        <v/>
      </c>
      <c r="C613" s="24" t="str">
        <f aca="false">IF($A613="","",Stock_Diario!E613)</f>
        <v/>
      </c>
      <c r="D613" s="24" t="str">
        <f aca="false">IF($A613="","",IF(SUMIFS(Recepciones!$C$5:$C$2000,Recepciones!$B$5:$B$2000,Config!$A$23,Recepciones!$A$5:$A$2000,"&gt;"&amp;$A612,Recepciones!$A$5:$A$2000,"&lt;="&amp;$A613)&gt;0,SUMIFS(Recepciones!$C$5:$C$2000,Recepciones!$B$5:$B$2000,Config!$A$23,Recepciones!$A$5:$A$2000,"&gt;"&amp;$A612,Recepciones!$A$5:$A$2000,"&lt;="&amp;$A613),MAX(0,C613-C612)))</f>
        <v/>
      </c>
      <c r="E613" s="24" t="str">
        <f aca="false">IF($A613="","",MAX(0,C612+D613-C613))</f>
        <v/>
      </c>
      <c r="F613" s="24" t="str">
        <f aca="false">IF($A613="","",Stock_Diario!F613)</f>
        <v/>
      </c>
      <c r="G613" s="24" t="str">
        <f aca="false">IF($A613="","",IF(SUMIFS(Recepciones!$C$5:$C$2000,Recepciones!$B$5:$B$2000,Config!$A$24,Recepciones!$A$5:$A$2000,"&gt;"&amp;$A612,Recepciones!$A$5:$A$2000,"&lt;="&amp;$A613)&gt;0,SUMIFS(Recepciones!$C$5:$C$2000,Recepciones!$B$5:$B$2000,Config!$A$24,Recepciones!$A$5:$A$2000,"&gt;"&amp;$A612,Recepciones!$A$5:$A$2000,"&lt;="&amp;$A613),MAX(0,F613-F612)))</f>
        <v/>
      </c>
      <c r="H613" s="24" t="str">
        <f aca="false">IF($A613="","",MAX(0,F612+G613-F613))</f>
        <v/>
      </c>
      <c r="I613" s="24" t="str">
        <f aca="false">IF($A613="","",Stock_Diario!G613)</f>
        <v/>
      </c>
      <c r="J613" s="24" t="str">
        <f aca="false">IF($A613="","",IF(SUMIFS(Recepciones!$C$5:$C$2000,Recepciones!$B$5:$B$2000,Config!$A$25,Recepciones!$A$5:$A$2000,"&gt;"&amp;$A612,Recepciones!$A$5:$A$2000,"&lt;="&amp;$A613)&gt;0,SUMIFS(Recepciones!$C$5:$C$2000,Recepciones!$B$5:$B$2000,Config!$A$25,Recepciones!$A$5:$A$2000,"&gt;"&amp;$A612,Recepciones!$A$5:$A$2000,"&lt;="&amp;$A613),MAX(0,I613-I612)))</f>
        <v/>
      </c>
      <c r="K613" s="24" t="str">
        <f aca="false">IF($A613="","",MAX(0,I612+J613-I613))</f>
        <v/>
      </c>
      <c r="L613" s="24" t="str">
        <f aca="false">IF($A613="","",E613+H613+K613)</f>
        <v/>
      </c>
      <c r="M613" s="4" t="str">
        <f aca="false">IF($A613="","",IF(AND(D613+G613+J613&gt;0,SUMIFS(Recepciones!$C$5:$C$2000,Recepciones!$A$5:$A$2000,"&gt;"&amp;$A612,Recepciones!$A$5:$A$2000,"&lt;="&amp;$A613)=0),"Aumento de stock sin recepción registrada",IF(B613&gt;1,"Intervalo de "&amp;B613&amp;" días","")))</f>
        <v/>
      </c>
    </row>
    <row r="614" customFormat="false" ht="15" hidden="false" customHeight="false" outlineLevel="0" collapsed="false">
      <c r="A614" s="5" t="str">
        <f aca="false">IF(Stock_Diario!A614="","",Stock_Diario!A614)</f>
        <v/>
      </c>
      <c r="B614" s="4" t="str">
        <f aca="false">IF($A614="","",$A614-$A613)</f>
        <v/>
      </c>
      <c r="C614" s="24" t="str">
        <f aca="false">IF($A614="","",Stock_Diario!E614)</f>
        <v/>
      </c>
      <c r="D614" s="24" t="str">
        <f aca="false">IF($A614="","",IF(SUMIFS(Recepciones!$C$5:$C$2000,Recepciones!$B$5:$B$2000,Config!$A$23,Recepciones!$A$5:$A$2000,"&gt;"&amp;$A613,Recepciones!$A$5:$A$2000,"&lt;="&amp;$A614)&gt;0,SUMIFS(Recepciones!$C$5:$C$2000,Recepciones!$B$5:$B$2000,Config!$A$23,Recepciones!$A$5:$A$2000,"&gt;"&amp;$A613,Recepciones!$A$5:$A$2000,"&lt;="&amp;$A614),MAX(0,C614-C613)))</f>
        <v/>
      </c>
      <c r="E614" s="24" t="str">
        <f aca="false">IF($A614="","",MAX(0,C613+D614-C614))</f>
        <v/>
      </c>
      <c r="F614" s="24" t="str">
        <f aca="false">IF($A614="","",Stock_Diario!F614)</f>
        <v/>
      </c>
      <c r="G614" s="24" t="str">
        <f aca="false">IF($A614="","",IF(SUMIFS(Recepciones!$C$5:$C$2000,Recepciones!$B$5:$B$2000,Config!$A$24,Recepciones!$A$5:$A$2000,"&gt;"&amp;$A613,Recepciones!$A$5:$A$2000,"&lt;="&amp;$A614)&gt;0,SUMIFS(Recepciones!$C$5:$C$2000,Recepciones!$B$5:$B$2000,Config!$A$24,Recepciones!$A$5:$A$2000,"&gt;"&amp;$A613,Recepciones!$A$5:$A$2000,"&lt;="&amp;$A614),MAX(0,F614-F613)))</f>
        <v/>
      </c>
      <c r="H614" s="24" t="str">
        <f aca="false">IF($A614="","",MAX(0,F613+G614-F614))</f>
        <v/>
      </c>
      <c r="I614" s="24" t="str">
        <f aca="false">IF($A614="","",Stock_Diario!G614)</f>
        <v/>
      </c>
      <c r="J614" s="24" t="str">
        <f aca="false">IF($A614="","",IF(SUMIFS(Recepciones!$C$5:$C$2000,Recepciones!$B$5:$B$2000,Config!$A$25,Recepciones!$A$5:$A$2000,"&gt;"&amp;$A613,Recepciones!$A$5:$A$2000,"&lt;="&amp;$A614)&gt;0,SUMIFS(Recepciones!$C$5:$C$2000,Recepciones!$B$5:$B$2000,Config!$A$25,Recepciones!$A$5:$A$2000,"&gt;"&amp;$A613,Recepciones!$A$5:$A$2000,"&lt;="&amp;$A614),MAX(0,I614-I613)))</f>
        <v/>
      </c>
      <c r="K614" s="24" t="str">
        <f aca="false">IF($A614="","",MAX(0,I613+J614-I614))</f>
        <v/>
      </c>
      <c r="L614" s="24" t="str">
        <f aca="false">IF($A614="","",E614+H614+K614)</f>
        <v/>
      </c>
      <c r="M614" s="4" t="str">
        <f aca="false">IF($A614="","",IF(AND(D614+G614+J614&gt;0,SUMIFS(Recepciones!$C$5:$C$2000,Recepciones!$A$5:$A$2000,"&gt;"&amp;$A613,Recepciones!$A$5:$A$2000,"&lt;="&amp;$A614)=0),"Aumento de stock sin recepción registrada",IF(B614&gt;1,"Intervalo de "&amp;B614&amp;" días","")))</f>
        <v/>
      </c>
    </row>
    <row r="615" customFormat="false" ht="15" hidden="false" customHeight="false" outlineLevel="0" collapsed="false">
      <c r="A615" s="5" t="str">
        <f aca="false">IF(Stock_Diario!A615="","",Stock_Diario!A615)</f>
        <v/>
      </c>
      <c r="B615" s="4" t="str">
        <f aca="false">IF($A615="","",$A615-$A614)</f>
        <v/>
      </c>
      <c r="C615" s="24" t="str">
        <f aca="false">IF($A615="","",Stock_Diario!E615)</f>
        <v/>
      </c>
      <c r="D615" s="24" t="str">
        <f aca="false">IF($A615="","",IF(SUMIFS(Recepciones!$C$5:$C$2000,Recepciones!$B$5:$B$2000,Config!$A$23,Recepciones!$A$5:$A$2000,"&gt;"&amp;$A614,Recepciones!$A$5:$A$2000,"&lt;="&amp;$A615)&gt;0,SUMIFS(Recepciones!$C$5:$C$2000,Recepciones!$B$5:$B$2000,Config!$A$23,Recepciones!$A$5:$A$2000,"&gt;"&amp;$A614,Recepciones!$A$5:$A$2000,"&lt;="&amp;$A615),MAX(0,C615-C614)))</f>
        <v/>
      </c>
      <c r="E615" s="24" t="str">
        <f aca="false">IF($A615="","",MAX(0,C614+D615-C615))</f>
        <v/>
      </c>
      <c r="F615" s="24" t="str">
        <f aca="false">IF($A615="","",Stock_Diario!F615)</f>
        <v/>
      </c>
      <c r="G615" s="24" t="str">
        <f aca="false">IF($A615="","",IF(SUMIFS(Recepciones!$C$5:$C$2000,Recepciones!$B$5:$B$2000,Config!$A$24,Recepciones!$A$5:$A$2000,"&gt;"&amp;$A614,Recepciones!$A$5:$A$2000,"&lt;="&amp;$A615)&gt;0,SUMIFS(Recepciones!$C$5:$C$2000,Recepciones!$B$5:$B$2000,Config!$A$24,Recepciones!$A$5:$A$2000,"&gt;"&amp;$A614,Recepciones!$A$5:$A$2000,"&lt;="&amp;$A615),MAX(0,F615-F614)))</f>
        <v/>
      </c>
      <c r="H615" s="24" t="str">
        <f aca="false">IF($A615="","",MAX(0,F614+G615-F615))</f>
        <v/>
      </c>
      <c r="I615" s="24" t="str">
        <f aca="false">IF($A615="","",Stock_Diario!G615)</f>
        <v/>
      </c>
      <c r="J615" s="24" t="str">
        <f aca="false">IF($A615="","",IF(SUMIFS(Recepciones!$C$5:$C$2000,Recepciones!$B$5:$B$2000,Config!$A$25,Recepciones!$A$5:$A$2000,"&gt;"&amp;$A614,Recepciones!$A$5:$A$2000,"&lt;="&amp;$A615)&gt;0,SUMIFS(Recepciones!$C$5:$C$2000,Recepciones!$B$5:$B$2000,Config!$A$25,Recepciones!$A$5:$A$2000,"&gt;"&amp;$A614,Recepciones!$A$5:$A$2000,"&lt;="&amp;$A615),MAX(0,I615-I614)))</f>
        <v/>
      </c>
      <c r="K615" s="24" t="str">
        <f aca="false">IF($A615="","",MAX(0,I614+J615-I615))</f>
        <v/>
      </c>
      <c r="L615" s="24" t="str">
        <f aca="false">IF($A615="","",E615+H615+K615)</f>
        <v/>
      </c>
      <c r="M615" s="4" t="str">
        <f aca="false">IF($A615="","",IF(AND(D615+G615+J615&gt;0,SUMIFS(Recepciones!$C$5:$C$2000,Recepciones!$A$5:$A$2000,"&gt;"&amp;$A614,Recepciones!$A$5:$A$2000,"&lt;="&amp;$A615)=0),"Aumento de stock sin recepción registrada",IF(B615&gt;1,"Intervalo de "&amp;B615&amp;" días","")))</f>
        <v/>
      </c>
    </row>
    <row r="616" customFormat="false" ht="15" hidden="false" customHeight="false" outlineLevel="0" collapsed="false">
      <c r="A616" s="5" t="str">
        <f aca="false">IF(Stock_Diario!A616="","",Stock_Diario!A616)</f>
        <v/>
      </c>
      <c r="B616" s="4" t="str">
        <f aca="false">IF($A616="","",$A616-$A615)</f>
        <v/>
      </c>
      <c r="C616" s="24" t="str">
        <f aca="false">IF($A616="","",Stock_Diario!E616)</f>
        <v/>
      </c>
      <c r="D616" s="24" t="str">
        <f aca="false">IF($A616="","",IF(SUMIFS(Recepciones!$C$5:$C$2000,Recepciones!$B$5:$B$2000,Config!$A$23,Recepciones!$A$5:$A$2000,"&gt;"&amp;$A615,Recepciones!$A$5:$A$2000,"&lt;="&amp;$A616)&gt;0,SUMIFS(Recepciones!$C$5:$C$2000,Recepciones!$B$5:$B$2000,Config!$A$23,Recepciones!$A$5:$A$2000,"&gt;"&amp;$A615,Recepciones!$A$5:$A$2000,"&lt;="&amp;$A616),MAX(0,C616-C615)))</f>
        <v/>
      </c>
      <c r="E616" s="24" t="str">
        <f aca="false">IF($A616="","",MAX(0,C615+D616-C616))</f>
        <v/>
      </c>
      <c r="F616" s="24" t="str">
        <f aca="false">IF($A616="","",Stock_Diario!F616)</f>
        <v/>
      </c>
      <c r="G616" s="24" t="str">
        <f aca="false">IF($A616="","",IF(SUMIFS(Recepciones!$C$5:$C$2000,Recepciones!$B$5:$B$2000,Config!$A$24,Recepciones!$A$5:$A$2000,"&gt;"&amp;$A615,Recepciones!$A$5:$A$2000,"&lt;="&amp;$A616)&gt;0,SUMIFS(Recepciones!$C$5:$C$2000,Recepciones!$B$5:$B$2000,Config!$A$24,Recepciones!$A$5:$A$2000,"&gt;"&amp;$A615,Recepciones!$A$5:$A$2000,"&lt;="&amp;$A616),MAX(0,F616-F615)))</f>
        <v/>
      </c>
      <c r="H616" s="24" t="str">
        <f aca="false">IF($A616="","",MAX(0,F615+G616-F616))</f>
        <v/>
      </c>
      <c r="I616" s="24" t="str">
        <f aca="false">IF($A616="","",Stock_Diario!G616)</f>
        <v/>
      </c>
      <c r="J616" s="24" t="str">
        <f aca="false">IF($A616="","",IF(SUMIFS(Recepciones!$C$5:$C$2000,Recepciones!$B$5:$B$2000,Config!$A$25,Recepciones!$A$5:$A$2000,"&gt;"&amp;$A615,Recepciones!$A$5:$A$2000,"&lt;="&amp;$A616)&gt;0,SUMIFS(Recepciones!$C$5:$C$2000,Recepciones!$B$5:$B$2000,Config!$A$25,Recepciones!$A$5:$A$2000,"&gt;"&amp;$A615,Recepciones!$A$5:$A$2000,"&lt;="&amp;$A616),MAX(0,I616-I615)))</f>
        <v/>
      </c>
      <c r="K616" s="24" t="str">
        <f aca="false">IF($A616="","",MAX(0,I615+J616-I616))</f>
        <v/>
      </c>
      <c r="L616" s="24" t="str">
        <f aca="false">IF($A616="","",E616+H616+K616)</f>
        <v/>
      </c>
      <c r="M616" s="4" t="str">
        <f aca="false">IF($A616="","",IF(AND(D616+G616+J616&gt;0,SUMIFS(Recepciones!$C$5:$C$2000,Recepciones!$A$5:$A$2000,"&gt;"&amp;$A615,Recepciones!$A$5:$A$2000,"&lt;="&amp;$A616)=0),"Aumento de stock sin recepción registrada",IF(B616&gt;1,"Intervalo de "&amp;B616&amp;" días","")))</f>
        <v/>
      </c>
    </row>
    <row r="617" customFormat="false" ht="15" hidden="false" customHeight="false" outlineLevel="0" collapsed="false">
      <c r="A617" s="5" t="str">
        <f aca="false">IF(Stock_Diario!A617="","",Stock_Diario!A617)</f>
        <v/>
      </c>
      <c r="B617" s="4" t="str">
        <f aca="false">IF($A617="","",$A617-$A616)</f>
        <v/>
      </c>
      <c r="C617" s="24" t="str">
        <f aca="false">IF($A617="","",Stock_Diario!E617)</f>
        <v/>
      </c>
      <c r="D617" s="24" t="str">
        <f aca="false">IF($A617="","",IF(SUMIFS(Recepciones!$C$5:$C$2000,Recepciones!$B$5:$B$2000,Config!$A$23,Recepciones!$A$5:$A$2000,"&gt;"&amp;$A616,Recepciones!$A$5:$A$2000,"&lt;="&amp;$A617)&gt;0,SUMIFS(Recepciones!$C$5:$C$2000,Recepciones!$B$5:$B$2000,Config!$A$23,Recepciones!$A$5:$A$2000,"&gt;"&amp;$A616,Recepciones!$A$5:$A$2000,"&lt;="&amp;$A617),MAX(0,C617-C616)))</f>
        <v/>
      </c>
      <c r="E617" s="24" t="str">
        <f aca="false">IF($A617="","",MAX(0,C616+D617-C617))</f>
        <v/>
      </c>
      <c r="F617" s="24" t="str">
        <f aca="false">IF($A617="","",Stock_Diario!F617)</f>
        <v/>
      </c>
      <c r="G617" s="24" t="str">
        <f aca="false">IF($A617="","",IF(SUMIFS(Recepciones!$C$5:$C$2000,Recepciones!$B$5:$B$2000,Config!$A$24,Recepciones!$A$5:$A$2000,"&gt;"&amp;$A616,Recepciones!$A$5:$A$2000,"&lt;="&amp;$A617)&gt;0,SUMIFS(Recepciones!$C$5:$C$2000,Recepciones!$B$5:$B$2000,Config!$A$24,Recepciones!$A$5:$A$2000,"&gt;"&amp;$A616,Recepciones!$A$5:$A$2000,"&lt;="&amp;$A617),MAX(0,F617-F616)))</f>
        <v/>
      </c>
      <c r="H617" s="24" t="str">
        <f aca="false">IF($A617="","",MAX(0,F616+G617-F617))</f>
        <v/>
      </c>
      <c r="I617" s="24" t="str">
        <f aca="false">IF($A617="","",Stock_Diario!G617)</f>
        <v/>
      </c>
      <c r="J617" s="24" t="str">
        <f aca="false">IF($A617="","",IF(SUMIFS(Recepciones!$C$5:$C$2000,Recepciones!$B$5:$B$2000,Config!$A$25,Recepciones!$A$5:$A$2000,"&gt;"&amp;$A616,Recepciones!$A$5:$A$2000,"&lt;="&amp;$A617)&gt;0,SUMIFS(Recepciones!$C$5:$C$2000,Recepciones!$B$5:$B$2000,Config!$A$25,Recepciones!$A$5:$A$2000,"&gt;"&amp;$A616,Recepciones!$A$5:$A$2000,"&lt;="&amp;$A617),MAX(0,I617-I616)))</f>
        <v/>
      </c>
      <c r="K617" s="24" t="str">
        <f aca="false">IF($A617="","",MAX(0,I616+J617-I617))</f>
        <v/>
      </c>
      <c r="L617" s="24" t="str">
        <f aca="false">IF($A617="","",E617+H617+K617)</f>
        <v/>
      </c>
      <c r="M617" s="4" t="str">
        <f aca="false">IF($A617="","",IF(AND(D617+G617+J617&gt;0,SUMIFS(Recepciones!$C$5:$C$2000,Recepciones!$A$5:$A$2000,"&gt;"&amp;$A616,Recepciones!$A$5:$A$2000,"&lt;="&amp;$A617)=0),"Aumento de stock sin recepción registrada",IF(B617&gt;1,"Intervalo de "&amp;B617&amp;" días","")))</f>
        <v/>
      </c>
    </row>
    <row r="618" customFormat="false" ht="15" hidden="false" customHeight="false" outlineLevel="0" collapsed="false">
      <c r="A618" s="5" t="str">
        <f aca="false">IF(Stock_Diario!A618="","",Stock_Diario!A618)</f>
        <v/>
      </c>
      <c r="B618" s="4" t="str">
        <f aca="false">IF($A618="","",$A618-$A617)</f>
        <v/>
      </c>
      <c r="C618" s="24" t="str">
        <f aca="false">IF($A618="","",Stock_Diario!E618)</f>
        <v/>
      </c>
      <c r="D618" s="24" t="str">
        <f aca="false">IF($A618="","",IF(SUMIFS(Recepciones!$C$5:$C$2000,Recepciones!$B$5:$B$2000,Config!$A$23,Recepciones!$A$5:$A$2000,"&gt;"&amp;$A617,Recepciones!$A$5:$A$2000,"&lt;="&amp;$A618)&gt;0,SUMIFS(Recepciones!$C$5:$C$2000,Recepciones!$B$5:$B$2000,Config!$A$23,Recepciones!$A$5:$A$2000,"&gt;"&amp;$A617,Recepciones!$A$5:$A$2000,"&lt;="&amp;$A618),MAX(0,C618-C617)))</f>
        <v/>
      </c>
      <c r="E618" s="24" t="str">
        <f aca="false">IF($A618="","",MAX(0,C617+D618-C618))</f>
        <v/>
      </c>
      <c r="F618" s="24" t="str">
        <f aca="false">IF($A618="","",Stock_Diario!F618)</f>
        <v/>
      </c>
      <c r="G618" s="24" t="str">
        <f aca="false">IF($A618="","",IF(SUMIFS(Recepciones!$C$5:$C$2000,Recepciones!$B$5:$B$2000,Config!$A$24,Recepciones!$A$5:$A$2000,"&gt;"&amp;$A617,Recepciones!$A$5:$A$2000,"&lt;="&amp;$A618)&gt;0,SUMIFS(Recepciones!$C$5:$C$2000,Recepciones!$B$5:$B$2000,Config!$A$24,Recepciones!$A$5:$A$2000,"&gt;"&amp;$A617,Recepciones!$A$5:$A$2000,"&lt;="&amp;$A618),MAX(0,F618-F617)))</f>
        <v/>
      </c>
      <c r="H618" s="24" t="str">
        <f aca="false">IF($A618="","",MAX(0,F617+G618-F618))</f>
        <v/>
      </c>
      <c r="I618" s="24" t="str">
        <f aca="false">IF($A618="","",Stock_Diario!G618)</f>
        <v/>
      </c>
      <c r="J618" s="24" t="str">
        <f aca="false">IF($A618="","",IF(SUMIFS(Recepciones!$C$5:$C$2000,Recepciones!$B$5:$B$2000,Config!$A$25,Recepciones!$A$5:$A$2000,"&gt;"&amp;$A617,Recepciones!$A$5:$A$2000,"&lt;="&amp;$A618)&gt;0,SUMIFS(Recepciones!$C$5:$C$2000,Recepciones!$B$5:$B$2000,Config!$A$25,Recepciones!$A$5:$A$2000,"&gt;"&amp;$A617,Recepciones!$A$5:$A$2000,"&lt;="&amp;$A618),MAX(0,I618-I617)))</f>
        <v/>
      </c>
      <c r="K618" s="24" t="str">
        <f aca="false">IF($A618="","",MAX(0,I617+J618-I618))</f>
        <v/>
      </c>
      <c r="L618" s="24" t="str">
        <f aca="false">IF($A618="","",E618+H618+K618)</f>
        <v/>
      </c>
      <c r="M618" s="4" t="str">
        <f aca="false">IF($A618="","",IF(AND(D618+G618+J618&gt;0,SUMIFS(Recepciones!$C$5:$C$2000,Recepciones!$A$5:$A$2000,"&gt;"&amp;$A617,Recepciones!$A$5:$A$2000,"&lt;="&amp;$A618)=0),"Aumento de stock sin recepción registrada",IF(B618&gt;1,"Intervalo de "&amp;B618&amp;" días","")))</f>
        <v/>
      </c>
    </row>
    <row r="619" customFormat="false" ht="15" hidden="false" customHeight="false" outlineLevel="0" collapsed="false">
      <c r="A619" s="5" t="str">
        <f aca="false">IF(Stock_Diario!A619="","",Stock_Diario!A619)</f>
        <v/>
      </c>
      <c r="B619" s="4" t="str">
        <f aca="false">IF($A619="","",$A619-$A618)</f>
        <v/>
      </c>
      <c r="C619" s="24" t="str">
        <f aca="false">IF($A619="","",Stock_Diario!E619)</f>
        <v/>
      </c>
      <c r="D619" s="24" t="str">
        <f aca="false">IF($A619="","",IF(SUMIFS(Recepciones!$C$5:$C$2000,Recepciones!$B$5:$B$2000,Config!$A$23,Recepciones!$A$5:$A$2000,"&gt;"&amp;$A618,Recepciones!$A$5:$A$2000,"&lt;="&amp;$A619)&gt;0,SUMIFS(Recepciones!$C$5:$C$2000,Recepciones!$B$5:$B$2000,Config!$A$23,Recepciones!$A$5:$A$2000,"&gt;"&amp;$A618,Recepciones!$A$5:$A$2000,"&lt;="&amp;$A619),MAX(0,C619-C618)))</f>
        <v/>
      </c>
      <c r="E619" s="24" t="str">
        <f aca="false">IF($A619="","",MAX(0,C618+D619-C619))</f>
        <v/>
      </c>
      <c r="F619" s="24" t="str">
        <f aca="false">IF($A619="","",Stock_Diario!F619)</f>
        <v/>
      </c>
      <c r="G619" s="24" t="str">
        <f aca="false">IF($A619="","",IF(SUMIFS(Recepciones!$C$5:$C$2000,Recepciones!$B$5:$B$2000,Config!$A$24,Recepciones!$A$5:$A$2000,"&gt;"&amp;$A618,Recepciones!$A$5:$A$2000,"&lt;="&amp;$A619)&gt;0,SUMIFS(Recepciones!$C$5:$C$2000,Recepciones!$B$5:$B$2000,Config!$A$24,Recepciones!$A$5:$A$2000,"&gt;"&amp;$A618,Recepciones!$A$5:$A$2000,"&lt;="&amp;$A619),MAX(0,F619-F618)))</f>
        <v/>
      </c>
      <c r="H619" s="24" t="str">
        <f aca="false">IF($A619="","",MAX(0,F618+G619-F619))</f>
        <v/>
      </c>
      <c r="I619" s="24" t="str">
        <f aca="false">IF($A619="","",Stock_Diario!G619)</f>
        <v/>
      </c>
      <c r="J619" s="24" t="str">
        <f aca="false">IF($A619="","",IF(SUMIFS(Recepciones!$C$5:$C$2000,Recepciones!$B$5:$B$2000,Config!$A$25,Recepciones!$A$5:$A$2000,"&gt;"&amp;$A618,Recepciones!$A$5:$A$2000,"&lt;="&amp;$A619)&gt;0,SUMIFS(Recepciones!$C$5:$C$2000,Recepciones!$B$5:$B$2000,Config!$A$25,Recepciones!$A$5:$A$2000,"&gt;"&amp;$A618,Recepciones!$A$5:$A$2000,"&lt;="&amp;$A619),MAX(0,I619-I618)))</f>
        <v/>
      </c>
      <c r="K619" s="24" t="str">
        <f aca="false">IF($A619="","",MAX(0,I618+J619-I619))</f>
        <v/>
      </c>
      <c r="L619" s="24" t="str">
        <f aca="false">IF($A619="","",E619+H619+K619)</f>
        <v/>
      </c>
      <c r="M619" s="4" t="str">
        <f aca="false">IF($A619="","",IF(AND(D619+G619+J619&gt;0,SUMIFS(Recepciones!$C$5:$C$2000,Recepciones!$A$5:$A$2000,"&gt;"&amp;$A618,Recepciones!$A$5:$A$2000,"&lt;="&amp;$A619)=0),"Aumento de stock sin recepción registrada",IF(B619&gt;1,"Intervalo de "&amp;B619&amp;" días","")))</f>
        <v/>
      </c>
    </row>
    <row r="620" customFormat="false" ht="15" hidden="false" customHeight="false" outlineLevel="0" collapsed="false">
      <c r="A620" s="5" t="str">
        <f aca="false">IF(Stock_Diario!A620="","",Stock_Diario!A620)</f>
        <v/>
      </c>
      <c r="B620" s="4" t="str">
        <f aca="false">IF($A620="","",$A620-$A619)</f>
        <v/>
      </c>
      <c r="C620" s="24" t="str">
        <f aca="false">IF($A620="","",Stock_Diario!E620)</f>
        <v/>
      </c>
      <c r="D620" s="24" t="str">
        <f aca="false">IF($A620="","",IF(SUMIFS(Recepciones!$C$5:$C$2000,Recepciones!$B$5:$B$2000,Config!$A$23,Recepciones!$A$5:$A$2000,"&gt;"&amp;$A619,Recepciones!$A$5:$A$2000,"&lt;="&amp;$A620)&gt;0,SUMIFS(Recepciones!$C$5:$C$2000,Recepciones!$B$5:$B$2000,Config!$A$23,Recepciones!$A$5:$A$2000,"&gt;"&amp;$A619,Recepciones!$A$5:$A$2000,"&lt;="&amp;$A620),MAX(0,C620-C619)))</f>
        <v/>
      </c>
      <c r="E620" s="24" t="str">
        <f aca="false">IF($A620="","",MAX(0,C619+D620-C620))</f>
        <v/>
      </c>
      <c r="F620" s="24" t="str">
        <f aca="false">IF($A620="","",Stock_Diario!F620)</f>
        <v/>
      </c>
      <c r="G620" s="24" t="str">
        <f aca="false">IF($A620="","",IF(SUMIFS(Recepciones!$C$5:$C$2000,Recepciones!$B$5:$B$2000,Config!$A$24,Recepciones!$A$5:$A$2000,"&gt;"&amp;$A619,Recepciones!$A$5:$A$2000,"&lt;="&amp;$A620)&gt;0,SUMIFS(Recepciones!$C$5:$C$2000,Recepciones!$B$5:$B$2000,Config!$A$24,Recepciones!$A$5:$A$2000,"&gt;"&amp;$A619,Recepciones!$A$5:$A$2000,"&lt;="&amp;$A620),MAX(0,F620-F619)))</f>
        <v/>
      </c>
      <c r="H620" s="24" t="str">
        <f aca="false">IF($A620="","",MAX(0,F619+G620-F620))</f>
        <v/>
      </c>
      <c r="I620" s="24" t="str">
        <f aca="false">IF($A620="","",Stock_Diario!G620)</f>
        <v/>
      </c>
      <c r="J620" s="24" t="str">
        <f aca="false">IF($A620="","",IF(SUMIFS(Recepciones!$C$5:$C$2000,Recepciones!$B$5:$B$2000,Config!$A$25,Recepciones!$A$5:$A$2000,"&gt;"&amp;$A619,Recepciones!$A$5:$A$2000,"&lt;="&amp;$A620)&gt;0,SUMIFS(Recepciones!$C$5:$C$2000,Recepciones!$B$5:$B$2000,Config!$A$25,Recepciones!$A$5:$A$2000,"&gt;"&amp;$A619,Recepciones!$A$5:$A$2000,"&lt;="&amp;$A620),MAX(0,I620-I619)))</f>
        <v/>
      </c>
      <c r="K620" s="24" t="str">
        <f aca="false">IF($A620="","",MAX(0,I619+J620-I620))</f>
        <v/>
      </c>
      <c r="L620" s="24" t="str">
        <f aca="false">IF($A620="","",E620+H620+K620)</f>
        <v/>
      </c>
      <c r="M620" s="4" t="str">
        <f aca="false">IF($A620="","",IF(AND(D620+G620+J620&gt;0,SUMIFS(Recepciones!$C$5:$C$2000,Recepciones!$A$5:$A$2000,"&gt;"&amp;$A619,Recepciones!$A$5:$A$2000,"&lt;="&amp;$A620)=0),"Aumento de stock sin recepción registrada",IF(B620&gt;1,"Intervalo de "&amp;B620&amp;" días","")))</f>
        <v/>
      </c>
    </row>
    <row r="621" customFormat="false" ht="15" hidden="false" customHeight="false" outlineLevel="0" collapsed="false">
      <c r="A621" s="5" t="str">
        <f aca="false">IF(Stock_Diario!A621="","",Stock_Diario!A621)</f>
        <v/>
      </c>
      <c r="B621" s="4" t="str">
        <f aca="false">IF($A621="","",$A621-$A620)</f>
        <v/>
      </c>
      <c r="C621" s="24" t="str">
        <f aca="false">IF($A621="","",Stock_Diario!E621)</f>
        <v/>
      </c>
      <c r="D621" s="24" t="str">
        <f aca="false">IF($A621="","",IF(SUMIFS(Recepciones!$C$5:$C$2000,Recepciones!$B$5:$B$2000,Config!$A$23,Recepciones!$A$5:$A$2000,"&gt;"&amp;$A620,Recepciones!$A$5:$A$2000,"&lt;="&amp;$A621)&gt;0,SUMIFS(Recepciones!$C$5:$C$2000,Recepciones!$B$5:$B$2000,Config!$A$23,Recepciones!$A$5:$A$2000,"&gt;"&amp;$A620,Recepciones!$A$5:$A$2000,"&lt;="&amp;$A621),MAX(0,C621-C620)))</f>
        <v/>
      </c>
      <c r="E621" s="24" t="str">
        <f aca="false">IF($A621="","",MAX(0,C620+D621-C621))</f>
        <v/>
      </c>
      <c r="F621" s="24" t="str">
        <f aca="false">IF($A621="","",Stock_Diario!F621)</f>
        <v/>
      </c>
      <c r="G621" s="24" t="str">
        <f aca="false">IF($A621="","",IF(SUMIFS(Recepciones!$C$5:$C$2000,Recepciones!$B$5:$B$2000,Config!$A$24,Recepciones!$A$5:$A$2000,"&gt;"&amp;$A620,Recepciones!$A$5:$A$2000,"&lt;="&amp;$A621)&gt;0,SUMIFS(Recepciones!$C$5:$C$2000,Recepciones!$B$5:$B$2000,Config!$A$24,Recepciones!$A$5:$A$2000,"&gt;"&amp;$A620,Recepciones!$A$5:$A$2000,"&lt;="&amp;$A621),MAX(0,F621-F620)))</f>
        <v/>
      </c>
      <c r="H621" s="24" t="str">
        <f aca="false">IF($A621="","",MAX(0,F620+G621-F621))</f>
        <v/>
      </c>
      <c r="I621" s="24" t="str">
        <f aca="false">IF($A621="","",Stock_Diario!G621)</f>
        <v/>
      </c>
      <c r="J621" s="24" t="str">
        <f aca="false">IF($A621="","",IF(SUMIFS(Recepciones!$C$5:$C$2000,Recepciones!$B$5:$B$2000,Config!$A$25,Recepciones!$A$5:$A$2000,"&gt;"&amp;$A620,Recepciones!$A$5:$A$2000,"&lt;="&amp;$A621)&gt;0,SUMIFS(Recepciones!$C$5:$C$2000,Recepciones!$B$5:$B$2000,Config!$A$25,Recepciones!$A$5:$A$2000,"&gt;"&amp;$A620,Recepciones!$A$5:$A$2000,"&lt;="&amp;$A621),MAX(0,I621-I620)))</f>
        <v/>
      </c>
      <c r="K621" s="24" t="str">
        <f aca="false">IF($A621="","",MAX(0,I620+J621-I621))</f>
        <v/>
      </c>
      <c r="L621" s="24" t="str">
        <f aca="false">IF($A621="","",E621+H621+K621)</f>
        <v/>
      </c>
      <c r="M621" s="4" t="str">
        <f aca="false">IF($A621="","",IF(AND(D621+G621+J621&gt;0,SUMIFS(Recepciones!$C$5:$C$2000,Recepciones!$A$5:$A$2000,"&gt;"&amp;$A620,Recepciones!$A$5:$A$2000,"&lt;="&amp;$A621)=0),"Aumento de stock sin recepción registrada",IF(B621&gt;1,"Intervalo de "&amp;B621&amp;" días","")))</f>
        <v/>
      </c>
    </row>
    <row r="622" customFormat="false" ht="15" hidden="false" customHeight="false" outlineLevel="0" collapsed="false">
      <c r="A622" s="5" t="str">
        <f aca="false">IF(Stock_Diario!A622="","",Stock_Diario!A622)</f>
        <v/>
      </c>
      <c r="B622" s="4" t="str">
        <f aca="false">IF($A622="","",$A622-$A621)</f>
        <v/>
      </c>
      <c r="C622" s="24" t="str">
        <f aca="false">IF($A622="","",Stock_Diario!E622)</f>
        <v/>
      </c>
      <c r="D622" s="24" t="str">
        <f aca="false">IF($A622="","",IF(SUMIFS(Recepciones!$C$5:$C$2000,Recepciones!$B$5:$B$2000,Config!$A$23,Recepciones!$A$5:$A$2000,"&gt;"&amp;$A621,Recepciones!$A$5:$A$2000,"&lt;="&amp;$A622)&gt;0,SUMIFS(Recepciones!$C$5:$C$2000,Recepciones!$B$5:$B$2000,Config!$A$23,Recepciones!$A$5:$A$2000,"&gt;"&amp;$A621,Recepciones!$A$5:$A$2000,"&lt;="&amp;$A622),MAX(0,C622-C621)))</f>
        <v/>
      </c>
      <c r="E622" s="24" t="str">
        <f aca="false">IF($A622="","",MAX(0,C621+D622-C622))</f>
        <v/>
      </c>
      <c r="F622" s="24" t="str">
        <f aca="false">IF($A622="","",Stock_Diario!F622)</f>
        <v/>
      </c>
      <c r="G622" s="24" t="str">
        <f aca="false">IF($A622="","",IF(SUMIFS(Recepciones!$C$5:$C$2000,Recepciones!$B$5:$B$2000,Config!$A$24,Recepciones!$A$5:$A$2000,"&gt;"&amp;$A621,Recepciones!$A$5:$A$2000,"&lt;="&amp;$A622)&gt;0,SUMIFS(Recepciones!$C$5:$C$2000,Recepciones!$B$5:$B$2000,Config!$A$24,Recepciones!$A$5:$A$2000,"&gt;"&amp;$A621,Recepciones!$A$5:$A$2000,"&lt;="&amp;$A622),MAX(0,F622-F621)))</f>
        <v/>
      </c>
      <c r="H622" s="24" t="str">
        <f aca="false">IF($A622="","",MAX(0,F621+G622-F622))</f>
        <v/>
      </c>
      <c r="I622" s="24" t="str">
        <f aca="false">IF($A622="","",Stock_Diario!G622)</f>
        <v/>
      </c>
      <c r="J622" s="24" t="str">
        <f aca="false">IF($A622="","",IF(SUMIFS(Recepciones!$C$5:$C$2000,Recepciones!$B$5:$B$2000,Config!$A$25,Recepciones!$A$5:$A$2000,"&gt;"&amp;$A621,Recepciones!$A$5:$A$2000,"&lt;="&amp;$A622)&gt;0,SUMIFS(Recepciones!$C$5:$C$2000,Recepciones!$B$5:$B$2000,Config!$A$25,Recepciones!$A$5:$A$2000,"&gt;"&amp;$A621,Recepciones!$A$5:$A$2000,"&lt;="&amp;$A622),MAX(0,I622-I621)))</f>
        <v/>
      </c>
      <c r="K622" s="24" t="str">
        <f aca="false">IF($A622="","",MAX(0,I621+J622-I622))</f>
        <v/>
      </c>
      <c r="L622" s="24" t="str">
        <f aca="false">IF($A622="","",E622+H622+K622)</f>
        <v/>
      </c>
      <c r="M622" s="4" t="str">
        <f aca="false">IF($A622="","",IF(AND(D622+G622+J622&gt;0,SUMIFS(Recepciones!$C$5:$C$2000,Recepciones!$A$5:$A$2000,"&gt;"&amp;$A621,Recepciones!$A$5:$A$2000,"&lt;="&amp;$A622)=0),"Aumento de stock sin recepción registrada",IF(B622&gt;1,"Intervalo de "&amp;B622&amp;" días","")))</f>
        <v/>
      </c>
    </row>
    <row r="623" customFormat="false" ht="15" hidden="false" customHeight="false" outlineLevel="0" collapsed="false">
      <c r="A623" s="5" t="str">
        <f aca="false">IF(Stock_Diario!A623="","",Stock_Diario!A623)</f>
        <v/>
      </c>
      <c r="B623" s="4" t="str">
        <f aca="false">IF($A623="","",$A623-$A622)</f>
        <v/>
      </c>
      <c r="C623" s="24" t="str">
        <f aca="false">IF($A623="","",Stock_Diario!E623)</f>
        <v/>
      </c>
      <c r="D623" s="24" t="str">
        <f aca="false">IF($A623="","",IF(SUMIFS(Recepciones!$C$5:$C$2000,Recepciones!$B$5:$B$2000,Config!$A$23,Recepciones!$A$5:$A$2000,"&gt;"&amp;$A622,Recepciones!$A$5:$A$2000,"&lt;="&amp;$A623)&gt;0,SUMIFS(Recepciones!$C$5:$C$2000,Recepciones!$B$5:$B$2000,Config!$A$23,Recepciones!$A$5:$A$2000,"&gt;"&amp;$A622,Recepciones!$A$5:$A$2000,"&lt;="&amp;$A623),MAX(0,C623-C622)))</f>
        <v/>
      </c>
      <c r="E623" s="24" t="str">
        <f aca="false">IF($A623="","",MAX(0,C622+D623-C623))</f>
        <v/>
      </c>
      <c r="F623" s="24" t="str">
        <f aca="false">IF($A623="","",Stock_Diario!F623)</f>
        <v/>
      </c>
      <c r="G623" s="24" t="str">
        <f aca="false">IF($A623="","",IF(SUMIFS(Recepciones!$C$5:$C$2000,Recepciones!$B$5:$B$2000,Config!$A$24,Recepciones!$A$5:$A$2000,"&gt;"&amp;$A622,Recepciones!$A$5:$A$2000,"&lt;="&amp;$A623)&gt;0,SUMIFS(Recepciones!$C$5:$C$2000,Recepciones!$B$5:$B$2000,Config!$A$24,Recepciones!$A$5:$A$2000,"&gt;"&amp;$A622,Recepciones!$A$5:$A$2000,"&lt;="&amp;$A623),MAX(0,F623-F622)))</f>
        <v/>
      </c>
      <c r="H623" s="24" t="str">
        <f aca="false">IF($A623="","",MAX(0,F622+G623-F623))</f>
        <v/>
      </c>
      <c r="I623" s="24" t="str">
        <f aca="false">IF($A623="","",Stock_Diario!G623)</f>
        <v/>
      </c>
      <c r="J623" s="24" t="str">
        <f aca="false">IF($A623="","",IF(SUMIFS(Recepciones!$C$5:$C$2000,Recepciones!$B$5:$B$2000,Config!$A$25,Recepciones!$A$5:$A$2000,"&gt;"&amp;$A622,Recepciones!$A$5:$A$2000,"&lt;="&amp;$A623)&gt;0,SUMIFS(Recepciones!$C$5:$C$2000,Recepciones!$B$5:$B$2000,Config!$A$25,Recepciones!$A$5:$A$2000,"&gt;"&amp;$A622,Recepciones!$A$5:$A$2000,"&lt;="&amp;$A623),MAX(0,I623-I622)))</f>
        <v/>
      </c>
      <c r="K623" s="24" t="str">
        <f aca="false">IF($A623="","",MAX(0,I622+J623-I623))</f>
        <v/>
      </c>
      <c r="L623" s="24" t="str">
        <f aca="false">IF($A623="","",E623+H623+K623)</f>
        <v/>
      </c>
      <c r="M623" s="4" t="str">
        <f aca="false">IF($A623="","",IF(AND(D623+G623+J623&gt;0,SUMIFS(Recepciones!$C$5:$C$2000,Recepciones!$A$5:$A$2000,"&gt;"&amp;$A622,Recepciones!$A$5:$A$2000,"&lt;="&amp;$A623)=0),"Aumento de stock sin recepción registrada",IF(B623&gt;1,"Intervalo de "&amp;B623&amp;" días","")))</f>
        <v/>
      </c>
    </row>
    <row r="624" customFormat="false" ht="15" hidden="false" customHeight="false" outlineLevel="0" collapsed="false">
      <c r="A624" s="5" t="str">
        <f aca="false">IF(Stock_Diario!A624="","",Stock_Diario!A624)</f>
        <v/>
      </c>
      <c r="B624" s="4" t="str">
        <f aca="false">IF($A624="","",$A624-$A623)</f>
        <v/>
      </c>
      <c r="C624" s="24" t="str">
        <f aca="false">IF($A624="","",Stock_Diario!E624)</f>
        <v/>
      </c>
      <c r="D624" s="24" t="str">
        <f aca="false">IF($A624="","",IF(SUMIFS(Recepciones!$C$5:$C$2000,Recepciones!$B$5:$B$2000,Config!$A$23,Recepciones!$A$5:$A$2000,"&gt;"&amp;$A623,Recepciones!$A$5:$A$2000,"&lt;="&amp;$A624)&gt;0,SUMIFS(Recepciones!$C$5:$C$2000,Recepciones!$B$5:$B$2000,Config!$A$23,Recepciones!$A$5:$A$2000,"&gt;"&amp;$A623,Recepciones!$A$5:$A$2000,"&lt;="&amp;$A624),MAX(0,C624-C623)))</f>
        <v/>
      </c>
      <c r="E624" s="24" t="str">
        <f aca="false">IF($A624="","",MAX(0,C623+D624-C624))</f>
        <v/>
      </c>
      <c r="F624" s="24" t="str">
        <f aca="false">IF($A624="","",Stock_Diario!F624)</f>
        <v/>
      </c>
      <c r="G624" s="24" t="str">
        <f aca="false">IF($A624="","",IF(SUMIFS(Recepciones!$C$5:$C$2000,Recepciones!$B$5:$B$2000,Config!$A$24,Recepciones!$A$5:$A$2000,"&gt;"&amp;$A623,Recepciones!$A$5:$A$2000,"&lt;="&amp;$A624)&gt;0,SUMIFS(Recepciones!$C$5:$C$2000,Recepciones!$B$5:$B$2000,Config!$A$24,Recepciones!$A$5:$A$2000,"&gt;"&amp;$A623,Recepciones!$A$5:$A$2000,"&lt;="&amp;$A624),MAX(0,F624-F623)))</f>
        <v/>
      </c>
      <c r="H624" s="24" t="str">
        <f aca="false">IF($A624="","",MAX(0,F623+G624-F624))</f>
        <v/>
      </c>
      <c r="I624" s="24" t="str">
        <f aca="false">IF($A624="","",Stock_Diario!G624)</f>
        <v/>
      </c>
      <c r="J624" s="24" t="str">
        <f aca="false">IF($A624="","",IF(SUMIFS(Recepciones!$C$5:$C$2000,Recepciones!$B$5:$B$2000,Config!$A$25,Recepciones!$A$5:$A$2000,"&gt;"&amp;$A623,Recepciones!$A$5:$A$2000,"&lt;="&amp;$A624)&gt;0,SUMIFS(Recepciones!$C$5:$C$2000,Recepciones!$B$5:$B$2000,Config!$A$25,Recepciones!$A$5:$A$2000,"&gt;"&amp;$A623,Recepciones!$A$5:$A$2000,"&lt;="&amp;$A624),MAX(0,I624-I623)))</f>
        <v/>
      </c>
      <c r="K624" s="24" t="str">
        <f aca="false">IF($A624="","",MAX(0,I623+J624-I624))</f>
        <v/>
      </c>
      <c r="L624" s="24" t="str">
        <f aca="false">IF($A624="","",E624+H624+K624)</f>
        <v/>
      </c>
      <c r="M624" s="4" t="str">
        <f aca="false">IF($A624="","",IF(AND(D624+G624+J624&gt;0,SUMIFS(Recepciones!$C$5:$C$2000,Recepciones!$A$5:$A$2000,"&gt;"&amp;$A623,Recepciones!$A$5:$A$2000,"&lt;="&amp;$A624)=0),"Aumento de stock sin recepción registrada",IF(B624&gt;1,"Intervalo de "&amp;B624&amp;" días","")))</f>
        <v/>
      </c>
    </row>
    <row r="625" customFormat="false" ht="15" hidden="false" customHeight="false" outlineLevel="0" collapsed="false">
      <c r="A625" s="5" t="str">
        <f aca="false">IF(Stock_Diario!A625="","",Stock_Diario!A625)</f>
        <v/>
      </c>
      <c r="B625" s="4" t="str">
        <f aca="false">IF($A625="","",$A625-$A624)</f>
        <v/>
      </c>
      <c r="C625" s="24" t="str">
        <f aca="false">IF($A625="","",Stock_Diario!E625)</f>
        <v/>
      </c>
      <c r="D625" s="24" t="str">
        <f aca="false">IF($A625="","",IF(SUMIFS(Recepciones!$C$5:$C$2000,Recepciones!$B$5:$B$2000,Config!$A$23,Recepciones!$A$5:$A$2000,"&gt;"&amp;$A624,Recepciones!$A$5:$A$2000,"&lt;="&amp;$A625)&gt;0,SUMIFS(Recepciones!$C$5:$C$2000,Recepciones!$B$5:$B$2000,Config!$A$23,Recepciones!$A$5:$A$2000,"&gt;"&amp;$A624,Recepciones!$A$5:$A$2000,"&lt;="&amp;$A625),MAX(0,C625-C624)))</f>
        <v/>
      </c>
      <c r="E625" s="24" t="str">
        <f aca="false">IF($A625="","",MAX(0,C624+D625-C625))</f>
        <v/>
      </c>
      <c r="F625" s="24" t="str">
        <f aca="false">IF($A625="","",Stock_Diario!F625)</f>
        <v/>
      </c>
      <c r="G625" s="24" t="str">
        <f aca="false">IF($A625="","",IF(SUMIFS(Recepciones!$C$5:$C$2000,Recepciones!$B$5:$B$2000,Config!$A$24,Recepciones!$A$5:$A$2000,"&gt;"&amp;$A624,Recepciones!$A$5:$A$2000,"&lt;="&amp;$A625)&gt;0,SUMIFS(Recepciones!$C$5:$C$2000,Recepciones!$B$5:$B$2000,Config!$A$24,Recepciones!$A$5:$A$2000,"&gt;"&amp;$A624,Recepciones!$A$5:$A$2000,"&lt;="&amp;$A625),MAX(0,F625-F624)))</f>
        <v/>
      </c>
      <c r="H625" s="24" t="str">
        <f aca="false">IF($A625="","",MAX(0,F624+G625-F625))</f>
        <v/>
      </c>
      <c r="I625" s="24" t="str">
        <f aca="false">IF($A625="","",Stock_Diario!G625)</f>
        <v/>
      </c>
      <c r="J625" s="24" t="str">
        <f aca="false">IF($A625="","",IF(SUMIFS(Recepciones!$C$5:$C$2000,Recepciones!$B$5:$B$2000,Config!$A$25,Recepciones!$A$5:$A$2000,"&gt;"&amp;$A624,Recepciones!$A$5:$A$2000,"&lt;="&amp;$A625)&gt;0,SUMIFS(Recepciones!$C$5:$C$2000,Recepciones!$B$5:$B$2000,Config!$A$25,Recepciones!$A$5:$A$2000,"&gt;"&amp;$A624,Recepciones!$A$5:$A$2000,"&lt;="&amp;$A625),MAX(0,I625-I624)))</f>
        <v/>
      </c>
      <c r="K625" s="24" t="str">
        <f aca="false">IF($A625="","",MAX(0,I624+J625-I625))</f>
        <v/>
      </c>
      <c r="L625" s="24" t="str">
        <f aca="false">IF($A625="","",E625+H625+K625)</f>
        <v/>
      </c>
      <c r="M625" s="4" t="str">
        <f aca="false">IF($A625="","",IF(AND(D625+G625+J625&gt;0,SUMIFS(Recepciones!$C$5:$C$2000,Recepciones!$A$5:$A$2000,"&gt;"&amp;$A624,Recepciones!$A$5:$A$2000,"&lt;="&amp;$A625)=0),"Aumento de stock sin recepción registrada",IF(B625&gt;1,"Intervalo de "&amp;B625&amp;" días","")))</f>
        <v/>
      </c>
    </row>
    <row r="626" customFormat="false" ht="15" hidden="false" customHeight="false" outlineLevel="0" collapsed="false">
      <c r="A626" s="5" t="str">
        <f aca="false">IF(Stock_Diario!A626="","",Stock_Diario!A626)</f>
        <v/>
      </c>
      <c r="B626" s="4" t="str">
        <f aca="false">IF($A626="","",$A626-$A625)</f>
        <v/>
      </c>
      <c r="C626" s="24" t="str">
        <f aca="false">IF($A626="","",Stock_Diario!E626)</f>
        <v/>
      </c>
      <c r="D626" s="24" t="str">
        <f aca="false">IF($A626="","",IF(SUMIFS(Recepciones!$C$5:$C$2000,Recepciones!$B$5:$B$2000,Config!$A$23,Recepciones!$A$5:$A$2000,"&gt;"&amp;$A625,Recepciones!$A$5:$A$2000,"&lt;="&amp;$A626)&gt;0,SUMIFS(Recepciones!$C$5:$C$2000,Recepciones!$B$5:$B$2000,Config!$A$23,Recepciones!$A$5:$A$2000,"&gt;"&amp;$A625,Recepciones!$A$5:$A$2000,"&lt;="&amp;$A626),MAX(0,C626-C625)))</f>
        <v/>
      </c>
      <c r="E626" s="24" t="str">
        <f aca="false">IF($A626="","",MAX(0,C625+D626-C626))</f>
        <v/>
      </c>
      <c r="F626" s="24" t="str">
        <f aca="false">IF($A626="","",Stock_Diario!F626)</f>
        <v/>
      </c>
      <c r="G626" s="24" t="str">
        <f aca="false">IF($A626="","",IF(SUMIFS(Recepciones!$C$5:$C$2000,Recepciones!$B$5:$B$2000,Config!$A$24,Recepciones!$A$5:$A$2000,"&gt;"&amp;$A625,Recepciones!$A$5:$A$2000,"&lt;="&amp;$A626)&gt;0,SUMIFS(Recepciones!$C$5:$C$2000,Recepciones!$B$5:$B$2000,Config!$A$24,Recepciones!$A$5:$A$2000,"&gt;"&amp;$A625,Recepciones!$A$5:$A$2000,"&lt;="&amp;$A626),MAX(0,F626-F625)))</f>
        <v/>
      </c>
      <c r="H626" s="24" t="str">
        <f aca="false">IF($A626="","",MAX(0,F625+G626-F626))</f>
        <v/>
      </c>
      <c r="I626" s="24" t="str">
        <f aca="false">IF($A626="","",Stock_Diario!G626)</f>
        <v/>
      </c>
      <c r="J626" s="24" t="str">
        <f aca="false">IF($A626="","",IF(SUMIFS(Recepciones!$C$5:$C$2000,Recepciones!$B$5:$B$2000,Config!$A$25,Recepciones!$A$5:$A$2000,"&gt;"&amp;$A625,Recepciones!$A$5:$A$2000,"&lt;="&amp;$A626)&gt;0,SUMIFS(Recepciones!$C$5:$C$2000,Recepciones!$B$5:$B$2000,Config!$A$25,Recepciones!$A$5:$A$2000,"&gt;"&amp;$A625,Recepciones!$A$5:$A$2000,"&lt;="&amp;$A626),MAX(0,I626-I625)))</f>
        <v/>
      </c>
      <c r="K626" s="24" t="str">
        <f aca="false">IF($A626="","",MAX(0,I625+J626-I626))</f>
        <v/>
      </c>
      <c r="L626" s="24" t="str">
        <f aca="false">IF($A626="","",E626+H626+K626)</f>
        <v/>
      </c>
      <c r="M626" s="4" t="str">
        <f aca="false">IF($A626="","",IF(AND(D626+G626+J626&gt;0,SUMIFS(Recepciones!$C$5:$C$2000,Recepciones!$A$5:$A$2000,"&gt;"&amp;$A625,Recepciones!$A$5:$A$2000,"&lt;="&amp;$A626)=0),"Aumento de stock sin recepción registrada",IF(B626&gt;1,"Intervalo de "&amp;B626&amp;" días","")))</f>
        <v/>
      </c>
    </row>
    <row r="627" customFormat="false" ht="15" hidden="false" customHeight="false" outlineLevel="0" collapsed="false">
      <c r="A627" s="5" t="str">
        <f aca="false">IF(Stock_Diario!A627="","",Stock_Diario!A627)</f>
        <v/>
      </c>
      <c r="B627" s="4" t="str">
        <f aca="false">IF($A627="","",$A627-$A626)</f>
        <v/>
      </c>
      <c r="C627" s="24" t="str">
        <f aca="false">IF($A627="","",Stock_Diario!E627)</f>
        <v/>
      </c>
      <c r="D627" s="24" t="str">
        <f aca="false">IF($A627="","",IF(SUMIFS(Recepciones!$C$5:$C$2000,Recepciones!$B$5:$B$2000,Config!$A$23,Recepciones!$A$5:$A$2000,"&gt;"&amp;$A626,Recepciones!$A$5:$A$2000,"&lt;="&amp;$A627)&gt;0,SUMIFS(Recepciones!$C$5:$C$2000,Recepciones!$B$5:$B$2000,Config!$A$23,Recepciones!$A$5:$A$2000,"&gt;"&amp;$A626,Recepciones!$A$5:$A$2000,"&lt;="&amp;$A627),MAX(0,C627-C626)))</f>
        <v/>
      </c>
      <c r="E627" s="24" t="str">
        <f aca="false">IF($A627="","",MAX(0,C626+D627-C627))</f>
        <v/>
      </c>
      <c r="F627" s="24" t="str">
        <f aca="false">IF($A627="","",Stock_Diario!F627)</f>
        <v/>
      </c>
      <c r="G627" s="24" t="str">
        <f aca="false">IF($A627="","",IF(SUMIFS(Recepciones!$C$5:$C$2000,Recepciones!$B$5:$B$2000,Config!$A$24,Recepciones!$A$5:$A$2000,"&gt;"&amp;$A626,Recepciones!$A$5:$A$2000,"&lt;="&amp;$A627)&gt;0,SUMIFS(Recepciones!$C$5:$C$2000,Recepciones!$B$5:$B$2000,Config!$A$24,Recepciones!$A$5:$A$2000,"&gt;"&amp;$A626,Recepciones!$A$5:$A$2000,"&lt;="&amp;$A627),MAX(0,F627-F626)))</f>
        <v/>
      </c>
      <c r="H627" s="24" t="str">
        <f aca="false">IF($A627="","",MAX(0,F626+G627-F627))</f>
        <v/>
      </c>
      <c r="I627" s="24" t="str">
        <f aca="false">IF($A627="","",Stock_Diario!G627)</f>
        <v/>
      </c>
      <c r="J627" s="24" t="str">
        <f aca="false">IF($A627="","",IF(SUMIFS(Recepciones!$C$5:$C$2000,Recepciones!$B$5:$B$2000,Config!$A$25,Recepciones!$A$5:$A$2000,"&gt;"&amp;$A626,Recepciones!$A$5:$A$2000,"&lt;="&amp;$A627)&gt;0,SUMIFS(Recepciones!$C$5:$C$2000,Recepciones!$B$5:$B$2000,Config!$A$25,Recepciones!$A$5:$A$2000,"&gt;"&amp;$A626,Recepciones!$A$5:$A$2000,"&lt;="&amp;$A627),MAX(0,I627-I626)))</f>
        <v/>
      </c>
      <c r="K627" s="24" t="str">
        <f aca="false">IF($A627="","",MAX(0,I626+J627-I627))</f>
        <v/>
      </c>
      <c r="L627" s="24" t="str">
        <f aca="false">IF($A627="","",E627+H627+K627)</f>
        <v/>
      </c>
      <c r="M627" s="4" t="str">
        <f aca="false">IF($A627="","",IF(AND(D627+G627+J627&gt;0,SUMIFS(Recepciones!$C$5:$C$2000,Recepciones!$A$5:$A$2000,"&gt;"&amp;$A626,Recepciones!$A$5:$A$2000,"&lt;="&amp;$A627)=0),"Aumento de stock sin recepción registrada",IF(B627&gt;1,"Intervalo de "&amp;B627&amp;" días","")))</f>
        <v/>
      </c>
    </row>
    <row r="628" customFormat="false" ht="15" hidden="false" customHeight="false" outlineLevel="0" collapsed="false">
      <c r="A628" s="5" t="str">
        <f aca="false">IF(Stock_Diario!A628="","",Stock_Diario!A628)</f>
        <v/>
      </c>
      <c r="B628" s="4" t="str">
        <f aca="false">IF($A628="","",$A628-$A627)</f>
        <v/>
      </c>
      <c r="C628" s="24" t="str">
        <f aca="false">IF($A628="","",Stock_Diario!E628)</f>
        <v/>
      </c>
      <c r="D628" s="24" t="str">
        <f aca="false">IF($A628="","",IF(SUMIFS(Recepciones!$C$5:$C$2000,Recepciones!$B$5:$B$2000,Config!$A$23,Recepciones!$A$5:$A$2000,"&gt;"&amp;$A627,Recepciones!$A$5:$A$2000,"&lt;="&amp;$A628)&gt;0,SUMIFS(Recepciones!$C$5:$C$2000,Recepciones!$B$5:$B$2000,Config!$A$23,Recepciones!$A$5:$A$2000,"&gt;"&amp;$A627,Recepciones!$A$5:$A$2000,"&lt;="&amp;$A628),MAX(0,C628-C627)))</f>
        <v/>
      </c>
      <c r="E628" s="24" t="str">
        <f aca="false">IF($A628="","",MAX(0,C627+D628-C628))</f>
        <v/>
      </c>
      <c r="F628" s="24" t="str">
        <f aca="false">IF($A628="","",Stock_Diario!F628)</f>
        <v/>
      </c>
      <c r="G628" s="24" t="str">
        <f aca="false">IF($A628="","",IF(SUMIFS(Recepciones!$C$5:$C$2000,Recepciones!$B$5:$B$2000,Config!$A$24,Recepciones!$A$5:$A$2000,"&gt;"&amp;$A627,Recepciones!$A$5:$A$2000,"&lt;="&amp;$A628)&gt;0,SUMIFS(Recepciones!$C$5:$C$2000,Recepciones!$B$5:$B$2000,Config!$A$24,Recepciones!$A$5:$A$2000,"&gt;"&amp;$A627,Recepciones!$A$5:$A$2000,"&lt;="&amp;$A628),MAX(0,F628-F627)))</f>
        <v/>
      </c>
      <c r="H628" s="24" t="str">
        <f aca="false">IF($A628="","",MAX(0,F627+G628-F628))</f>
        <v/>
      </c>
      <c r="I628" s="24" t="str">
        <f aca="false">IF($A628="","",Stock_Diario!G628)</f>
        <v/>
      </c>
      <c r="J628" s="24" t="str">
        <f aca="false">IF($A628="","",IF(SUMIFS(Recepciones!$C$5:$C$2000,Recepciones!$B$5:$B$2000,Config!$A$25,Recepciones!$A$5:$A$2000,"&gt;"&amp;$A627,Recepciones!$A$5:$A$2000,"&lt;="&amp;$A628)&gt;0,SUMIFS(Recepciones!$C$5:$C$2000,Recepciones!$B$5:$B$2000,Config!$A$25,Recepciones!$A$5:$A$2000,"&gt;"&amp;$A627,Recepciones!$A$5:$A$2000,"&lt;="&amp;$A628),MAX(0,I628-I627)))</f>
        <v/>
      </c>
      <c r="K628" s="24" t="str">
        <f aca="false">IF($A628="","",MAX(0,I627+J628-I628))</f>
        <v/>
      </c>
      <c r="L628" s="24" t="str">
        <f aca="false">IF($A628="","",E628+H628+K628)</f>
        <v/>
      </c>
      <c r="M628" s="4" t="str">
        <f aca="false">IF($A628="","",IF(AND(D628+G628+J628&gt;0,SUMIFS(Recepciones!$C$5:$C$2000,Recepciones!$A$5:$A$2000,"&gt;"&amp;$A627,Recepciones!$A$5:$A$2000,"&lt;="&amp;$A628)=0),"Aumento de stock sin recepción registrada",IF(B628&gt;1,"Intervalo de "&amp;B628&amp;" días","")))</f>
        <v/>
      </c>
    </row>
    <row r="629" customFormat="false" ht="15" hidden="false" customHeight="false" outlineLevel="0" collapsed="false">
      <c r="A629" s="5" t="str">
        <f aca="false">IF(Stock_Diario!A629="","",Stock_Diario!A629)</f>
        <v/>
      </c>
      <c r="B629" s="4" t="str">
        <f aca="false">IF($A629="","",$A629-$A628)</f>
        <v/>
      </c>
      <c r="C629" s="24" t="str">
        <f aca="false">IF($A629="","",Stock_Diario!E629)</f>
        <v/>
      </c>
      <c r="D629" s="24" t="str">
        <f aca="false">IF($A629="","",IF(SUMIFS(Recepciones!$C$5:$C$2000,Recepciones!$B$5:$B$2000,Config!$A$23,Recepciones!$A$5:$A$2000,"&gt;"&amp;$A628,Recepciones!$A$5:$A$2000,"&lt;="&amp;$A629)&gt;0,SUMIFS(Recepciones!$C$5:$C$2000,Recepciones!$B$5:$B$2000,Config!$A$23,Recepciones!$A$5:$A$2000,"&gt;"&amp;$A628,Recepciones!$A$5:$A$2000,"&lt;="&amp;$A629),MAX(0,C629-C628)))</f>
        <v/>
      </c>
      <c r="E629" s="24" t="str">
        <f aca="false">IF($A629="","",MAX(0,C628+D629-C629))</f>
        <v/>
      </c>
      <c r="F629" s="24" t="str">
        <f aca="false">IF($A629="","",Stock_Diario!F629)</f>
        <v/>
      </c>
      <c r="G629" s="24" t="str">
        <f aca="false">IF($A629="","",IF(SUMIFS(Recepciones!$C$5:$C$2000,Recepciones!$B$5:$B$2000,Config!$A$24,Recepciones!$A$5:$A$2000,"&gt;"&amp;$A628,Recepciones!$A$5:$A$2000,"&lt;="&amp;$A629)&gt;0,SUMIFS(Recepciones!$C$5:$C$2000,Recepciones!$B$5:$B$2000,Config!$A$24,Recepciones!$A$5:$A$2000,"&gt;"&amp;$A628,Recepciones!$A$5:$A$2000,"&lt;="&amp;$A629),MAX(0,F629-F628)))</f>
        <v/>
      </c>
      <c r="H629" s="24" t="str">
        <f aca="false">IF($A629="","",MAX(0,F628+G629-F629))</f>
        <v/>
      </c>
      <c r="I629" s="24" t="str">
        <f aca="false">IF($A629="","",Stock_Diario!G629)</f>
        <v/>
      </c>
      <c r="J629" s="24" t="str">
        <f aca="false">IF($A629="","",IF(SUMIFS(Recepciones!$C$5:$C$2000,Recepciones!$B$5:$B$2000,Config!$A$25,Recepciones!$A$5:$A$2000,"&gt;"&amp;$A628,Recepciones!$A$5:$A$2000,"&lt;="&amp;$A629)&gt;0,SUMIFS(Recepciones!$C$5:$C$2000,Recepciones!$B$5:$B$2000,Config!$A$25,Recepciones!$A$5:$A$2000,"&gt;"&amp;$A628,Recepciones!$A$5:$A$2000,"&lt;="&amp;$A629),MAX(0,I629-I628)))</f>
        <v/>
      </c>
      <c r="K629" s="24" t="str">
        <f aca="false">IF($A629="","",MAX(0,I628+J629-I629))</f>
        <v/>
      </c>
      <c r="L629" s="24" t="str">
        <f aca="false">IF($A629="","",E629+H629+K629)</f>
        <v/>
      </c>
      <c r="M629" s="4" t="str">
        <f aca="false">IF($A629="","",IF(AND(D629+G629+J629&gt;0,SUMIFS(Recepciones!$C$5:$C$2000,Recepciones!$A$5:$A$2000,"&gt;"&amp;$A628,Recepciones!$A$5:$A$2000,"&lt;="&amp;$A629)=0),"Aumento de stock sin recepción registrada",IF(B629&gt;1,"Intervalo de "&amp;B629&amp;" días","")))</f>
        <v/>
      </c>
    </row>
    <row r="630" customFormat="false" ht="15" hidden="false" customHeight="false" outlineLevel="0" collapsed="false">
      <c r="A630" s="5" t="str">
        <f aca="false">IF(Stock_Diario!A630="","",Stock_Diario!A630)</f>
        <v/>
      </c>
      <c r="B630" s="4" t="str">
        <f aca="false">IF($A630="","",$A630-$A629)</f>
        <v/>
      </c>
      <c r="C630" s="24" t="str">
        <f aca="false">IF($A630="","",Stock_Diario!E630)</f>
        <v/>
      </c>
      <c r="D630" s="24" t="str">
        <f aca="false">IF($A630="","",IF(SUMIFS(Recepciones!$C$5:$C$2000,Recepciones!$B$5:$B$2000,Config!$A$23,Recepciones!$A$5:$A$2000,"&gt;"&amp;$A629,Recepciones!$A$5:$A$2000,"&lt;="&amp;$A630)&gt;0,SUMIFS(Recepciones!$C$5:$C$2000,Recepciones!$B$5:$B$2000,Config!$A$23,Recepciones!$A$5:$A$2000,"&gt;"&amp;$A629,Recepciones!$A$5:$A$2000,"&lt;="&amp;$A630),MAX(0,C630-C629)))</f>
        <v/>
      </c>
      <c r="E630" s="24" t="str">
        <f aca="false">IF($A630="","",MAX(0,C629+D630-C630))</f>
        <v/>
      </c>
      <c r="F630" s="24" t="str">
        <f aca="false">IF($A630="","",Stock_Diario!F630)</f>
        <v/>
      </c>
      <c r="G630" s="24" t="str">
        <f aca="false">IF($A630="","",IF(SUMIFS(Recepciones!$C$5:$C$2000,Recepciones!$B$5:$B$2000,Config!$A$24,Recepciones!$A$5:$A$2000,"&gt;"&amp;$A629,Recepciones!$A$5:$A$2000,"&lt;="&amp;$A630)&gt;0,SUMIFS(Recepciones!$C$5:$C$2000,Recepciones!$B$5:$B$2000,Config!$A$24,Recepciones!$A$5:$A$2000,"&gt;"&amp;$A629,Recepciones!$A$5:$A$2000,"&lt;="&amp;$A630),MAX(0,F630-F629)))</f>
        <v/>
      </c>
      <c r="H630" s="24" t="str">
        <f aca="false">IF($A630="","",MAX(0,F629+G630-F630))</f>
        <v/>
      </c>
      <c r="I630" s="24" t="str">
        <f aca="false">IF($A630="","",Stock_Diario!G630)</f>
        <v/>
      </c>
      <c r="J630" s="24" t="str">
        <f aca="false">IF($A630="","",IF(SUMIFS(Recepciones!$C$5:$C$2000,Recepciones!$B$5:$B$2000,Config!$A$25,Recepciones!$A$5:$A$2000,"&gt;"&amp;$A629,Recepciones!$A$5:$A$2000,"&lt;="&amp;$A630)&gt;0,SUMIFS(Recepciones!$C$5:$C$2000,Recepciones!$B$5:$B$2000,Config!$A$25,Recepciones!$A$5:$A$2000,"&gt;"&amp;$A629,Recepciones!$A$5:$A$2000,"&lt;="&amp;$A630),MAX(0,I630-I629)))</f>
        <v/>
      </c>
      <c r="K630" s="24" t="str">
        <f aca="false">IF($A630="","",MAX(0,I629+J630-I630))</f>
        <v/>
      </c>
      <c r="L630" s="24" t="str">
        <f aca="false">IF($A630="","",E630+H630+K630)</f>
        <v/>
      </c>
      <c r="M630" s="4" t="str">
        <f aca="false">IF($A630="","",IF(AND(D630+G630+J630&gt;0,SUMIFS(Recepciones!$C$5:$C$2000,Recepciones!$A$5:$A$2000,"&gt;"&amp;$A629,Recepciones!$A$5:$A$2000,"&lt;="&amp;$A630)=0),"Aumento de stock sin recepción registrada",IF(B630&gt;1,"Intervalo de "&amp;B630&amp;" días","")))</f>
        <v/>
      </c>
    </row>
    <row r="631" customFormat="false" ht="15" hidden="false" customHeight="false" outlineLevel="0" collapsed="false">
      <c r="A631" s="5" t="str">
        <f aca="false">IF(Stock_Diario!A631="","",Stock_Diario!A631)</f>
        <v/>
      </c>
      <c r="B631" s="4" t="str">
        <f aca="false">IF($A631="","",$A631-$A630)</f>
        <v/>
      </c>
      <c r="C631" s="24" t="str">
        <f aca="false">IF($A631="","",Stock_Diario!E631)</f>
        <v/>
      </c>
      <c r="D631" s="24" t="str">
        <f aca="false">IF($A631="","",IF(SUMIFS(Recepciones!$C$5:$C$2000,Recepciones!$B$5:$B$2000,Config!$A$23,Recepciones!$A$5:$A$2000,"&gt;"&amp;$A630,Recepciones!$A$5:$A$2000,"&lt;="&amp;$A631)&gt;0,SUMIFS(Recepciones!$C$5:$C$2000,Recepciones!$B$5:$B$2000,Config!$A$23,Recepciones!$A$5:$A$2000,"&gt;"&amp;$A630,Recepciones!$A$5:$A$2000,"&lt;="&amp;$A631),MAX(0,C631-C630)))</f>
        <v/>
      </c>
      <c r="E631" s="24" t="str">
        <f aca="false">IF($A631="","",MAX(0,C630+D631-C631))</f>
        <v/>
      </c>
      <c r="F631" s="24" t="str">
        <f aca="false">IF($A631="","",Stock_Diario!F631)</f>
        <v/>
      </c>
      <c r="G631" s="24" t="str">
        <f aca="false">IF($A631="","",IF(SUMIFS(Recepciones!$C$5:$C$2000,Recepciones!$B$5:$B$2000,Config!$A$24,Recepciones!$A$5:$A$2000,"&gt;"&amp;$A630,Recepciones!$A$5:$A$2000,"&lt;="&amp;$A631)&gt;0,SUMIFS(Recepciones!$C$5:$C$2000,Recepciones!$B$5:$B$2000,Config!$A$24,Recepciones!$A$5:$A$2000,"&gt;"&amp;$A630,Recepciones!$A$5:$A$2000,"&lt;="&amp;$A631),MAX(0,F631-F630)))</f>
        <v/>
      </c>
      <c r="H631" s="24" t="str">
        <f aca="false">IF($A631="","",MAX(0,F630+G631-F631))</f>
        <v/>
      </c>
      <c r="I631" s="24" t="str">
        <f aca="false">IF($A631="","",Stock_Diario!G631)</f>
        <v/>
      </c>
      <c r="J631" s="24" t="str">
        <f aca="false">IF($A631="","",IF(SUMIFS(Recepciones!$C$5:$C$2000,Recepciones!$B$5:$B$2000,Config!$A$25,Recepciones!$A$5:$A$2000,"&gt;"&amp;$A630,Recepciones!$A$5:$A$2000,"&lt;="&amp;$A631)&gt;0,SUMIFS(Recepciones!$C$5:$C$2000,Recepciones!$B$5:$B$2000,Config!$A$25,Recepciones!$A$5:$A$2000,"&gt;"&amp;$A630,Recepciones!$A$5:$A$2000,"&lt;="&amp;$A631),MAX(0,I631-I630)))</f>
        <v/>
      </c>
      <c r="K631" s="24" t="str">
        <f aca="false">IF($A631="","",MAX(0,I630+J631-I631))</f>
        <v/>
      </c>
      <c r="L631" s="24" t="str">
        <f aca="false">IF($A631="","",E631+H631+K631)</f>
        <v/>
      </c>
      <c r="M631" s="4" t="str">
        <f aca="false">IF($A631="","",IF(AND(D631+G631+J631&gt;0,SUMIFS(Recepciones!$C$5:$C$2000,Recepciones!$A$5:$A$2000,"&gt;"&amp;$A630,Recepciones!$A$5:$A$2000,"&lt;="&amp;$A631)=0),"Aumento de stock sin recepción registrada",IF(B631&gt;1,"Intervalo de "&amp;B631&amp;" días","")))</f>
        <v/>
      </c>
    </row>
    <row r="632" customFormat="false" ht="15" hidden="false" customHeight="false" outlineLevel="0" collapsed="false">
      <c r="A632" s="5" t="str">
        <f aca="false">IF(Stock_Diario!A632="","",Stock_Diario!A632)</f>
        <v/>
      </c>
      <c r="B632" s="4" t="str">
        <f aca="false">IF($A632="","",$A632-$A631)</f>
        <v/>
      </c>
      <c r="C632" s="24" t="str">
        <f aca="false">IF($A632="","",Stock_Diario!E632)</f>
        <v/>
      </c>
      <c r="D632" s="24" t="str">
        <f aca="false">IF($A632="","",IF(SUMIFS(Recepciones!$C$5:$C$2000,Recepciones!$B$5:$B$2000,Config!$A$23,Recepciones!$A$5:$A$2000,"&gt;"&amp;$A631,Recepciones!$A$5:$A$2000,"&lt;="&amp;$A632)&gt;0,SUMIFS(Recepciones!$C$5:$C$2000,Recepciones!$B$5:$B$2000,Config!$A$23,Recepciones!$A$5:$A$2000,"&gt;"&amp;$A631,Recepciones!$A$5:$A$2000,"&lt;="&amp;$A632),MAX(0,C632-C631)))</f>
        <v/>
      </c>
      <c r="E632" s="24" t="str">
        <f aca="false">IF($A632="","",MAX(0,C631+D632-C632))</f>
        <v/>
      </c>
      <c r="F632" s="24" t="str">
        <f aca="false">IF($A632="","",Stock_Diario!F632)</f>
        <v/>
      </c>
      <c r="G632" s="24" t="str">
        <f aca="false">IF($A632="","",IF(SUMIFS(Recepciones!$C$5:$C$2000,Recepciones!$B$5:$B$2000,Config!$A$24,Recepciones!$A$5:$A$2000,"&gt;"&amp;$A631,Recepciones!$A$5:$A$2000,"&lt;="&amp;$A632)&gt;0,SUMIFS(Recepciones!$C$5:$C$2000,Recepciones!$B$5:$B$2000,Config!$A$24,Recepciones!$A$5:$A$2000,"&gt;"&amp;$A631,Recepciones!$A$5:$A$2000,"&lt;="&amp;$A632),MAX(0,F632-F631)))</f>
        <v/>
      </c>
      <c r="H632" s="24" t="str">
        <f aca="false">IF($A632="","",MAX(0,F631+G632-F632))</f>
        <v/>
      </c>
      <c r="I632" s="24" t="str">
        <f aca="false">IF($A632="","",Stock_Diario!G632)</f>
        <v/>
      </c>
      <c r="J632" s="24" t="str">
        <f aca="false">IF($A632="","",IF(SUMIFS(Recepciones!$C$5:$C$2000,Recepciones!$B$5:$B$2000,Config!$A$25,Recepciones!$A$5:$A$2000,"&gt;"&amp;$A631,Recepciones!$A$5:$A$2000,"&lt;="&amp;$A632)&gt;0,SUMIFS(Recepciones!$C$5:$C$2000,Recepciones!$B$5:$B$2000,Config!$A$25,Recepciones!$A$5:$A$2000,"&gt;"&amp;$A631,Recepciones!$A$5:$A$2000,"&lt;="&amp;$A632),MAX(0,I632-I631)))</f>
        <v/>
      </c>
      <c r="K632" s="24" t="str">
        <f aca="false">IF($A632="","",MAX(0,I631+J632-I632))</f>
        <v/>
      </c>
      <c r="L632" s="24" t="str">
        <f aca="false">IF($A632="","",E632+H632+K632)</f>
        <v/>
      </c>
      <c r="M632" s="4" t="str">
        <f aca="false">IF($A632="","",IF(AND(D632+G632+J632&gt;0,SUMIFS(Recepciones!$C$5:$C$2000,Recepciones!$A$5:$A$2000,"&gt;"&amp;$A631,Recepciones!$A$5:$A$2000,"&lt;="&amp;$A632)=0),"Aumento de stock sin recepción registrada",IF(B632&gt;1,"Intervalo de "&amp;B632&amp;" días","")))</f>
        <v/>
      </c>
    </row>
    <row r="633" customFormat="false" ht="15" hidden="false" customHeight="false" outlineLevel="0" collapsed="false">
      <c r="A633" s="5" t="str">
        <f aca="false">IF(Stock_Diario!A633="","",Stock_Diario!A633)</f>
        <v/>
      </c>
      <c r="B633" s="4" t="str">
        <f aca="false">IF($A633="","",$A633-$A632)</f>
        <v/>
      </c>
      <c r="C633" s="24" t="str">
        <f aca="false">IF($A633="","",Stock_Diario!E633)</f>
        <v/>
      </c>
      <c r="D633" s="24" t="str">
        <f aca="false">IF($A633="","",IF(SUMIFS(Recepciones!$C$5:$C$2000,Recepciones!$B$5:$B$2000,Config!$A$23,Recepciones!$A$5:$A$2000,"&gt;"&amp;$A632,Recepciones!$A$5:$A$2000,"&lt;="&amp;$A633)&gt;0,SUMIFS(Recepciones!$C$5:$C$2000,Recepciones!$B$5:$B$2000,Config!$A$23,Recepciones!$A$5:$A$2000,"&gt;"&amp;$A632,Recepciones!$A$5:$A$2000,"&lt;="&amp;$A633),MAX(0,C633-C632)))</f>
        <v/>
      </c>
      <c r="E633" s="24" t="str">
        <f aca="false">IF($A633="","",MAX(0,C632+D633-C633))</f>
        <v/>
      </c>
      <c r="F633" s="24" t="str">
        <f aca="false">IF($A633="","",Stock_Diario!F633)</f>
        <v/>
      </c>
      <c r="G633" s="24" t="str">
        <f aca="false">IF($A633="","",IF(SUMIFS(Recepciones!$C$5:$C$2000,Recepciones!$B$5:$B$2000,Config!$A$24,Recepciones!$A$5:$A$2000,"&gt;"&amp;$A632,Recepciones!$A$5:$A$2000,"&lt;="&amp;$A633)&gt;0,SUMIFS(Recepciones!$C$5:$C$2000,Recepciones!$B$5:$B$2000,Config!$A$24,Recepciones!$A$5:$A$2000,"&gt;"&amp;$A632,Recepciones!$A$5:$A$2000,"&lt;="&amp;$A633),MAX(0,F633-F632)))</f>
        <v/>
      </c>
      <c r="H633" s="24" t="str">
        <f aca="false">IF($A633="","",MAX(0,F632+G633-F633))</f>
        <v/>
      </c>
      <c r="I633" s="24" t="str">
        <f aca="false">IF($A633="","",Stock_Diario!G633)</f>
        <v/>
      </c>
      <c r="J633" s="24" t="str">
        <f aca="false">IF($A633="","",IF(SUMIFS(Recepciones!$C$5:$C$2000,Recepciones!$B$5:$B$2000,Config!$A$25,Recepciones!$A$5:$A$2000,"&gt;"&amp;$A632,Recepciones!$A$5:$A$2000,"&lt;="&amp;$A633)&gt;0,SUMIFS(Recepciones!$C$5:$C$2000,Recepciones!$B$5:$B$2000,Config!$A$25,Recepciones!$A$5:$A$2000,"&gt;"&amp;$A632,Recepciones!$A$5:$A$2000,"&lt;="&amp;$A633),MAX(0,I633-I632)))</f>
        <v/>
      </c>
      <c r="K633" s="24" t="str">
        <f aca="false">IF($A633="","",MAX(0,I632+J633-I633))</f>
        <v/>
      </c>
      <c r="L633" s="24" t="str">
        <f aca="false">IF($A633="","",E633+H633+K633)</f>
        <v/>
      </c>
      <c r="M633" s="4" t="str">
        <f aca="false">IF($A633="","",IF(AND(D633+G633+J633&gt;0,SUMIFS(Recepciones!$C$5:$C$2000,Recepciones!$A$5:$A$2000,"&gt;"&amp;$A632,Recepciones!$A$5:$A$2000,"&lt;="&amp;$A633)=0),"Aumento de stock sin recepción registrada",IF(B633&gt;1,"Intervalo de "&amp;B633&amp;" días","")))</f>
        <v/>
      </c>
    </row>
    <row r="634" customFormat="false" ht="15" hidden="false" customHeight="false" outlineLevel="0" collapsed="false">
      <c r="A634" s="5" t="str">
        <f aca="false">IF(Stock_Diario!A634="","",Stock_Diario!A634)</f>
        <v/>
      </c>
      <c r="B634" s="4" t="str">
        <f aca="false">IF($A634="","",$A634-$A633)</f>
        <v/>
      </c>
      <c r="C634" s="24" t="str">
        <f aca="false">IF($A634="","",Stock_Diario!E634)</f>
        <v/>
      </c>
      <c r="D634" s="24" t="str">
        <f aca="false">IF($A634="","",IF(SUMIFS(Recepciones!$C$5:$C$2000,Recepciones!$B$5:$B$2000,Config!$A$23,Recepciones!$A$5:$A$2000,"&gt;"&amp;$A633,Recepciones!$A$5:$A$2000,"&lt;="&amp;$A634)&gt;0,SUMIFS(Recepciones!$C$5:$C$2000,Recepciones!$B$5:$B$2000,Config!$A$23,Recepciones!$A$5:$A$2000,"&gt;"&amp;$A633,Recepciones!$A$5:$A$2000,"&lt;="&amp;$A634),MAX(0,C634-C633)))</f>
        <v/>
      </c>
      <c r="E634" s="24" t="str">
        <f aca="false">IF($A634="","",MAX(0,C633+D634-C634))</f>
        <v/>
      </c>
      <c r="F634" s="24" t="str">
        <f aca="false">IF($A634="","",Stock_Diario!F634)</f>
        <v/>
      </c>
      <c r="G634" s="24" t="str">
        <f aca="false">IF($A634="","",IF(SUMIFS(Recepciones!$C$5:$C$2000,Recepciones!$B$5:$B$2000,Config!$A$24,Recepciones!$A$5:$A$2000,"&gt;"&amp;$A633,Recepciones!$A$5:$A$2000,"&lt;="&amp;$A634)&gt;0,SUMIFS(Recepciones!$C$5:$C$2000,Recepciones!$B$5:$B$2000,Config!$A$24,Recepciones!$A$5:$A$2000,"&gt;"&amp;$A633,Recepciones!$A$5:$A$2000,"&lt;="&amp;$A634),MAX(0,F634-F633)))</f>
        <v/>
      </c>
      <c r="H634" s="24" t="str">
        <f aca="false">IF($A634="","",MAX(0,F633+G634-F634))</f>
        <v/>
      </c>
      <c r="I634" s="24" t="str">
        <f aca="false">IF($A634="","",Stock_Diario!G634)</f>
        <v/>
      </c>
      <c r="J634" s="24" t="str">
        <f aca="false">IF($A634="","",IF(SUMIFS(Recepciones!$C$5:$C$2000,Recepciones!$B$5:$B$2000,Config!$A$25,Recepciones!$A$5:$A$2000,"&gt;"&amp;$A633,Recepciones!$A$5:$A$2000,"&lt;="&amp;$A634)&gt;0,SUMIFS(Recepciones!$C$5:$C$2000,Recepciones!$B$5:$B$2000,Config!$A$25,Recepciones!$A$5:$A$2000,"&gt;"&amp;$A633,Recepciones!$A$5:$A$2000,"&lt;="&amp;$A634),MAX(0,I634-I633)))</f>
        <v/>
      </c>
      <c r="K634" s="24" t="str">
        <f aca="false">IF($A634="","",MAX(0,I633+J634-I634))</f>
        <v/>
      </c>
      <c r="L634" s="24" t="str">
        <f aca="false">IF($A634="","",E634+H634+K634)</f>
        <v/>
      </c>
      <c r="M634" s="4" t="str">
        <f aca="false">IF($A634="","",IF(AND(D634+G634+J634&gt;0,SUMIFS(Recepciones!$C$5:$C$2000,Recepciones!$A$5:$A$2000,"&gt;"&amp;$A633,Recepciones!$A$5:$A$2000,"&lt;="&amp;$A634)=0),"Aumento de stock sin recepción registrada",IF(B634&gt;1,"Intervalo de "&amp;B634&amp;" días","")))</f>
        <v/>
      </c>
    </row>
    <row r="635" customFormat="false" ht="15" hidden="false" customHeight="false" outlineLevel="0" collapsed="false">
      <c r="A635" s="5" t="str">
        <f aca="false">IF(Stock_Diario!A635="","",Stock_Diario!A635)</f>
        <v/>
      </c>
      <c r="B635" s="4" t="str">
        <f aca="false">IF($A635="","",$A635-$A634)</f>
        <v/>
      </c>
      <c r="C635" s="24" t="str">
        <f aca="false">IF($A635="","",Stock_Diario!E635)</f>
        <v/>
      </c>
      <c r="D635" s="24" t="str">
        <f aca="false">IF($A635="","",IF(SUMIFS(Recepciones!$C$5:$C$2000,Recepciones!$B$5:$B$2000,Config!$A$23,Recepciones!$A$5:$A$2000,"&gt;"&amp;$A634,Recepciones!$A$5:$A$2000,"&lt;="&amp;$A635)&gt;0,SUMIFS(Recepciones!$C$5:$C$2000,Recepciones!$B$5:$B$2000,Config!$A$23,Recepciones!$A$5:$A$2000,"&gt;"&amp;$A634,Recepciones!$A$5:$A$2000,"&lt;="&amp;$A635),MAX(0,C635-C634)))</f>
        <v/>
      </c>
      <c r="E635" s="24" t="str">
        <f aca="false">IF($A635="","",MAX(0,C634+D635-C635))</f>
        <v/>
      </c>
      <c r="F635" s="24" t="str">
        <f aca="false">IF($A635="","",Stock_Diario!F635)</f>
        <v/>
      </c>
      <c r="G635" s="24" t="str">
        <f aca="false">IF($A635="","",IF(SUMIFS(Recepciones!$C$5:$C$2000,Recepciones!$B$5:$B$2000,Config!$A$24,Recepciones!$A$5:$A$2000,"&gt;"&amp;$A634,Recepciones!$A$5:$A$2000,"&lt;="&amp;$A635)&gt;0,SUMIFS(Recepciones!$C$5:$C$2000,Recepciones!$B$5:$B$2000,Config!$A$24,Recepciones!$A$5:$A$2000,"&gt;"&amp;$A634,Recepciones!$A$5:$A$2000,"&lt;="&amp;$A635),MAX(0,F635-F634)))</f>
        <v/>
      </c>
      <c r="H635" s="24" t="str">
        <f aca="false">IF($A635="","",MAX(0,F634+G635-F635))</f>
        <v/>
      </c>
      <c r="I635" s="24" t="str">
        <f aca="false">IF($A635="","",Stock_Diario!G635)</f>
        <v/>
      </c>
      <c r="J635" s="24" t="str">
        <f aca="false">IF($A635="","",IF(SUMIFS(Recepciones!$C$5:$C$2000,Recepciones!$B$5:$B$2000,Config!$A$25,Recepciones!$A$5:$A$2000,"&gt;"&amp;$A634,Recepciones!$A$5:$A$2000,"&lt;="&amp;$A635)&gt;0,SUMIFS(Recepciones!$C$5:$C$2000,Recepciones!$B$5:$B$2000,Config!$A$25,Recepciones!$A$5:$A$2000,"&gt;"&amp;$A634,Recepciones!$A$5:$A$2000,"&lt;="&amp;$A635),MAX(0,I635-I634)))</f>
        <v/>
      </c>
      <c r="K635" s="24" t="str">
        <f aca="false">IF($A635="","",MAX(0,I634+J635-I635))</f>
        <v/>
      </c>
      <c r="L635" s="24" t="str">
        <f aca="false">IF($A635="","",E635+H635+K635)</f>
        <v/>
      </c>
      <c r="M635" s="4" t="str">
        <f aca="false">IF($A635="","",IF(AND(D635+G635+J635&gt;0,SUMIFS(Recepciones!$C$5:$C$2000,Recepciones!$A$5:$A$2000,"&gt;"&amp;$A634,Recepciones!$A$5:$A$2000,"&lt;="&amp;$A635)=0),"Aumento de stock sin recepción registrada",IF(B635&gt;1,"Intervalo de "&amp;B635&amp;" días","")))</f>
        <v/>
      </c>
    </row>
    <row r="636" customFormat="false" ht="15" hidden="false" customHeight="false" outlineLevel="0" collapsed="false">
      <c r="A636" s="5" t="str">
        <f aca="false">IF(Stock_Diario!A636="","",Stock_Diario!A636)</f>
        <v/>
      </c>
      <c r="B636" s="4" t="str">
        <f aca="false">IF($A636="","",$A636-$A635)</f>
        <v/>
      </c>
      <c r="C636" s="24" t="str">
        <f aca="false">IF($A636="","",Stock_Diario!E636)</f>
        <v/>
      </c>
      <c r="D636" s="24" t="str">
        <f aca="false">IF($A636="","",IF(SUMIFS(Recepciones!$C$5:$C$2000,Recepciones!$B$5:$B$2000,Config!$A$23,Recepciones!$A$5:$A$2000,"&gt;"&amp;$A635,Recepciones!$A$5:$A$2000,"&lt;="&amp;$A636)&gt;0,SUMIFS(Recepciones!$C$5:$C$2000,Recepciones!$B$5:$B$2000,Config!$A$23,Recepciones!$A$5:$A$2000,"&gt;"&amp;$A635,Recepciones!$A$5:$A$2000,"&lt;="&amp;$A636),MAX(0,C636-C635)))</f>
        <v/>
      </c>
      <c r="E636" s="24" t="str">
        <f aca="false">IF($A636="","",MAX(0,C635+D636-C636))</f>
        <v/>
      </c>
      <c r="F636" s="24" t="str">
        <f aca="false">IF($A636="","",Stock_Diario!F636)</f>
        <v/>
      </c>
      <c r="G636" s="24" t="str">
        <f aca="false">IF($A636="","",IF(SUMIFS(Recepciones!$C$5:$C$2000,Recepciones!$B$5:$B$2000,Config!$A$24,Recepciones!$A$5:$A$2000,"&gt;"&amp;$A635,Recepciones!$A$5:$A$2000,"&lt;="&amp;$A636)&gt;0,SUMIFS(Recepciones!$C$5:$C$2000,Recepciones!$B$5:$B$2000,Config!$A$24,Recepciones!$A$5:$A$2000,"&gt;"&amp;$A635,Recepciones!$A$5:$A$2000,"&lt;="&amp;$A636),MAX(0,F636-F635)))</f>
        <v/>
      </c>
      <c r="H636" s="24" t="str">
        <f aca="false">IF($A636="","",MAX(0,F635+G636-F636))</f>
        <v/>
      </c>
      <c r="I636" s="24" t="str">
        <f aca="false">IF($A636="","",Stock_Diario!G636)</f>
        <v/>
      </c>
      <c r="J636" s="24" t="str">
        <f aca="false">IF($A636="","",IF(SUMIFS(Recepciones!$C$5:$C$2000,Recepciones!$B$5:$B$2000,Config!$A$25,Recepciones!$A$5:$A$2000,"&gt;"&amp;$A635,Recepciones!$A$5:$A$2000,"&lt;="&amp;$A636)&gt;0,SUMIFS(Recepciones!$C$5:$C$2000,Recepciones!$B$5:$B$2000,Config!$A$25,Recepciones!$A$5:$A$2000,"&gt;"&amp;$A635,Recepciones!$A$5:$A$2000,"&lt;="&amp;$A636),MAX(0,I636-I635)))</f>
        <v/>
      </c>
      <c r="K636" s="24" t="str">
        <f aca="false">IF($A636="","",MAX(0,I635+J636-I636))</f>
        <v/>
      </c>
      <c r="L636" s="24" t="str">
        <f aca="false">IF($A636="","",E636+H636+K636)</f>
        <v/>
      </c>
      <c r="M636" s="4" t="str">
        <f aca="false">IF($A636="","",IF(AND(D636+G636+J636&gt;0,SUMIFS(Recepciones!$C$5:$C$2000,Recepciones!$A$5:$A$2000,"&gt;"&amp;$A635,Recepciones!$A$5:$A$2000,"&lt;="&amp;$A636)=0),"Aumento de stock sin recepción registrada",IF(B636&gt;1,"Intervalo de "&amp;B636&amp;" días","")))</f>
        <v/>
      </c>
    </row>
    <row r="637" customFormat="false" ht="15" hidden="false" customHeight="false" outlineLevel="0" collapsed="false">
      <c r="A637" s="5" t="str">
        <f aca="false">IF(Stock_Diario!A637="","",Stock_Diario!A637)</f>
        <v/>
      </c>
      <c r="B637" s="4" t="str">
        <f aca="false">IF($A637="","",$A637-$A636)</f>
        <v/>
      </c>
      <c r="C637" s="24" t="str">
        <f aca="false">IF($A637="","",Stock_Diario!E637)</f>
        <v/>
      </c>
      <c r="D637" s="24" t="str">
        <f aca="false">IF($A637="","",IF(SUMIFS(Recepciones!$C$5:$C$2000,Recepciones!$B$5:$B$2000,Config!$A$23,Recepciones!$A$5:$A$2000,"&gt;"&amp;$A636,Recepciones!$A$5:$A$2000,"&lt;="&amp;$A637)&gt;0,SUMIFS(Recepciones!$C$5:$C$2000,Recepciones!$B$5:$B$2000,Config!$A$23,Recepciones!$A$5:$A$2000,"&gt;"&amp;$A636,Recepciones!$A$5:$A$2000,"&lt;="&amp;$A637),MAX(0,C637-C636)))</f>
        <v/>
      </c>
      <c r="E637" s="24" t="str">
        <f aca="false">IF($A637="","",MAX(0,C636+D637-C637))</f>
        <v/>
      </c>
      <c r="F637" s="24" t="str">
        <f aca="false">IF($A637="","",Stock_Diario!F637)</f>
        <v/>
      </c>
      <c r="G637" s="24" t="str">
        <f aca="false">IF($A637="","",IF(SUMIFS(Recepciones!$C$5:$C$2000,Recepciones!$B$5:$B$2000,Config!$A$24,Recepciones!$A$5:$A$2000,"&gt;"&amp;$A636,Recepciones!$A$5:$A$2000,"&lt;="&amp;$A637)&gt;0,SUMIFS(Recepciones!$C$5:$C$2000,Recepciones!$B$5:$B$2000,Config!$A$24,Recepciones!$A$5:$A$2000,"&gt;"&amp;$A636,Recepciones!$A$5:$A$2000,"&lt;="&amp;$A637),MAX(0,F637-F636)))</f>
        <v/>
      </c>
      <c r="H637" s="24" t="str">
        <f aca="false">IF($A637="","",MAX(0,F636+G637-F637))</f>
        <v/>
      </c>
      <c r="I637" s="24" t="str">
        <f aca="false">IF($A637="","",Stock_Diario!G637)</f>
        <v/>
      </c>
      <c r="J637" s="24" t="str">
        <f aca="false">IF($A637="","",IF(SUMIFS(Recepciones!$C$5:$C$2000,Recepciones!$B$5:$B$2000,Config!$A$25,Recepciones!$A$5:$A$2000,"&gt;"&amp;$A636,Recepciones!$A$5:$A$2000,"&lt;="&amp;$A637)&gt;0,SUMIFS(Recepciones!$C$5:$C$2000,Recepciones!$B$5:$B$2000,Config!$A$25,Recepciones!$A$5:$A$2000,"&gt;"&amp;$A636,Recepciones!$A$5:$A$2000,"&lt;="&amp;$A637),MAX(0,I637-I636)))</f>
        <v/>
      </c>
      <c r="K637" s="24" t="str">
        <f aca="false">IF($A637="","",MAX(0,I636+J637-I637))</f>
        <v/>
      </c>
      <c r="L637" s="24" t="str">
        <f aca="false">IF($A637="","",E637+H637+K637)</f>
        <v/>
      </c>
      <c r="M637" s="4" t="str">
        <f aca="false">IF($A637="","",IF(AND(D637+G637+J637&gt;0,SUMIFS(Recepciones!$C$5:$C$2000,Recepciones!$A$5:$A$2000,"&gt;"&amp;$A636,Recepciones!$A$5:$A$2000,"&lt;="&amp;$A637)=0),"Aumento de stock sin recepción registrada",IF(B637&gt;1,"Intervalo de "&amp;B637&amp;" días","")))</f>
        <v/>
      </c>
    </row>
    <row r="638" customFormat="false" ht="15" hidden="false" customHeight="false" outlineLevel="0" collapsed="false">
      <c r="A638" s="5" t="str">
        <f aca="false">IF(Stock_Diario!A638="","",Stock_Diario!A638)</f>
        <v/>
      </c>
      <c r="B638" s="4" t="str">
        <f aca="false">IF($A638="","",$A638-$A637)</f>
        <v/>
      </c>
      <c r="C638" s="24" t="str">
        <f aca="false">IF($A638="","",Stock_Diario!E638)</f>
        <v/>
      </c>
      <c r="D638" s="24" t="str">
        <f aca="false">IF($A638="","",IF(SUMIFS(Recepciones!$C$5:$C$2000,Recepciones!$B$5:$B$2000,Config!$A$23,Recepciones!$A$5:$A$2000,"&gt;"&amp;$A637,Recepciones!$A$5:$A$2000,"&lt;="&amp;$A638)&gt;0,SUMIFS(Recepciones!$C$5:$C$2000,Recepciones!$B$5:$B$2000,Config!$A$23,Recepciones!$A$5:$A$2000,"&gt;"&amp;$A637,Recepciones!$A$5:$A$2000,"&lt;="&amp;$A638),MAX(0,C638-C637)))</f>
        <v/>
      </c>
      <c r="E638" s="24" t="str">
        <f aca="false">IF($A638="","",MAX(0,C637+D638-C638))</f>
        <v/>
      </c>
      <c r="F638" s="24" t="str">
        <f aca="false">IF($A638="","",Stock_Diario!F638)</f>
        <v/>
      </c>
      <c r="G638" s="24" t="str">
        <f aca="false">IF($A638="","",IF(SUMIFS(Recepciones!$C$5:$C$2000,Recepciones!$B$5:$B$2000,Config!$A$24,Recepciones!$A$5:$A$2000,"&gt;"&amp;$A637,Recepciones!$A$5:$A$2000,"&lt;="&amp;$A638)&gt;0,SUMIFS(Recepciones!$C$5:$C$2000,Recepciones!$B$5:$B$2000,Config!$A$24,Recepciones!$A$5:$A$2000,"&gt;"&amp;$A637,Recepciones!$A$5:$A$2000,"&lt;="&amp;$A638),MAX(0,F638-F637)))</f>
        <v/>
      </c>
      <c r="H638" s="24" t="str">
        <f aca="false">IF($A638="","",MAX(0,F637+G638-F638))</f>
        <v/>
      </c>
      <c r="I638" s="24" t="str">
        <f aca="false">IF($A638="","",Stock_Diario!G638)</f>
        <v/>
      </c>
      <c r="J638" s="24" t="str">
        <f aca="false">IF($A638="","",IF(SUMIFS(Recepciones!$C$5:$C$2000,Recepciones!$B$5:$B$2000,Config!$A$25,Recepciones!$A$5:$A$2000,"&gt;"&amp;$A637,Recepciones!$A$5:$A$2000,"&lt;="&amp;$A638)&gt;0,SUMIFS(Recepciones!$C$5:$C$2000,Recepciones!$B$5:$B$2000,Config!$A$25,Recepciones!$A$5:$A$2000,"&gt;"&amp;$A637,Recepciones!$A$5:$A$2000,"&lt;="&amp;$A638),MAX(0,I638-I637)))</f>
        <v/>
      </c>
      <c r="K638" s="24" t="str">
        <f aca="false">IF($A638="","",MAX(0,I637+J638-I638))</f>
        <v/>
      </c>
      <c r="L638" s="24" t="str">
        <f aca="false">IF($A638="","",E638+H638+K638)</f>
        <v/>
      </c>
      <c r="M638" s="4" t="str">
        <f aca="false">IF($A638="","",IF(AND(D638+G638+J638&gt;0,SUMIFS(Recepciones!$C$5:$C$2000,Recepciones!$A$5:$A$2000,"&gt;"&amp;$A637,Recepciones!$A$5:$A$2000,"&lt;="&amp;$A638)=0),"Aumento de stock sin recepción registrada",IF(B638&gt;1,"Intervalo de "&amp;B638&amp;" días","")))</f>
        <v/>
      </c>
    </row>
    <row r="639" customFormat="false" ht="15" hidden="false" customHeight="false" outlineLevel="0" collapsed="false">
      <c r="A639" s="5" t="str">
        <f aca="false">IF(Stock_Diario!A639="","",Stock_Diario!A639)</f>
        <v/>
      </c>
      <c r="B639" s="4" t="str">
        <f aca="false">IF($A639="","",$A639-$A638)</f>
        <v/>
      </c>
      <c r="C639" s="24" t="str">
        <f aca="false">IF($A639="","",Stock_Diario!E639)</f>
        <v/>
      </c>
      <c r="D639" s="24" t="str">
        <f aca="false">IF($A639="","",IF(SUMIFS(Recepciones!$C$5:$C$2000,Recepciones!$B$5:$B$2000,Config!$A$23,Recepciones!$A$5:$A$2000,"&gt;"&amp;$A638,Recepciones!$A$5:$A$2000,"&lt;="&amp;$A639)&gt;0,SUMIFS(Recepciones!$C$5:$C$2000,Recepciones!$B$5:$B$2000,Config!$A$23,Recepciones!$A$5:$A$2000,"&gt;"&amp;$A638,Recepciones!$A$5:$A$2000,"&lt;="&amp;$A639),MAX(0,C639-C638)))</f>
        <v/>
      </c>
      <c r="E639" s="24" t="str">
        <f aca="false">IF($A639="","",MAX(0,C638+D639-C639))</f>
        <v/>
      </c>
      <c r="F639" s="24" t="str">
        <f aca="false">IF($A639="","",Stock_Diario!F639)</f>
        <v/>
      </c>
      <c r="G639" s="24" t="str">
        <f aca="false">IF($A639="","",IF(SUMIFS(Recepciones!$C$5:$C$2000,Recepciones!$B$5:$B$2000,Config!$A$24,Recepciones!$A$5:$A$2000,"&gt;"&amp;$A638,Recepciones!$A$5:$A$2000,"&lt;="&amp;$A639)&gt;0,SUMIFS(Recepciones!$C$5:$C$2000,Recepciones!$B$5:$B$2000,Config!$A$24,Recepciones!$A$5:$A$2000,"&gt;"&amp;$A638,Recepciones!$A$5:$A$2000,"&lt;="&amp;$A639),MAX(0,F639-F638)))</f>
        <v/>
      </c>
      <c r="H639" s="24" t="str">
        <f aca="false">IF($A639="","",MAX(0,F638+G639-F639))</f>
        <v/>
      </c>
      <c r="I639" s="24" t="str">
        <f aca="false">IF($A639="","",Stock_Diario!G639)</f>
        <v/>
      </c>
      <c r="J639" s="24" t="str">
        <f aca="false">IF($A639="","",IF(SUMIFS(Recepciones!$C$5:$C$2000,Recepciones!$B$5:$B$2000,Config!$A$25,Recepciones!$A$5:$A$2000,"&gt;"&amp;$A638,Recepciones!$A$5:$A$2000,"&lt;="&amp;$A639)&gt;0,SUMIFS(Recepciones!$C$5:$C$2000,Recepciones!$B$5:$B$2000,Config!$A$25,Recepciones!$A$5:$A$2000,"&gt;"&amp;$A638,Recepciones!$A$5:$A$2000,"&lt;="&amp;$A639),MAX(0,I639-I638)))</f>
        <v/>
      </c>
      <c r="K639" s="24" t="str">
        <f aca="false">IF($A639="","",MAX(0,I638+J639-I639))</f>
        <v/>
      </c>
      <c r="L639" s="24" t="str">
        <f aca="false">IF($A639="","",E639+H639+K639)</f>
        <v/>
      </c>
      <c r="M639" s="4" t="str">
        <f aca="false">IF($A639="","",IF(AND(D639+G639+J639&gt;0,SUMIFS(Recepciones!$C$5:$C$2000,Recepciones!$A$5:$A$2000,"&gt;"&amp;$A638,Recepciones!$A$5:$A$2000,"&lt;="&amp;$A639)=0),"Aumento de stock sin recepción registrada",IF(B639&gt;1,"Intervalo de "&amp;B639&amp;" días","")))</f>
        <v/>
      </c>
    </row>
    <row r="640" customFormat="false" ht="15" hidden="false" customHeight="false" outlineLevel="0" collapsed="false">
      <c r="A640" s="5" t="str">
        <f aca="false">IF(Stock_Diario!A640="","",Stock_Diario!A640)</f>
        <v/>
      </c>
      <c r="B640" s="4" t="str">
        <f aca="false">IF($A640="","",$A640-$A639)</f>
        <v/>
      </c>
      <c r="C640" s="24" t="str">
        <f aca="false">IF($A640="","",Stock_Diario!E640)</f>
        <v/>
      </c>
      <c r="D640" s="24" t="str">
        <f aca="false">IF($A640="","",IF(SUMIFS(Recepciones!$C$5:$C$2000,Recepciones!$B$5:$B$2000,Config!$A$23,Recepciones!$A$5:$A$2000,"&gt;"&amp;$A639,Recepciones!$A$5:$A$2000,"&lt;="&amp;$A640)&gt;0,SUMIFS(Recepciones!$C$5:$C$2000,Recepciones!$B$5:$B$2000,Config!$A$23,Recepciones!$A$5:$A$2000,"&gt;"&amp;$A639,Recepciones!$A$5:$A$2000,"&lt;="&amp;$A640),MAX(0,C640-C639)))</f>
        <v/>
      </c>
      <c r="E640" s="24" t="str">
        <f aca="false">IF($A640="","",MAX(0,C639+D640-C640))</f>
        <v/>
      </c>
      <c r="F640" s="24" t="str">
        <f aca="false">IF($A640="","",Stock_Diario!F640)</f>
        <v/>
      </c>
      <c r="G640" s="24" t="str">
        <f aca="false">IF($A640="","",IF(SUMIFS(Recepciones!$C$5:$C$2000,Recepciones!$B$5:$B$2000,Config!$A$24,Recepciones!$A$5:$A$2000,"&gt;"&amp;$A639,Recepciones!$A$5:$A$2000,"&lt;="&amp;$A640)&gt;0,SUMIFS(Recepciones!$C$5:$C$2000,Recepciones!$B$5:$B$2000,Config!$A$24,Recepciones!$A$5:$A$2000,"&gt;"&amp;$A639,Recepciones!$A$5:$A$2000,"&lt;="&amp;$A640),MAX(0,F640-F639)))</f>
        <v/>
      </c>
      <c r="H640" s="24" t="str">
        <f aca="false">IF($A640="","",MAX(0,F639+G640-F640))</f>
        <v/>
      </c>
      <c r="I640" s="24" t="str">
        <f aca="false">IF($A640="","",Stock_Diario!G640)</f>
        <v/>
      </c>
      <c r="J640" s="24" t="str">
        <f aca="false">IF($A640="","",IF(SUMIFS(Recepciones!$C$5:$C$2000,Recepciones!$B$5:$B$2000,Config!$A$25,Recepciones!$A$5:$A$2000,"&gt;"&amp;$A639,Recepciones!$A$5:$A$2000,"&lt;="&amp;$A640)&gt;0,SUMIFS(Recepciones!$C$5:$C$2000,Recepciones!$B$5:$B$2000,Config!$A$25,Recepciones!$A$5:$A$2000,"&gt;"&amp;$A639,Recepciones!$A$5:$A$2000,"&lt;="&amp;$A640),MAX(0,I640-I639)))</f>
        <v/>
      </c>
      <c r="K640" s="24" t="str">
        <f aca="false">IF($A640="","",MAX(0,I639+J640-I640))</f>
        <v/>
      </c>
      <c r="L640" s="24" t="str">
        <f aca="false">IF($A640="","",E640+H640+K640)</f>
        <v/>
      </c>
      <c r="M640" s="4" t="str">
        <f aca="false">IF($A640="","",IF(AND(D640+G640+J640&gt;0,SUMIFS(Recepciones!$C$5:$C$2000,Recepciones!$A$5:$A$2000,"&gt;"&amp;$A639,Recepciones!$A$5:$A$2000,"&lt;="&amp;$A640)=0),"Aumento de stock sin recepción registrada",IF(B640&gt;1,"Intervalo de "&amp;B640&amp;" días","")))</f>
        <v/>
      </c>
    </row>
    <row r="641" customFormat="false" ht="15" hidden="false" customHeight="false" outlineLevel="0" collapsed="false">
      <c r="A641" s="5" t="str">
        <f aca="false">IF(Stock_Diario!A641="","",Stock_Diario!A641)</f>
        <v/>
      </c>
      <c r="B641" s="4" t="str">
        <f aca="false">IF($A641="","",$A641-$A640)</f>
        <v/>
      </c>
      <c r="C641" s="24" t="str">
        <f aca="false">IF($A641="","",Stock_Diario!E641)</f>
        <v/>
      </c>
      <c r="D641" s="24" t="str">
        <f aca="false">IF($A641="","",IF(SUMIFS(Recepciones!$C$5:$C$2000,Recepciones!$B$5:$B$2000,Config!$A$23,Recepciones!$A$5:$A$2000,"&gt;"&amp;$A640,Recepciones!$A$5:$A$2000,"&lt;="&amp;$A641)&gt;0,SUMIFS(Recepciones!$C$5:$C$2000,Recepciones!$B$5:$B$2000,Config!$A$23,Recepciones!$A$5:$A$2000,"&gt;"&amp;$A640,Recepciones!$A$5:$A$2000,"&lt;="&amp;$A641),MAX(0,C641-C640)))</f>
        <v/>
      </c>
      <c r="E641" s="24" t="str">
        <f aca="false">IF($A641="","",MAX(0,C640+D641-C641))</f>
        <v/>
      </c>
      <c r="F641" s="24" t="str">
        <f aca="false">IF($A641="","",Stock_Diario!F641)</f>
        <v/>
      </c>
      <c r="G641" s="24" t="str">
        <f aca="false">IF($A641="","",IF(SUMIFS(Recepciones!$C$5:$C$2000,Recepciones!$B$5:$B$2000,Config!$A$24,Recepciones!$A$5:$A$2000,"&gt;"&amp;$A640,Recepciones!$A$5:$A$2000,"&lt;="&amp;$A641)&gt;0,SUMIFS(Recepciones!$C$5:$C$2000,Recepciones!$B$5:$B$2000,Config!$A$24,Recepciones!$A$5:$A$2000,"&gt;"&amp;$A640,Recepciones!$A$5:$A$2000,"&lt;="&amp;$A641),MAX(0,F641-F640)))</f>
        <v/>
      </c>
      <c r="H641" s="24" t="str">
        <f aca="false">IF($A641="","",MAX(0,F640+G641-F641))</f>
        <v/>
      </c>
      <c r="I641" s="24" t="str">
        <f aca="false">IF($A641="","",Stock_Diario!G641)</f>
        <v/>
      </c>
      <c r="J641" s="24" t="str">
        <f aca="false">IF($A641="","",IF(SUMIFS(Recepciones!$C$5:$C$2000,Recepciones!$B$5:$B$2000,Config!$A$25,Recepciones!$A$5:$A$2000,"&gt;"&amp;$A640,Recepciones!$A$5:$A$2000,"&lt;="&amp;$A641)&gt;0,SUMIFS(Recepciones!$C$5:$C$2000,Recepciones!$B$5:$B$2000,Config!$A$25,Recepciones!$A$5:$A$2000,"&gt;"&amp;$A640,Recepciones!$A$5:$A$2000,"&lt;="&amp;$A641),MAX(0,I641-I640)))</f>
        <v/>
      </c>
      <c r="K641" s="24" t="str">
        <f aca="false">IF($A641="","",MAX(0,I640+J641-I641))</f>
        <v/>
      </c>
      <c r="L641" s="24" t="str">
        <f aca="false">IF($A641="","",E641+H641+K641)</f>
        <v/>
      </c>
      <c r="M641" s="4" t="str">
        <f aca="false">IF($A641="","",IF(AND(D641+G641+J641&gt;0,SUMIFS(Recepciones!$C$5:$C$2000,Recepciones!$A$5:$A$2000,"&gt;"&amp;$A640,Recepciones!$A$5:$A$2000,"&lt;="&amp;$A641)=0),"Aumento de stock sin recepción registrada",IF(B641&gt;1,"Intervalo de "&amp;B641&amp;" días","")))</f>
        <v/>
      </c>
    </row>
    <row r="642" customFormat="false" ht="15" hidden="false" customHeight="false" outlineLevel="0" collapsed="false">
      <c r="A642" s="5" t="str">
        <f aca="false">IF(Stock_Diario!A642="","",Stock_Diario!A642)</f>
        <v/>
      </c>
      <c r="B642" s="4" t="str">
        <f aca="false">IF($A642="","",$A642-$A641)</f>
        <v/>
      </c>
      <c r="C642" s="24" t="str">
        <f aca="false">IF($A642="","",Stock_Diario!E642)</f>
        <v/>
      </c>
      <c r="D642" s="24" t="str">
        <f aca="false">IF($A642="","",IF(SUMIFS(Recepciones!$C$5:$C$2000,Recepciones!$B$5:$B$2000,Config!$A$23,Recepciones!$A$5:$A$2000,"&gt;"&amp;$A641,Recepciones!$A$5:$A$2000,"&lt;="&amp;$A642)&gt;0,SUMIFS(Recepciones!$C$5:$C$2000,Recepciones!$B$5:$B$2000,Config!$A$23,Recepciones!$A$5:$A$2000,"&gt;"&amp;$A641,Recepciones!$A$5:$A$2000,"&lt;="&amp;$A642),MAX(0,C642-C641)))</f>
        <v/>
      </c>
      <c r="E642" s="24" t="str">
        <f aca="false">IF($A642="","",MAX(0,C641+D642-C642))</f>
        <v/>
      </c>
      <c r="F642" s="24" t="str">
        <f aca="false">IF($A642="","",Stock_Diario!F642)</f>
        <v/>
      </c>
      <c r="G642" s="24" t="str">
        <f aca="false">IF($A642="","",IF(SUMIFS(Recepciones!$C$5:$C$2000,Recepciones!$B$5:$B$2000,Config!$A$24,Recepciones!$A$5:$A$2000,"&gt;"&amp;$A641,Recepciones!$A$5:$A$2000,"&lt;="&amp;$A642)&gt;0,SUMIFS(Recepciones!$C$5:$C$2000,Recepciones!$B$5:$B$2000,Config!$A$24,Recepciones!$A$5:$A$2000,"&gt;"&amp;$A641,Recepciones!$A$5:$A$2000,"&lt;="&amp;$A642),MAX(0,F642-F641)))</f>
        <v/>
      </c>
      <c r="H642" s="24" t="str">
        <f aca="false">IF($A642="","",MAX(0,F641+G642-F642))</f>
        <v/>
      </c>
      <c r="I642" s="24" t="str">
        <f aca="false">IF($A642="","",Stock_Diario!G642)</f>
        <v/>
      </c>
      <c r="J642" s="24" t="str">
        <f aca="false">IF($A642="","",IF(SUMIFS(Recepciones!$C$5:$C$2000,Recepciones!$B$5:$B$2000,Config!$A$25,Recepciones!$A$5:$A$2000,"&gt;"&amp;$A641,Recepciones!$A$5:$A$2000,"&lt;="&amp;$A642)&gt;0,SUMIFS(Recepciones!$C$5:$C$2000,Recepciones!$B$5:$B$2000,Config!$A$25,Recepciones!$A$5:$A$2000,"&gt;"&amp;$A641,Recepciones!$A$5:$A$2000,"&lt;="&amp;$A642),MAX(0,I642-I641)))</f>
        <v/>
      </c>
      <c r="K642" s="24" t="str">
        <f aca="false">IF($A642="","",MAX(0,I641+J642-I642))</f>
        <v/>
      </c>
      <c r="L642" s="24" t="str">
        <f aca="false">IF($A642="","",E642+H642+K642)</f>
        <v/>
      </c>
      <c r="M642" s="4" t="str">
        <f aca="false">IF($A642="","",IF(AND(D642+G642+J642&gt;0,SUMIFS(Recepciones!$C$5:$C$2000,Recepciones!$A$5:$A$2000,"&gt;"&amp;$A641,Recepciones!$A$5:$A$2000,"&lt;="&amp;$A642)=0),"Aumento de stock sin recepción registrada",IF(B642&gt;1,"Intervalo de "&amp;B642&amp;" días","")))</f>
        <v/>
      </c>
    </row>
    <row r="643" customFormat="false" ht="15" hidden="false" customHeight="false" outlineLevel="0" collapsed="false">
      <c r="A643" s="5" t="str">
        <f aca="false">IF(Stock_Diario!A643="","",Stock_Diario!A643)</f>
        <v/>
      </c>
      <c r="B643" s="4" t="str">
        <f aca="false">IF($A643="","",$A643-$A642)</f>
        <v/>
      </c>
      <c r="C643" s="24" t="str">
        <f aca="false">IF($A643="","",Stock_Diario!E643)</f>
        <v/>
      </c>
      <c r="D643" s="24" t="str">
        <f aca="false">IF($A643="","",IF(SUMIFS(Recepciones!$C$5:$C$2000,Recepciones!$B$5:$B$2000,Config!$A$23,Recepciones!$A$5:$A$2000,"&gt;"&amp;$A642,Recepciones!$A$5:$A$2000,"&lt;="&amp;$A643)&gt;0,SUMIFS(Recepciones!$C$5:$C$2000,Recepciones!$B$5:$B$2000,Config!$A$23,Recepciones!$A$5:$A$2000,"&gt;"&amp;$A642,Recepciones!$A$5:$A$2000,"&lt;="&amp;$A643),MAX(0,C643-C642)))</f>
        <v/>
      </c>
      <c r="E643" s="24" t="str">
        <f aca="false">IF($A643="","",MAX(0,C642+D643-C643))</f>
        <v/>
      </c>
      <c r="F643" s="24" t="str">
        <f aca="false">IF($A643="","",Stock_Diario!F643)</f>
        <v/>
      </c>
      <c r="G643" s="24" t="str">
        <f aca="false">IF($A643="","",IF(SUMIFS(Recepciones!$C$5:$C$2000,Recepciones!$B$5:$B$2000,Config!$A$24,Recepciones!$A$5:$A$2000,"&gt;"&amp;$A642,Recepciones!$A$5:$A$2000,"&lt;="&amp;$A643)&gt;0,SUMIFS(Recepciones!$C$5:$C$2000,Recepciones!$B$5:$B$2000,Config!$A$24,Recepciones!$A$5:$A$2000,"&gt;"&amp;$A642,Recepciones!$A$5:$A$2000,"&lt;="&amp;$A643),MAX(0,F643-F642)))</f>
        <v/>
      </c>
      <c r="H643" s="24" t="str">
        <f aca="false">IF($A643="","",MAX(0,F642+G643-F643))</f>
        <v/>
      </c>
      <c r="I643" s="24" t="str">
        <f aca="false">IF($A643="","",Stock_Diario!G643)</f>
        <v/>
      </c>
      <c r="J643" s="24" t="str">
        <f aca="false">IF($A643="","",IF(SUMIFS(Recepciones!$C$5:$C$2000,Recepciones!$B$5:$B$2000,Config!$A$25,Recepciones!$A$5:$A$2000,"&gt;"&amp;$A642,Recepciones!$A$5:$A$2000,"&lt;="&amp;$A643)&gt;0,SUMIFS(Recepciones!$C$5:$C$2000,Recepciones!$B$5:$B$2000,Config!$A$25,Recepciones!$A$5:$A$2000,"&gt;"&amp;$A642,Recepciones!$A$5:$A$2000,"&lt;="&amp;$A643),MAX(0,I643-I642)))</f>
        <v/>
      </c>
      <c r="K643" s="24" t="str">
        <f aca="false">IF($A643="","",MAX(0,I642+J643-I643))</f>
        <v/>
      </c>
      <c r="L643" s="24" t="str">
        <f aca="false">IF($A643="","",E643+H643+K643)</f>
        <v/>
      </c>
      <c r="M643" s="4" t="str">
        <f aca="false">IF($A643="","",IF(AND(D643+G643+J643&gt;0,SUMIFS(Recepciones!$C$5:$C$2000,Recepciones!$A$5:$A$2000,"&gt;"&amp;$A642,Recepciones!$A$5:$A$2000,"&lt;="&amp;$A643)=0),"Aumento de stock sin recepción registrada",IF(B643&gt;1,"Intervalo de "&amp;B643&amp;" días","")))</f>
        <v/>
      </c>
    </row>
    <row r="644" customFormat="false" ht="15" hidden="false" customHeight="false" outlineLevel="0" collapsed="false">
      <c r="A644" s="5" t="str">
        <f aca="false">IF(Stock_Diario!A644="","",Stock_Diario!A644)</f>
        <v/>
      </c>
      <c r="B644" s="4" t="str">
        <f aca="false">IF($A644="","",$A644-$A643)</f>
        <v/>
      </c>
      <c r="C644" s="24" t="str">
        <f aca="false">IF($A644="","",Stock_Diario!E644)</f>
        <v/>
      </c>
      <c r="D644" s="24" t="str">
        <f aca="false">IF($A644="","",IF(SUMIFS(Recepciones!$C$5:$C$2000,Recepciones!$B$5:$B$2000,Config!$A$23,Recepciones!$A$5:$A$2000,"&gt;"&amp;$A643,Recepciones!$A$5:$A$2000,"&lt;="&amp;$A644)&gt;0,SUMIFS(Recepciones!$C$5:$C$2000,Recepciones!$B$5:$B$2000,Config!$A$23,Recepciones!$A$5:$A$2000,"&gt;"&amp;$A643,Recepciones!$A$5:$A$2000,"&lt;="&amp;$A644),MAX(0,C644-C643)))</f>
        <v/>
      </c>
      <c r="E644" s="24" t="str">
        <f aca="false">IF($A644="","",MAX(0,C643+D644-C644))</f>
        <v/>
      </c>
      <c r="F644" s="24" t="str">
        <f aca="false">IF($A644="","",Stock_Diario!F644)</f>
        <v/>
      </c>
      <c r="G644" s="24" t="str">
        <f aca="false">IF($A644="","",IF(SUMIFS(Recepciones!$C$5:$C$2000,Recepciones!$B$5:$B$2000,Config!$A$24,Recepciones!$A$5:$A$2000,"&gt;"&amp;$A643,Recepciones!$A$5:$A$2000,"&lt;="&amp;$A644)&gt;0,SUMIFS(Recepciones!$C$5:$C$2000,Recepciones!$B$5:$B$2000,Config!$A$24,Recepciones!$A$5:$A$2000,"&gt;"&amp;$A643,Recepciones!$A$5:$A$2000,"&lt;="&amp;$A644),MAX(0,F644-F643)))</f>
        <v/>
      </c>
      <c r="H644" s="24" t="str">
        <f aca="false">IF($A644="","",MAX(0,F643+G644-F644))</f>
        <v/>
      </c>
      <c r="I644" s="24" t="str">
        <f aca="false">IF($A644="","",Stock_Diario!G644)</f>
        <v/>
      </c>
      <c r="J644" s="24" t="str">
        <f aca="false">IF($A644="","",IF(SUMIFS(Recepciones!$C$5:$C$2000,Recepciones!$B$5:$B$2000,Config!$A$25,Recepciones!$A$5:$A$2000,"&gt;"&amp;$A643,Recepciones!$A$5:$A$2000,"&lt;="&amp;$A644)&gt;0,SUMIFS(Recepciones!$C$5:$C$2000,Recepciones!$B$5:$B$2000,Config!$A$25,Recepciones!$A$5:$A$2000,"&gt;"&amp;$A643,Recepciones!$A$5:$A$2000,"&lt;="&amp;$A644),MAX(0,I644-I643)))</f>
        <v/>
      </c>
      <c r="K644" s="24" t="str">
        <f aca="false">IF($A644="","",MAX(0,I643+J644-I644))</f>
        <v/>
      </c>
      <c r="L644" s="24" t="str">
        <f aca="false">IF($A644="","",E644+H644+K644)</f>
        <v/>
      </c>
      <c r="M644" s="4" t="str">
        <f aca="false">IF($A644="","",IF(AND(D644+G644+J644&gt;0,SUMIFS(Recepciones!$C$5:$C$2000,Recepciones!$A$5:$A$2000,"&gt;"&amp;$A643,Recepciones!$A$5:$A$2000,"&lt;="&amp;$A644)=0),"Aumento de stock sin recepción registrada",IF(B644&gt;1,"Intervalo de "&amp;B644&amp;" días","")))</f>
        <v/>
      </c>
    </row>
    <row r="645" customFormat="false" ht="15" hidden="false" customHeight="false" outlineLevel="0" collapsed="false">
      <c r="A645" s="5" t="str">
        <f aca="false">IF(Stock_Diario!A645="","",Stock_Diario!A645)</f>
        <v/>
      </c>
      <c r="B645" s="4" t="str">
        <f aca="false">IF($A645="","",$A645-$A644)</f>
        <v/>
      </c>
      <c r="C645" s="24" t="str">
        <f aca="false">IF($A645="","",Stock_Diario!E645)</f>
        <v/>
      </c>
      <c r="D645" s="24" t="str">
        <f aca="false">IF($A645="","",IF(SUMIFS(Recepciones!$C$5:$C$2000,Recepciones!$B$5:$B$2000,Config!$A$23,Recepciones!$A$5:$A$2000,"&gt;"&amp;$A644,Recepciones!$A$5:$A$2000,"&lt;="&amp;$A645)&gt;0,SUMIFS(Recepciones!$C$5:$C$2000,Recepciones!$B$5:$B$2000,Config!$A$23,Recepciones!$A$5:$A$2000,"&gt;"&amp;$A644,Recepciones!$A$5:$A$2000,"&lt;="&amp;$A645),MAX(0,C645-C644)))</f>
        <v/>
      </c>
      <c r="E645" s="24" t="str">
        <f aca="false">IF($A645="","",MAX(0,C644+D645-C645))</f>
        <v/>
      </c>
      <c r="F645" s="24" t="str">
        <f aca="false">IF($A645="","",Stock_Diario!F645)</f>
        <v/>
      </c>
      <c r="G645" s="24" t="str">
        <f aca="false">IF($A645="","",IF(SUMIFS(Recepciones!$C$5:$C$2000,Recepciones!$B$5:$B$2000,Config!$A$24,Recepciones!$A$5:$A$2000,"&gt;"&amp;$A644,Recepciones!$A$5:$A$2000,"&lt;="&amp;$A645)&gt;0,SUMIFS(Recepciones!$C$5:$C$2000,Recepciones!$B$5:$B$2000,Config!$A$24,Recepciones!$A$5:$A$2000,"&gt;"&amp;$A644,Recepciones!$A$5:$A$2000,"&lt;="&amp;$A645),MAX(0,F645-F644)))</f>
        <v/>
      </c>
      <c r="H645" s="24" t="str">
        <f aca="false">IF($A645="","",MAX(0,F644+G645-F645))</f>
        <v/>
      </c>
      <c r="I645" s="24" t="str">
        <f aca="false">IF($A645="","",Stock_Diario!G645)</f>
        <v/>
      </c>
      <c r="J645" s="24" t="str">
        <f aca="false">IF($A645="","",IF(SUMIFS(Recepciones!$C$5:$C$2000,Recepciones!$B$5:$B$2000,Config!$A$25,Recepciones!$A$5:$A$2000,"&gt;"&amp;$A644,Recepciones!$A$5:$A$2000,"&lt;="&amp;$A645)&gt;0,SUMIFS(Recepciones!$C$5:$C$2000,Recepciones!$B$5:$B$2000,Config!$A$25,Recepciones!$A$5:$A$2000,"&gt;"&amp;$A644,Recepciones!$A$5:$A$2000,"&lt;="&amp;$A645),MAX(0,I645-I644)))</f>
        <v/>
      </c>
      <c r="K645" s="24" t="str">
        <f aca="false">IF($A645="","",MAX(0,I644+J645-I645))</f>
        <v/>
      </c>
      <c r="L645" s="24" t="str">
        <f aca="false">IF($A645="","",E645+H645+K645)</f>
        <v/>
      </c>
      <c r="M645" s="4" t="str">
        <f aca="false">IF($A645="","",IF(AND(D645+G645+J645&gt;0,SUMIFS(Recepciones!$C$5:$C$2000,Recepciones!$A$5:$A$2000,"&gt;"&amp;$A644,Recepciones!$A$5:$A$2000,"&lt;="&amp;$A645)=0),"Aumento de stock sin recepción registrada",IF(B645&gt;1,"Intervalo de "&amp;B645&amp;" días","")))</f>
        <v/>
      </c>
    </row>
    <row r="646" customFormat="false" ht="15" hidden="false" customHeight="false" outlineLevel="0" collapsed="false">
      <c r="A646" s="5" t="str">
        <f aca="false">IF(Stock_Diario!A646="","",Stock_Diario!A646)</f>
        <v/>
      </c>
      <c r="B646" s="4" t="str">
        <f aca="false">IF($A646="","",$A646-$A645)</f>
        <v/>
      </c>
      <c r="C646" s="24" t="str">
        <f aca="false">IF($A646="","",Stock_Diario!E646)</f>
        <v/>
      </c>
      <c r="D646" s="24" t="str">
        <f aca="false">IF($A646="","",IF(SUMIFS(Recepciones!$C$5:$C$2000,Recepciones!$B$5:$B$2000,Config!$A$23,Recepciones!$A$5:$A$2000,"&gt;"&amp;$A645,Recepciones!$A$5:$A$2000,"&lt;="&amp;$A646)&gt;0,SUMIFS(Recepciones!$C$5:$C$2000,Recepciones!$B$5:$B$2000,Config!$A$23,Recepciones!$A$5:$A$2000,"&gt;"&amp;$A645,Recepciones!$A$5:$A$2000,"&lt;="&amp;$A646),MAX(0,C646-C645)))</f>
        <v/>
      </c>
      <c r="E646" s="24" t="str">
        <f aca="false">IF($A646="","",MAX(0,C645+D646-C646))</f>
        <v/>
      </c>
      <c r="F646" s="24" t="str">
        <f aca="false">IF($A646="","",Stock_Diario!F646)</f>
        <v/>
      </c>
      <c r="G646" s="24" t="str">
        <f aca="false">IF($A646="","",IF(SUMIFS(Recepciones!$C$5:$C$2000,Recepciones!$B$5:$B$2000,Config!$A$24,Recepciones!$A$5:$A$2000,"&gt;"&amp;$A645,Recepciones!$A$5:$A$2000,"&lt;="&amp;$A646)&gt;0,SUMIFS(Recepciones!$C$5:$C$2000,Recepciones!$B$5:$B$2000,Config!$A$24,Recepciones!$A$5:$A$2000,"&gt;"&amp;$A645,Recepciones!$A$5:$A$2000,"&lt;="&amp;$A646),MAX(0,F646-F645)))</f>
        <v/>
      </c>
      <c r="H646" s="24" t="str">
        <f aca="false">IF($A646="","",MAX(0,F645+G646-F646))</f>
        <v/>
      </c>
      <c r="I646" s="24" t="str">
        <f aca="false">IF($A646="","",Stock_Diario!G646)</f>
        <v/>
      </c>
      <c r="J646" s="24" t="str">
        <f aca="false">IF($A646="","",IF(SUMIFS(Recepciones!$C$5:$C$2000,Recepciones!$B$5:$B$2000,Config!$A$25,Recepciones!$A$5:$A$2000,"&gt;"&amp;$A645,Recepciones!$A$5:$A$2000,"&lt;="&amp;$A646)&gt;0,SUMIFS(Recepciones!$C$5:$C$2000,Recepciones!$B$5:$B$2000,Config!$A$25,Recepciones!$A$5:$A$2000,"&gt;"&amp;$A645,Recepciones!$A$5:$A$2000,"&lt;="&amp;$A646),MAX(0,I646-I645)))</f>
        <v/>
      </c>
      <c r="K646" s="24" t="str">
        <f aca="false">IF($A646="","",MAX(0,I645+J646-I646))</f>
        <v/>
      </c>
      <c r="L646" s="24" t="str">
        <f aca="false">IF($A646="","",E646+H646+K646)</f>
        <v/>
      </c>
      <c r="M646" s="4" t="str">
        <f aca="false">IF($A646="","",IF(AND(D646+G646+J646&gt;0,SUMIFS(Recepciones!$C$5:$C$2000,Recepciones!$A$5:$A$2000,"&gt;"&amp;$A645,Recepciones!$A$5:$A$2000,"&lt;="&amp;$A646)=0),"Aumento de stock sin recepción registrada",IF(B646&gt;1,"Intervalo de "&amp;B646&amp;" días","")))</f>
        <v/>
      </c>
    </row>
    <row r="647" customFormat="false" ht="15" hidden="false" customHeight="false" outlineLevel="0" collapsed="false">
      <c r="A647" s="5" t="str">
        <f aca="false">IF(Stock_Diario!A647="","",Stock_Diario!A647)</f>
        <v/>
      </c>
      <c r="B647" s="4" t="str">
        <f aca="false">IF($A647="","",$A647-$A646)</f>
        <v/>
      </c>
      <c r="C647" s="24" t="str">
        <f aca="false">IF($A647="","",Stock_Diario!E647)</f>
        <v/>
      </c>
      <c r="D647" s="24" t="str">
        <f aca="false">IF($A647="","",IF(SUMIFS(Recepciones!$C$5:$C$2000,Recepciones!$B$5:$B$2000,Config!$A$23,Recepciones!$A$5:$A$2000,"&gt;"&amp;$A646,Recepciones!$A$5:$A$2000,"&lt;="&amp;$A647)&gt;0,SUMIFS(Recepciones!$C$5:$C$2000,Recepciones!$B$5:$B$2000,Config!$A$23,Recepciones!$A$5:$A$2000,"&gt;"&amp;$A646,Recepciones!$A$5:$A$2000,"&lt;="&amp;$A647),MAX(0,C647-C646)))</f>
        <v/>
      </c>
      <c r="E647" s="24" t="str">
        <f aca="false">IF($A647="","",MAX(0,C646+D647-C647))</f>
        <v/>
      </c>
      <c r="F647" s="24" t="str">
        <f aca="false">IF($A647="","",Stock_Diario!F647)</f>
        <v/>
      </c>
      <c r="G647" s="24" t="str">
        <f aca="false">IF($A647="","",IF(SUMIFS(Recepciones!$C$5:$C$2000,Recepciones!$B$5:$B$2000,Config!$A$24,Recepciones!$A$5:$A$2000,"&gt;"&amp;$A646,Recepciones!$A$5:$A$2000,"&lt;="&amp;$A647)&gt;0,SUMIFS(Recepciones!$C$5:$C$2000,Recepciones!$B$5:$B$2000,Config!$A$24,Recepciones!$A$5:$A$2000,"&gt;"&amp;$A646,Recepciones!$A$5:$A$2000,"&lt;="&amp;$A647),MAX(0,F647-F646)))</f>
        <v/>
      </c>
      <c r="H647" s="24" t="str">
        <f aca="false">IF($A647="","",MAX(0,F646+G647-F647))</f>
        <v/>
      </c>
      <c r="I647" s="24" t="str">
        <f aca="false">IF($A647="","",Stock_Diario!G647)</f>
        <v/>
      </c>
      <c r="J647" s="24" t="str">
        <f aca="false">IF($A647="","",IF(SUMIFS(Recepciones!$C$5:$C$2000,Recepciones!$B$5:$B$2000,Config!$A$25,Recepciones!$A$5:$A$2000,"&gt;"&amp;$A646,Recepciones!$A$5:$A$2000,"&lt;="&amp;$A647)&gt;0,SUMIFS(Recepciones!$C$5:$C$2000,Recepciones!$B$5:$B$2000,Config!$A$25,Recepciones!$A$5:$A$2000,"&gt;"&amp;$A646,Recepciones!$A$5:$A$2000,"&lt;="&amp;$A647),MAX(0,I647-I646)))</f>
        <v/>
      </c>
      <c r="K647" s="24" t="str">
        <f aca="false">IF($A647="","",MAX(0,I646+J647-I647))</f>
        <v/>
      </c>
      <c r="L647" s="24" t="str">
        <f aca="false">IF($A647="","",E647+H647+K647)</f>
        <v/>
      </c>
      <c r="M647" s="4" t="str">
        <f aca="false">IF($A647="","",IF(AND(D647+G647+J647&gt;0,SUMIFS(Recepciones!$C$5:$C$2000,Recepciones!$A$5:$A$2000,"&gt;"&amp;$A646,Recepciones!$A$5:$A$2000,"&lt;="&amp;$A647)=0),"Aumento de stock sin recepción registrada",IF(B647&gt;1,"Intervalo de "&amp;B647&amp;" días","")))</f>
        <v/>
      </c>
    </row>
    <row r="648" customFormat="false" ht="15" hidden="false" customHeight="false" outlineLevel="0" collapsed="false">
      <c r="A648" s="5" t="str">
        <f aca="false">IF(Stock_Diario!A648="","",Stock_Diario!A648)</f>
        <v/>
      </c>
      <c r="B648" s="4" t="str">
        <f aca="false">IF($A648="","",$A648-$A647)</f>
        <v/>
      </c>
      <c r="C648" s="24" t="str">
        <f aca="false">IF($A648="","",Stock_Diario!E648)</f>
        <v/>
      </c>
      <c r="D648" s="24" t="str">
        <f aca="false">IF($A648="","",IF(SUMIFS(Recepciones!$C$5:$C$2000,Recepciones!$B$5:$B$2000,Config!$A$23,Recepciones!$A$5:$A$2000,"&gt;"&amp;$A647,Recepciones!$A$5:$A$2000,"&lt;="&amp;$A648)&gt;0,SUMIFS(Recepciones!$C$5:$C$2000,Recepciones!$B$5:$B$2000,Config!$A$23,Recepciones!$A$5:$A$2000,"&gt;"&amp;$A647,Recepciones!$A$5:$A$2000,"&lt;="&amp;$A648),MAX(0,C648-C647)))</f>
        <v/>
      </c>
      <c r="E648" s="24" t="str">
        <f aca="false">IF($A648="","",MAX(0,C647+D648-C648))</f>
        <v/>
      </c>
      <c r="F648" s="24" t="str">
        <f aca="false">IF($A648="","",Stock_Diario!F648)</f>
        <v/>
      </c>
      <c r="G648" s="24" t="str">
        <f aca="false">IF($A648="","",IF(SUMIFS(Recepciones!$C$5:$C$2000,Recepciones!$B$5:$B$2000,Config!$A$24,Recepciones!$A$5:$A$2000,"&gt;"&amp;$A647,Recepciones!$A$5:$A$2000,"&lt;="&amp;$A648)&gt;0,SUMIFS(Recepciones!$C$5:$C$2000,Recepciones!$B$5:$B$2000,Config!$A$24,Recepciones!$A$5:$A$2000,"&gt;"&amp;$A647,Recepciones!$A$5:$A$2000,"&lt;="&amp;$A648),MAX(0,F648-F647)))</f>
        <v/>
      </c>
      <c r="H648" s="24" t="str">
        <f aca="false">IF($A648="","",MAX(0,F647+G648-F648))</f>
        <v/>
      </c>
      <c r="I648" s="24" t="str">
        <f aca="false">IF($A648="","",Stock_Diario!G648)</f>
        <v/>
      </c>
      <c r="J648" s="24" t="str">
        <f aca="false">IF($A648="","",IF(SUMIFS(Recepciones!$C$5:$C$2000,Recepciones!$B$5:$B$2000,Config!$A$25,Recepciones!$A$5:$A$2000,"&gt;"&amp;$A647,Recepciones!$A$5:$A$2000,"&lt;="&amp;$A648)&gt;0,SUMIFS(Recepciones!$C$5:$C$2000,Recepciones!$B$5:$B$2000,Config!$A$25,Recepciones!$A$5:$A$2000,"&gt;"&amp;$A647,Recepciones!$A$5:$A$2000,"&lt;="&amp;$A648),MAX(0,I648-I647)))</f>
        <v/>
      </c>
      <c r="K648" s="24" t="str">
        <f aca="false">IF($A648="","",MAX(0,I647+J648-I648))</f>
        <v/>
      </c>
      <c r="L648" s="24" t="str">
        <f aca="false">IF($A648="","",E648+H648+K648)</f>
        <v/>
      </c>
      <c r="M648" s="4" t="str">
        <f aca="false">IF($A648="","",IF(AND(D648+G648+J648&gt;0,SUMIFS(Recepciones!$C$5:$C$2000,Recepciones!$A$5:$A$2000,"&gt;"&amp;$A647,Recepciones!$A$5:$A$2000,"&lt;="&amp;$A648)=0),"Aumento de stock sin recepción registrada",IF(B648&gt;1,"Intervalo de "&amp;B648&amp;" días","")))</f>
        <v/>
      </c>
    </row>
    <row r="649" customFormat="false" ht="15" hidden="false" customHeight="false" outlineLevel="0" collapsed="false">
      <c r="A649" s="5" t="str">
        <f aca="false">IF(Stock_Diario!A649="","",Stock_Diario!A649)</f>
        <v/>
      </c>
      <c r="B649" s="4" t="str">
        <f aca="false">IF($A649="","",$A649-$A648)</f>
        <v/>
      </c>
      <c r="C649" s="24" t="str">
        <f aca="false">IF($A649="","",Stock_Diario!E649)</f>
        <v/>
      </c>
      <c r="D649" s="24" t="str">
        <f aca="false">IF($A649="","",IF(SUMIFS(Recepciones!$C$5:$C$2000,Recepciones!$B$5:$B$2000,Config!$A$23,Recepciones!$A$5:$A$2000,"&gt;"&amp;$A648,Recepciones!$A$5:$A$2000,"&lt;="&amp;$A649)&gt;0,SUMIFS(Recepciones!$C$5:$C$2000,Recepciones!$B$5:$B$2000,Config!$A$23,Recepciones!$A$5:$A$2000,"&gt;"&amp;$A648,Recepciones!$A$5:$A$2000,"&lt;="&amp;$A649),MAX(0,C649-C648)))</f>
        <v/>
      </c>
      <c r="E649" s="24" t="str">
        <f aca="false">IF($A649="","",MAX(0,C648+D649-C649))</f>
        <v/>
      </c>
      <c r="F649" s="24" t="str">
        <f aca="false">IF($A649="","",Stock_Diario!F649)</f>
        <v/>
      </c>
      <c r="G649" s="24" t="str">
        <f aca="false">IF($A649="","",IF(SUMIFS(Recepciones!$C$5:$C$2000,Recepciones!$B$5:$B$2000,Config!$A$24,Recepciones!$A$5:$A$2000,"&gt;"&amp;$A648,Recepciones!$A$5:$A$2000,"&lt;="&amp;$A649)&gt;0,SUMIFS(Recepciones!$C$5:$C$2000,Recepciones!$B$5:$B$2000,Config!$A$24,Recepciones!$A$5:$A$2000,"&gt;"&amp;$A648,Recepciones!$A$5:$A$2000,"&lt;="&amp;$A649),MAX(0,F649-F648)))</f>
        <v/>
      </c>
      <c r="H649" s="24" t="str">
        <f aca="false">IF($A649="","",MAX(0,F648+G649-F649))</f>
        <v/>
      </c>
      <c r="I649" s="24" t="str">
        <f aca="false">IF($A649="","",Stock_Diario!G649)</f>
        <v/>
      </c>
      <c r="J649" s="24" t="str">
        <f aca="false">IF($A649="","",IF(SUMIFS(Recepciones!$C$5:$C$2000,Recepciones!$B$5:$B$2000,Config!$A$25,Recepciones!$A$5:$A$2000,"&gt;"&amp;$A648,Recepciones!$A$5:$A$2000,"&lt;="&amp;$A649)&gt;0,SUMIFS(Recepciones!$C$5:$C$2000,Recepciones!$B$5:$B$2000,Config!$A$25,Recepciones!$A$5:$A$2000,"&gt;"&amp;$A648,Recepciones!$A$5:$A$2000,"&lt;="&amp;$A649),MAX(0,I649-I648)))</f>
        <v/>
      </c>
      <c r="K649" s="24" t="str">
        <f aca="false">IF($A649="","",MAX(0,I648+J649-I649))</f>
        <v/>
      </c>
      <c r="L649" s="24" t="str">
        <f aca="false">IF($A649="","",E649+H649+K649)</f>
        <v/>
      </c>
      <c r="M649" s="4" t="str">
        <f aca="false">IF($A649="","",IF(AND(D649+G649+J649&gt;0,SUMIFS(Recepciones!$C$5:$C$2000,Recepciones!$A$5:$A$2000,"&gt;"&amp;$A648,Recepciones!$A$5:$A$2000,"&lt;="&amp;$A649)=0),"Aumento de stock sin recepción registrada",IF(B649&gt;1,"Intervalo de "&amp;B649&amp;" días","")))</f>
        <v/>
      </c>
    </row>
    <row r="650" customFormat="false" ht="15" hidden="false" customHeight="false" outlineLevel="0" collapsed="false">
      <c r="A650" s="5" t="str">
        <f aca="false">IF(Stock_Diario!A650="","",Stock_Diario!A650)</f>
        <v/>
      </c>
      <c r="B650" s="4" t="str">
        <f aca="false">IF($A650="","",$A650-$A649)</f>
        <v/>
      </c>
      <c r="C650" s="24" t="str">
        <f aca="false">IF($A650="","",Stock_Diario!E650)</f>
        <v/>
      </c>
      <c r="D650" s="24" t="str">
        <f aca="false">IF($A650="","",IF(SUMIFS(Recepciones!$C$5:$C$2000,Recepciones!$B$5:$B$2000,Config!$A$23,Recepciones!$A$5:$A$2000,"&gt;"&amp;$A649,Recepciones!$A$5:$A$2000,"&lt;="&amp;$A650)&gt;0,SUMIFS(Recepciones!$C$5:$C$2000,Recepciones!$B$5:$B$2000,Config!$A$23,Recepciones!$A$5:$A$2000,"&gt;"&amp;$A649,Recepciones!$A$5:$A$2000,"&lt;="&amp;$A650),MAX(0,C650-C649)))</f>
        <v/>
      </c>
      <c r="E650" s="24" t="str">
        <f aca="false">IF($A650="","",MAX(0,C649+D650-C650))</f>
        <v/>
      </c>
      <c r="F650" s="24" t="str">
        <f aca="false">IF($A650="","",Stock_Diario!F650)</f>
        <v/>
      </c>
      <c r="G650" s="24" t="str">
        <f aca="false">IF($A650="","",IF(SUMIFS(Recepciones!$C$5:$C$2000,Recepciones!$B$5:$B$2000,Config!$A$24,Recepciones!$A$5:$A$2000,"&gt;"&amp;$A649,Recepciones!$A$5:$A$2000,"&lt;="&amp;$A650)&gt;0,SUMIFS(Recepciones!$C$5:$C$2000,Recepciones!$B$5:$B$2000,Config!$A$24,Recepciones!$A$5:$A$2000,"&gt;"&amp;$A649,Recepciones!$A$5:$A$2000,"&lt;="&amp;$A650),MAX(0,F650-F649)))</f>
        <v/>
      </c>
      <c r="H650" s="24" t="str">
        <f aca="false">IF($A650="","",MAX(0,F649+G650-F650))</f>
        <v/>
      </c>
      <c r="I650" s="24" t="str">
        <f aca="false">IF($A650="","",Stock_Diario!G650)</f>
        <v/>
      </c>
      <c r="J650" s="24" t="str">
        <f aca="false">IF($A650="","",IF(SUMIFS(Recepciones!$C$5:$C$2000,Recepciones!$B$5:$B$2000,Config!$A$25,Recepciones!$A$5:$A$2000,"&gt;"&amp;$A649,Recepciones!$A$5:$A$2000,"&lt;="&amp;$A650)&gt;0,SUMIFS(Recepciones!$C$5:$C$2000,Recepciones!$B$5:$B$2000,Config!$A$25,Recepciones!$A$5:$A$2000,"&gt;"&amp;$A649,Recepciones!$A$5:$A$2000,"&lt;="&amp;$A650),MAX(0,I650-I649)))</f>
        <v/>
      </c>
      <c r="K650" s="24" t="str">
        <f aca="false">IF($A650="","",MAX(0,I649+J650-I650))</f>
        <v/>
      </c>
      <c r="L650" s="24" t="str">
        <f aca="false">IF($A650="","",E650+H650+K650)</f>
        <v/>
      </c>
      <c r="M650" s="4" t="str">
        <f aca="false">IF($A650="","",IF(AND(D650+G650+J650&gt;0,SUMIFS(Recepciones!$C$5:$C$2000,Recepciones!$A$5:$A$2000,"&gt;"&amp;$A649,Recepciones!$A$5:$A$2000,"&lt;="&amp;$A650)=0),"Aumento de stock sin recepción registrada",IF(B650&gt;1,"Intervalo de "&amp;B650&amp;" días","")))</f>
        <v/>
      </c>
    </row>
    <row r="651" customFormat="false" ht="15" hidden="false" customHeight="false" outlineLevel="0" collapsed="false">
      <c r="A651" s="5" t="str">
        <f aca="false">IF(Stock_Diario!A651="","",Stock_Diario!A651)</f>
        <v/>
      </c>
      <c r="B651" s="4" t="str">
        <f aca="false">IF($A651="","",$A651-$A650)</f>
        <v/>
      </c>
      <c r="C651" s="24" t="str">
        <f aca="false">IF($A651="","",Stock_Diario!E651)</f>
        <v/>
      </c>
      <c r="D651" s="24" t="str">
        <f aca="false">IF($A651="","",IF(SUMIFS(Recepciones!$C$5:$C$2000,Recepciones!$B$5:$B$2000,Config!$A$23,Recepciones!$A$5:$A$2000,"&gt;"&amp;$A650,Recepciones!$A$5:$A$2000,"&lt;="&amp;$A651)&gt;0,SUMIFS(Recepciones!$C$5:$C$2000,Recepciones!$B$5:$B$2000,Config!$A$23,Recepciones!$A$5:$A$2000,"&gt;"&amp;$A650,Recepciones!$A$5:$A$2000,"&lt;="&amp;$A651),MAX(0,C651-C650)))</f>
        <v/>
      </c>
      <c r="E651" s="24" t="str">
        <f aca="false">IF($A651="","",MAX(0,C650+D651-C651))</f>
        <v/>
      </c>
      <c r="F651" s="24" t="str">
        <f aca="false">IF($A651="","",Stock_Diario!F651)</f>
        <v/>
      </c>
      <c r="G651" s="24" t="str">
        <f aca="false">IF($A651="","",IF(SUMIFS(Recepciones!$C$5:$C$2000,Recepciones!$B$5:$B$2000,Config!$A$24,Recepciones!$A$5:$A$2000,"&gt;"&amp;$A650,Recepciones!$A$5:$A$2000,"&lt;="&amp;$A651)&gt;0,SUMIFS(Recepciones!$C$5:$C$2000,Recepciones!$B$5:$B$2000,Config!$A$24,Recepciones!$A$5:$A$2000,"&gt;"&amp;$A650,Recepciones!$A$5:$A$2000,"&lt;="&amp;$A651),MAX(0,F651-F650)))</f>
        <v/>
      </c>
      <c r="H651" s="24" t="str">
        <f aca="false">IF($A651="","",MAX(0,F650+G651-F651))</f>
        <v/>
      </c>
      <c r="I651" s="24" t="str">
        <f aca="false">IF($A651="","",Stock_Diario!G651)</f>
        <v/>
      </c>
      <c r="J651" s="24" t="str">
        <f aca="false">IF($A651="","",IF(SUMIFS(Recepciones!$C$5:$C$2000,Recepciones!$B$5:$B$2000,Config!$A$25,Recepciones!$A$5:$A$2000,"&gt;"&amp;$A650,Recepciones!$A$5:$A$2000,"&lt;="&amp;$A651)&gt;0,SUMIFS(Recepciones!$C$5:$C$2000,Recepciones!$B$5:$B$2000,Config!$A$25,Recepciones!$A$5:$A$2000,"&gt;"&amp;$A650,Recepciones!$A$5:$A$2000,"&lt;="&amp;$A651),MAX(0,I651-I650)))</f>
        <v/>
      </c>
      <c r="K651" s="24" t="str">
        <f aca="false">IF($A651="","",MAX(0,I650+J651-I651))</f>
        <v/>
      </c>
      <c r="L651" s="24" t="str">
        <f aca="false">IF($A651="","",E651+H651+K651)</f>
        <v/>
      </c>
      <c r="M651" s="4" t="str">
        <f aca="false">IF($A651="","",IF(AND(D651+G651+J651&gt;0,SUMIFS(Recepciones!$C$5:$C$2000,Recepciones!$A$5:$A$2000,"&gt;"&amp;$A650,Recepciones!$A$5:$A$2000,"&lt;="&amp;$A651)=0),"Aumento de stock sin recepción registrada",IF(B651&gt;1,"Intervalo de "&amp;B651&amp;" días","")))</f>
        <v/>
      </c>
    </row>
    <row r="652" customFormat="false" ht="15" hidden="false" customHeight="false" outlineLevel="0" collapsed="false">
      <c r="A652" s="5" t="str">
        <f aca="false">IF(Stock_Diario!A652="","",Stock_Diario!A652)</f>
        <v/>
      </c>
      <c r="B652" s="4" t="str">
        <f aca="false">IF($A652="","",$A652-$A651)</f>
        <v/>
      </c>
      <c r="C652" s="24" t="str">
        <f aca="false">IF($A652="","",Stock_Diario!E652)</f>
        <v/>
      </c>
      <c r="D652" s="24" t="str">
        <f aca="false">IF($A652="","",IF(SUMIFS(Recepciones!$C$5:$C$2000,Recepciones!$B$5:$B$2000,Config!$A$23,Recepciones!$A$5:$A$2000,"&gt;"&amp;$A651,Recepciones!$A$5:$A$2000,"&lt;="&amp;$A652)&gt;0,SUMIFS(Recepciones!$C$5:$C$2000,Recepciones!$B$5:$B$2000,Config!$A$23,Recepciones!$A$5:$A$2000,"&gt;"&amp;$A651,Recepciones!$A$5:$A$2000,"&lt;="&amp;$A652),MAX(0,C652-C651)))</f>
        <v/>
      </c>
      <c r="E652" s="24" t="str">
        <f aca="false">IF($A652="","",MAX(0,C651+D652-C652))</f>
        <v/>
      </c>
      <c r="F652" s="24" t="str">
        <f aca="false">IF($A652="","",Stock_Diario!F652)</f>
        <v/>
      </c>
      <c r="G652" s="24" t="str">
        <f aca="false">IF($A652="","",IF(SUMIFS(Recepciones!$C$5:$C$2000,Recepciones!$B$5:$B$2000,Config!$A$24,Recepciones!$A$5:$A$2000,"&gt;"&amp;$A651,Recepciones!$A$5:$A$2000,"&lt;="&amp;$A652)&gt;0,SUMIFS(Recepciones!$C$5:$C$2000,Recepciones!$B$5:$B$2000,Config!$A$24,Recepciones!$A$5:$A$2000,"&gt;"&amp;$A651,Recepciones!$A$5:$A$2000,"&lt;="&amp;$A652),MAX(0,F652-F651)))</f>
        <v/>
      </c>
      <c r="H652" s="24" t="str">
        <f aca="false">IF($A652="","",MAX(0,F651+G652-F652))</f>
        <v/>
      </c>
      <c r="I652" s="24" t="str">
        <f aca="false">IF($A652="","",Stock_Diario!G652)</f>
        <v/>
      </c>
      <c r="J652" s="24" t="str">
        <f aca="false">IF($A652="","",IF(SUMIFS(Recepciones!$C$5:$C$2000,Recepciones!$B$5:$B$2000,Config!$A$25,Recepciones!$A$5:$A$2000,"&gt;"&amp;$A651,Recepciones!$A$5:$A$2000,"&lt;="&amp;$A652)&gt;0,SUMIFS(Recepciones!$C$5:$C$2000,Recepciones!$B$5:$B$2000,Config!$A$25,Recepciones!$A$5:$A$2000,"&gt;"&amp;$A651,Recepciones!$A$5:$A$2000,"&lt;="&amp;$A652),MAX(0,I652-I651)))</f>
        <v/>
      </c>
      <c r="K652" s="24" t="str">
        <f aca="false">IF($A652="","",MAX(0,I651+J652-I652))</f>
        <v/>
      </c>
      <c r="L652" s="24" t="str">
        <f aca="false">IF($A652="","",E652+H652+K652)</f>
        <v/>
      </c>
      <c r="M652" s="4" t="str">
        <f aca="false">IF($A652="","",IF(AND(D652+G652+J652&gt;0,SUMIFS(Recepciones!$C$5:$C$2000,Recepciones!$A$5:$A$2000,"&gt;"&amp;$A651,Recepciones!$A$5:$A$2000,"&lt;="&amp;$A652)=0),"Aumento de stock sin recepción registrada",IF(B652&gt;1,"Intervalo de "&amp;B652&amp;" días","")))</f>
        <v/>
      </c>
    </row>
    <row r="653" customFormat="false" ht="15" hidden="false" customHeight="false" outlineLevel="0" collapsed="false">
      <c r="A653" s="5" t="str">
        <f aca="false">IF(Stock_Diario!A653="","",Stock_Diario!A653)</f>
        <v/>
      </c>
      <c r="B653" s="4" t="str">
        <f aca="false">IF($A653="","",$A653-$A652)</f>
        <v/>
      </c>
      <c r="C653" s="24" t="str">
        <f aca="false">IF($A653="","",Stock_Diario!E653)</f>
        <v/>
      </c>
      <c r="D653" s="24" t="str">
        <f aca="false">IF($A653="","",IF(SUMIFS(Recepciones!$C$5:$C$2000,Recepciones!$B$5:$B$2000,Config!$A$23,Recepciones!$A$5:$A$2000,"&gt;"&amp;$A652,Recepciones!$A$5:$A$2000,"&lt;="&amp;$A653)&gt;0,SUMIFS(Recepciones!$C$5:$C$2000,Recepciones!$B$5:$B$2000,Config!$A$23,Recepciones!$A$5:$A$2000,"&gt;"&amp;$A652,Recepciones!$A$5:$A$2000,"&lt;="&amp;$A653),MAX(0,C653-C652)))</f>
        <v/>
      </c>
      <c r="E653" s="24" t="str">
        <f aca="false">IF($A653="","",MAX(0,C652+D653-C653))</f>
        <v/>
      </c>
      <c r="F653" s="24" t="str">
        <f aca="false">IF($A653="","",Stock_Diario!F653)</f>
        <v/>
      </c>
      <c r="G653" s="24" t="str">
        <f aca="false">IF($A653="","",IF(SUMIFS(Recepciones!$C$5:$C$2000,Recepciones!$B$5:$B$2000,Config!$A$24,Recepciones!$A$5:$A$2000,"&gt;"&amp;$A652,Recepciones!$A$5:$A$2000,"&lt;="&amp;$A653)&gt;0,SUMIFS(Recepciones!$C$5:$C$2000,Recepciones!$B$5:$B$2000,Config!$A$24,Recepciones!$A$5:$A$2000,"&gt;"&amp;$A652,Recepciones!$A$5:$A$2000,"&lt;="&amp;$A653),MAX(0,F653-F652)))</f>
        <v/>
      </c>
      <c r="H653" s="24" t="str">
        <f aca="false">IF($A653="","",MAX(0,F652+G653-F653))</f>
        <v/>
      </c>
      <c r="I653" s="24" t="str">
        <f aca="false">IF($A653="","",Stock_Diario!G653)</f>
        <v/>
      </c>
      <c r="J653" s="24" t="str">
        <f aca="false">IF($A653="","",IF(SUMIFS(Recepciones!$C$5:$C$2000,Recepciones!$B$5:$B$2000,Config!$A$25,Recepciones!$A$5:$A$2000,"&gt;"&amp;$A652,Recepciones!$A$5:$A$2000,"&lt;="&amp;$A653)&gt;0,SUMIFS(Recepciones!$C$5:$C$2000,Recepciones!$B$5:$B$2000,Config!$A$25,Recepciones!$A$5:$A$2000,"&gt;"&amp;$A652,Recepciones!$A$5:$A$2000,"&lt;="&amp;$A653),MAX(0,I653-I652)))</f>
        <v/>
      </c>
      <c r="K653" s="24" t="str">
        <f aca="false">IF($A653="","",MAX(0,I652+J653-I653))</f>
        <v/>
      </c>
      <c r="L653" s="24" t="str">
        <f aca="false">IF($A653="","",E653+H653+K653)</f>
        <v/>
      </c>
      <c r="M653" s="4" t="str">
        <f aca="false">IF($A653="","",IF(AND(D653+G653+J653&gt;0,SUMIFS(Recepciones!$C$5:$C$2000,Recepciones!$A$5:$A$2000,"&gt;"&amp;$A652,Recepciones!$A$5:$A$2000,"&lt;="&amp;$A653)=0),"Aumento de stock sin recepción registrada",IF(B653&gt;1,"Intervalo de "&amp;B653&amp;" días","")))</f>
        <v/>
      </c>
    </row>
    <row r="654" customFormat="false" ht="15" hidden="false" customHeight="false" outlineLevel="0" collapsed="false">
      <c r="A654" s="5" t="str">
        <f aca="false">IF(Stock_Diario!A654="","",Stock_Diario!A654)</f>
        <v/>
      </c>
      <c r="B654" s="4" t="str">
        <f aca="false">IF($A654="","",$A654-$A653)</f>
        <v/>
      </c>
      <c r="C654" s="24" t="str">
        <f aca="false">IF($A654="","",Stock_Diario!E654)</f>
        <v/>
      </c>
      <c r="D654" s="24" t="str">
        <f aca="false">IF($A654="","",IF(SUMIFS(Recepciones!$C$5:$C$2000,Recepciones!$B$5:$B$2000,Config!$A$23,Recepciones!$A$5:$A$2000,"&gt;"&amp;$A653,Recepciones!$A$5:$A$2000,"&lt;="&amp;$A654)&gt;0,SUMIFS(Recepciones!$C$5:$C$2000,Recepciones!$B$5:$B$2000,Config!$A$23,Recepciones!$A$5:$A$2000,"&gt;"&amp;$A653,Recepciones!$A$5:$A$2000,"&lt;="&amp;$A654),MAX(0,C654-C653)))</f>
        <v/>
      </c>
      <c r="E654" s="24" t="str">
        <f aca="false">IF($A654="","",MAX(0,C653+D654-C654))</f>
        <v/>
      </c>
      <c r="F654" s="24" t="str">
        <f aca="false">IF($A654="","",Stock_Diario!F654)</f>
        <v/>
      </c>
      <c r="G654" s="24" t="str">
        <f aca="false">IF($A654="","",IF(SUMIFS(Recepciones!$C$5:$C$2000,Recepciones!$B$5:$B$2000,Config!$A$24,Recepciones!$A$5:$A$2000,"&gt;"&amp;$A653,Recepciones!$A$5:$A$2000,"&lt;="&amp;$A654)&gt;0,SUMIFS(Recepciones!$C$5:$C$2000,Recepciones!$B$5:$B$2000,Config!$A$24,Recepciones!$A$5:$A$2000,"&gt;"&amp;$A653,Recepciones!$A$5:$A$2000,"&lt;="&amp;$A654),MAX(0,F654-F653)))</f>
        <v/>
      </c>
      <c r="H654" s="24" t="str">
        <f aca="false">IF($A654="","",MAX(0,F653+G654-F654))</f>
        <v/>
      </c>
      <c r="I654" s="24" t="str">
        <f aca="false">IF($A654="","",Stock_Diario!G654)</f>
        <v/>
      </c>
      <c r="J654" s="24" t="str">
        <f aca="false">IF($A654="","",IF(SUMIFS(Recepciones!$C$5:$C$2000,Recepciones!$B$5:$B$2000,Config!$A$25,Recepciones!$A$5:$A$2000,"&gt;"&amp;$A653,Recepciones!$A$5:$A$2000,"&lt;="&amp;$A654)&gt;0,SUMIFS(Recepciones!$C$5:$C$2000,Recepciones!$B$5:$B$2000,Config!$A$25,Recepciones!$A$5:$A$2000,"&gt;"&amp;$A653,Recepciones!$A$5:$A$2000,"&lt;="&amp;$A654),MAX(0,I654-I653)))</f>
        <v/>
      </c>
      <c r="K654" s="24" t="str">
        <f aca="false">IF($A654="","",MAX(0,I653+J654-I654))</f>
        <v/>
      </c>
      <c r="L654" s="24" t="str">
        <f aca="false">IF($A654="","",E654+H654+K654)</f>
        <v/>
      </c>
      <c r="M654" s="4" t="str">
        <f aca="false">IF($A654="","",IF(AND(D654+G654+J654&gt;0,SUMIFS(Recepciones!$C$5:$C$2000,Recepciones!$A$5:$A$2000,"&gt;"&amp;$A653,Recepciones!$A$5:$A$2000,"&lt;="&amp;$A654)=0),"Aumento de stock sin recepción registrada",IF(B654&gt;1,"Intervalo de "&amp;B654&amp;" días","")))</f>
        <v/>
      </c>
    </row>
    <row r="655" customFormat="false" ht="15" hidden="false" customHeight="false" outlineLevel="0" collapsed="false">
      <c r="A655" s="5" t="str">
        <f aca="false">IF(Stock_Diario!A655="","",Stock_Diario!A655)</f>
        <v/>
      </c>
      <c r="B655" s="4" t="str">
        <f aca="false">IF($A655="","",$A655-$A654)</f>
        <v/>
      </c>
      <c r="C655" s="24" t="str">
        <f aca="false">IF($A655="","",Stock_Diario!E655)</f>
        <v/>
      </c>
      <c r="D655" s="24" t="str">
        <f aca="false">IF($A655="","",IF(SUMIFS(Recepciones!$C$5:$C$2000,Recepciones!$B$5:$B$2000,Config!$A$23,Recepciones!$A$5:$A$2000,"&gt;"&amp;$A654,Recepciones!$A$5:$A$2000,"&lt;="&amp;$A655)&gt;0,SUMIFS(Recepciones!$C$5:$C$2000,Recepciones!$B$5:$B$2000,Config!$A$23,Recepciones!$A$5:$A$2000,"&gt;"&amp;$A654,Recepciones!$A$5:$A$2000,"&lt;="&amp;$A655),MAX(0,C655-C654)))</f>
        <v/>
      </c>
      <c r="E655" s="24" t="str">
        <f aca="false">IF($A655="","",MAX(0,C654+D655-C655))</f>
        <v/>
      </c>
      <c r="F655" s="24" t="str">
        <f aca="false">IF($A655="","",Stock_Diario!F655)</f>
        <v/>
      </c>
      <c r="G655" s="24" t="str">
        <f aca="false">IF($A655="","",IF(SUMIFS(Recepciones!$C$5:$C$2000,Recepciones!$B$5:$B$2000,Config!$A$24,Recepciones!$A$5:$A$2000,"&gt;"&amp;$A654,Recepciones!$A$5:$A$2000,"&lt;="&amp;$A655)&gt;0,SUMIFS(Recepciones!$C$5:$C$2000,Recepciones!$B$5:$B$2000,Config!$A$24,Recepciones!$A$5:$A$2000,"&gt;"&amp;$A654,Recepciones!$A$5:$A$2000,"&lt;="&amp;$A655),MAX(0,F655-F654)))</f>
        <v/>
      </c>
      <c r="H655" s="24" t="str">
        <f aca="false">IF($A655="","",MAX(0,F654+G655-F655))</f>
        <v/>
      </c>
      <c r="I655" s="24" t="str">
        <f aca="false">IF($A655="","",Stock_Diario!G655)</f>
        <v/>
      </c>
      <c r="J655" s="24" t="str">
        <f aca="false">IF($A655="","",IF(SUMIFS(Recepciones!$C$5:$C$2000,Recepciones!$B$5:$B$2000,Config!$A$25,Recepciones!$A$5:$A$2000,"&gt;"&amp;$A654,Recepciones!$A$5:$A$2000,"&lt;="&amp;$A655)&gt;0,SUMIFS(Recepciones!$C$5:$C$2000,Recepciones!$B$5:$B$2000,Config!$A$25,Recepciones!$A$5:$A$2000,"&gt;"&amp;$A654,Recepciones!$A$5:$A$2000,"&lt;="&amp;$A655),MAX(0,I655-I654)))</f>
        <v/>
      </c>
      <c r="K655" s="24" t="str">
        <f aca="false">IF($A655="","",MAX(0,I654+J655-I655))</f>
        <v/>
      </c>
      <c r="L655" s="24" t="str">
        <f aca="false">IF($A655="","",E655+H655+K655)</f>
        <v/>
      </c>
      <c r="M655" s="4" t="str">
        <f aca="false">IF($A655="","",IF(AND(D655+G655+J655&gt;0,SUMIFS(Recepciones!$C$5:$C$2000,Recepciones!$A$5:$A$2000,"&gt;"&amp;$A654,Recepciones!$A$5:$A$2000,"&lt;="&amp;$A655)=0),"Aumento de stock sin recepción registrada",IF(B655&gt;1,"Intervalo de "&amp;B655&amp;" días","")))</f>
        <v/>
      </c>
    </row>
    <row r="656" customFormat="false" ht="15" hidden="false" customHeight="false" outlineLevel="0" collapsed="false">
      <c r="A656" s="5" t="str">
        <f aca="false">IF(Stock_Diario!A656="","",Stock_Diario!A656)</f>
        <v/>
      </c>
      <c r="B656" s="4" t="str">
        <f aca="false">IF($A656="","",$A656-$A655)</f>
        <v/>
      </c>
      <c r="C656" s="24" t="str">
        <f aca="false">IF($A656="","",Stock_Diario!E656)</f>
        <v/>
      </c>
      <c r="D656" s="24" t="str">
        <f aca="false">IF($A656="","",IF(SUMIFS(Recepciones!$C$5:$C$2000,Recepciones!$B$5:$B$2000,Config!$A$23,Recepciones!$A$5:$A$2000,"&gt;"&amp;$A655,Recepciones!$A$5:$A$2000,"&lt;="&amp;$A656)&gt;0,SUMIFS(Recepciones!$C$5:$C$2000,Recepciones!$B$5:$B$2000,Config!$A$23,Recepciones!$A$5:$A$2000,"&gt;"&amp;$A655,Recepciones!$A$5:$A$2000,"&lt;="&amp;$A656),MAX(0,C656-C655)))</f>
        <v/>
      </c>
      <c r="E656" s="24" t="str">
        <f aca="false">IF($A656="","",MAX(0,C655+D656-C656))</f>
        <v/>
      </c>
      <c r="F656" s="24" t="str">
        <f aca="false">IF($A656="","",Stock_Diario!F656)</f>
        <v/>
      </c>
      <c r="G656" s="24" t="str">
        <f aca="false">IF($A656="","",IF(SUMIFS(Recepciones!$C$5:$C$2000,Recepciones!$B$5:$B$2000,Config!$A$24,Recepciones!$A$5:$A$2000,"&gt;"&amp;$A655,Recepciones!$A$5:$A$2000,"&lt;="&amp;$A656)&gt;0,SUMIFS(Recepciones!$C$5:$C$2000,Recepciones!$B$5:$B$2000,Config!$A$24,Recepciones!$A$5:$A$2000,"&gt;"&amp;$A655,Recepciones!$A$5:$A$2000,"&lt;="&amp;$A656),MAX(0,F656-F655)))</f>
        <v/>
      </c>
      <c r="H656" s="24" t="str">
        <f aca="false">IF($A656="","",MAX(0,F655+G656-F656))</f>
        <v/>
      </c>
      <c r="I656" s="24" t="str">
        <f aca="false">IF($A656="","",Stock_Diario!G656)</f>
        <v/>
      </c>
      <c r="J656" s="24" t="str">
        <f aca="false">IF($A656="","",IF(SUMIFS(Recepciones!$C$5:$C$2000,Recepciones!$B$5:$B$2000,Config!$A$25,Recepciones!$A$5:$A$2000,"&gt;"&amp;$A655,Recepciones!$A$5:$A$2000,"&lt;="&amp;$A656)&gt;0,SUMIFS(Recepciones!$C$5:$C$2000,Recepciones!$B$5:$B$2000,Config!$A$25,Recepciones!$A$5:$A$2000,"&gt;"&amp;$A655,Recepciones!$A$5:$A$2000,"&lt;="&amp;$A656),MAX(0,I656-I655)))</f>
        <v/>
      </c>
      <c r="K656" s="24" t="str">
        <f aca="false">IF($A656="","",MAX(0,I655+J656-I656))</f>
        <v/>
      </c>
      <c r="L656" s="24" t="str">
        <f aca="false">IF($A656="","",E656+H656+K656)</f>
        <v/>
      </c>
      <c r="M656" s="4" t="str">
        <f aca="false">IF($A656="","",IF(AND(D656+G656+J656&gt;0,SUMIFS(Recepciones!$C$5:$C$2000,Recepciones!$A$5:$A$2000,"&gt;"&amp;$A655,Recepciones!$A$5:$A$2000,"&lt;="&amp;$A656)=0),"Aumento de stock sin recepción registrada",IF(B656&gt;1,"Intervalo de "&amp;B656&amp;" días","")))</f>
        <v/>
      </c>
    </row>
    <row r="657" customFormat="false" ht="15" hidden="false" customHeight="false" outlineLevel="0" collapsed="false">
      <c r="A657" s="5" t="str">
        <f aca="false">IF(Stock_Diario!A657="","",Stock_Diario!A657)</f>
        <v/>
      </c>
      <c r="B657" s="4" t="str">
        <f aca="false">IF($A657="","",$A657-$A656)</f>
        <v/>
      </c>
      <c r="C657" s="24" t="str">
        <f aca="false">IF($A657="","",Stock_Diario!E657)</f>
        <v/>
      </c>
      <c r="D657" s="24" t="str">
        <f aca="false">IF($A657="","",IF(SUMIFS(Recepciones!$C$5:$C$2000,Recepciones!$B$5:$B$2000,Config!$A$23,Recepciones!$A$5:$A$2000,"&gt;"&amp;$A656,Recepciones!$A$5:$A$2000,"&lt;="&amp;$A657)&gt;0,SUMIFS(Recepciones!$C$5:$C$2000,Recepciones!$B$5:$B$2000,Config!$A$23,Recepciones!$A$5:$A$2000,"&gt;"&amp;$A656,Recepciones!$A$5:$A$2000,"&lt;="&amp;$A657),MAX(0,C657-C656)))</f>
        <v/>
      </c>
      <c r="E657" s="24" t="str">
        <f aca="false">IF($A657="","",MAX(0,C656+D657-C657))</f>
        <v/>
      </c>
      <c r="F657" s="24" t="str">
        <f aca="false">IF($A657="","",Stock_Diario!F657)</f>
        <v/>
      </c>
      <c r="G657" s="24" t="str">
        <f aca="false">IF($A657="","",IF(SUMIFS(Recepciones!$C$5:$C$2000,Recepciones!$B$5:$B$2000,Config!$A$24,Recepciones!$A$5:$A$2000,"&gt;"&amp;$A656,Recepciones!$A$5:$A$2000,"&lt;="&amp;$A657)&gt;0,SUMIFS(Recepciones!$C$5:$C$2000,Recepciones!$B$5:$B$2000,Config!$A$24,Recepciones!$A$5:$A$2000,"&gt;"&amp;$A656,Recepciones!$A$5:$A$2000,"&lt;="&amp;$A657),MAX(0,F657-F656)))</f>
        <v/>
      </c>
      <c r="H657" s="24" t="str">
        <f aca="false">IF($A657="","",MAX(0,F656+G657-F657))</f>
        <v/>
      </c>
      <c r="I657" s="24" t="str">
        <f aca="false">IF($A657="","",Stock_Diario!G657)</f>
        <v/>
      </c>
      <c r="J657" s="24" t="str">
        <f aca="false">IF($A657="","",IF(SUMIFS(Recepciones!$C$5:$C$2000,Recepciones!$B$5:$B$2000,Config!$A$25,Recepciones!$A$5:$A$2000,"&gt;"&amp;$A656,Recepciones!$A$5:$A$2000,"&lt;="&amp;$A657)&gt;0,SUMIFS(Recepciones!$C$5:$C$2000,Recepciones!$B$5:$B$2000,Config!$A$25,Recepciones!$A$5:$A$2000,"&gt;"&amp;$A656,Recepciones!$A$5:$A$2000,"&lt;="&amp;$A657),MAX(0,I657-I656)))</f>
        <v/>
      </c>
      <c r="K657" s="24" t="str">
        <f aca="false">IF($A657="","",MAX(0,I656+J657-I657))</f>
        <v/>
      </c>
      <c r="L657" s="24" t="str">
        <f aca="false">IF($A657="","",E657+H657+K657)</f>
        <v/>
      </c>
      <c r="M657" s="4" t="str">
        <f aca="false">IF($A657="","",IF(AND(D657+G657+J657&gt;0,SUMIFS(Recepciones!$C$5:$C$2000,Recepciones!$A$5:$A$2000,"&gt;"&amp;$A656,Recepciones!$A$5:$A$2000,"&lt;="&amp;$A657)=0),"Aumento de stock sin recepción registrada",IF(B657&gt;1,"Intervalo de "&amp;B657&amp;" días","")))</f>
        <v/>
      </c>
    </row>
    <row r="658" customFormat="false" ht="15" hidden="false" customHeight="false" outlineLevel="0" collapsed="false">
      <c r="A658" s="5" t="str">
        <f aca="false">IF(Stock_Diario!A658="","",Stock_Diario!A658)</f>
        <v/>
      </c>
      <c r="B658" s="4" t="str">
        <f aca="false">IF($A658="","",$A658-$A657)</f>
        <v/>
      </c>
      <c r="C658" s="24" t="str">
        <f aca="false">IF($A658="","",Stock_Diario!E658)</f>
        <v/>
      </c>
      <c r="D658" s="24" t="str">
        <f aca="false">IF($A658="","",IF(SUMIFS(Recepciones!$C$5:$C$2000,Recepciones!$B$5:$B$2000,Config!$A$23,Recepciones!$A$5:$A$2000,"&gt;"&amp;$A657,Recepciones!$A$5:$A$2000,"&lt;="&amp;$A658)&gt;0,SUMIFS(Recepciones!$C$5:$C$2000,Recepciones!$B$5:$B$2000,Config!$A$23,Recepciones!$A$5:$A$2000,"&gt;"&amp;$A657,Recepciones!$A$5:$A$2000,"&lt;="&amp;$A658),MAX(0,C658-C657)))</f>
        <v/>
      </c>
      <c r="E658" s="24" t="str">
        <f aca="false">IF($A658="","",MAX(0,C657+D658-C658))</f>
        <v/>
      </c>
      <c r="F658" s="24" t="str">
        <f aca="false">IF($A658="","",Stock_Diario!F658)</f>
        <v/>
      </c>
      <c r="G658" s="24" t="str">
        <f aca="false">IF($A658="","",IF(SUMIFS(Recepciones!$C$5:$C$2000,Recepciones!$B$5:$B$2000,Config!$A$24,Recepciones!$A$5:$A$2000,"&gt;"&amp;$A657,Recepciones!$A$5:$A$2000,"&lt;="&amp;$A658)&gt;0,SUMIFS(Recepciones!$C$5:$C$2000,Recepciones!$B$5:$B$2000,Config!$A$24,Recepciones!$A$5:$A$2000,"&gt;"&amp;$A657,Recepciones!$A$5:$A$2000,"&lt;="&amp;$A658),MAX(0,F658-F657)))</f>
        <v/>
      </c>
      <c r="H658" s="24" t="str">
        <f aca="false">IF($A658="","",MAX(0,F657+G658-F658))</f>
        <v/>
      </c>
      <c r="I658" s="24" t="str">
        <f aca="false">IF($A658="","",Stock_Diario!G658)</f>
        <v/>
      </c>
      <c r="J658" s="24" t="str">
        <f aca="false">IF($A658="","",IF(SUMIFS(Recepciones!$C$5:$C$2000,Recepciones!$B$5:$B$2000,Config!$A$25,Recepciones!$A$5:$A$2000,"&gt;"&amp;$A657,Recepciones!$A$5:$A$2000,"&lt;="&amp;$A658)&gt;0,SUMIFS(Recepciones!$C$5:$C$2000,Recepciones!$B$5:$B$2000,Config!$A$25,Recepciones!$A$5:$A$2000,"&gt;"&amp;$A657,Recepciones!$A$5:$A$2000,"&lt;="&amp;$A658),MAX(0,I658-I657)))</f>
        <v/>
      </c>
      <c r="K658" s="24" t="str">
        <f aca="false">IF($A658="","",MAX(0,I657+J658-I658))</f>
        <v/>
      </c>
      <c r="L658" s="24" t="str">
        <f aca="false">IF($A658="","",E658+H658+K658)</f>
        <v/>
      </c>
      <c r="M658" s="4" t="str">
        <f aca="false">IF($A658="","",IF(AND(D658+G658+J658&gt;0,SUMIFS(Recepciones!$C$5:$C$2000,Recepciones!$A$5:$A$2000,"&gt;"&amp;$A657,Recepciones!$A$5:$A$2000,"&lt;="&amp;$A658)=0),"Aumento de stock sin recepción registrada",IF(B658&gt;1,"Intervalo de "&amp;B658&amp;" días","")))</f>
        <v/>
      </c>
    </row>
    <row r="659" customFormat="false" ht="15" hidden="false" customHeight="false" outlineLevel="0" collapsed="false">
      <c r="A659" s="5" t="str">
        <f aca="false">IF(Stock_Diario!A659="","",Stock_Diario!A659)</f>
        <v/>
      </c>
      <c r="B659" s="4" t="str">
        <f aca="false">IF($A659="","",$A659-$A658)</f>
        <v/>
      </c>
      <c r="C659" s="24" t="str">
        <f aca="false">IF($A659="","",Stock_Diario!E659)</f>
        <v/>
      </c>
      <c r="D659" s="24" t="str">
        <f aca="false">IF($A659="","",IF(SUMIFS(Recepciones!$C$5:$C$2000,Recepciones!$B$5:$B$2000,Config!$A$23,Recepciones!$A$5:$A$2000,"&gt;"&amp;$A658,Recepciones!$A$5:$A$2000,"&lt;="&amp;$A659)&gt;0,SUMIFS(Recepciones!$C$5:$C$2000,Recepciones!$B$5:$B$2000,Config!$A$23,Recepciones!$A$5:$A$2000,"&gt;"&amp;$A658,Recepciones!$A$5:$A$2000,"&lt;="&amp;$A659),MAX(0,C659-C658)))</f>
        <v/>
      </c>
      <c r="E659" s="24" t="str">
        <f aca="false">IF($A659="","",MAX(0,C658+D659-C659))</f>
        <v/>
      </c>
      <c r="F659" s="24" t="str">
        <f aca="false">IF($A659="","",Stock_Diario!F659)</f>
        <v/>
      </c>
      <c r="G659" s="24" t="str">
        <f aca="false">IF($A659="","",IF(SUMIFS(Recepciones!$C$5:$C$2000,Recepciones!$B$5:$B$2000,Config!$A$24,Recepciones!$A$5:$A$2000,"&gt;"&amp;$A658,Recepciones!$A$5:$A$2000,"&lt;="&amp;$A659)&gt;0,SUMIFS(Recepciones!$C$5:$C$2000,Recepciones!$B$5:$B$2000,Config!$A$24,Recepciones!$A$5:$A$2000,"&gt;"&amp;$A658,Recepciones!$A$5:$A$2000,"&lt;="&amp;$A659),MAX(0,F659-F658)))</f>
        <v/>
      </c>
      <c r="H659" s="24" t="str">
        <f aca="false">IF($A659="","",MAX(0,F658+G659-F659))</f>
        <v/>
      </c>
      <c r="I659" s="24" t="str">
        <f aca="false">IF($A659="","",Stock_Diario!G659)</f>
        <v/>
      </c>
      <c r="J659" s="24" t="str">
        <f aca="false">IF($A659="","",IF(SUMIFS(Recepciones!$C$5:$C$2000,Recepciones!$B$5:$B$2000,Config!$A$25,Recepciones!$A$5:$A$2000,"&gt;"&amp;$A658,Recepciones!$A$5:$A$2000,"&lt;="&amp;$A659)&gt;0,SUMIFS(Recepciones!$C$5:$C$2000,Recepciones!$B$5:$B$2000,Config!$A$25,Recepciones!$A$5:$A$2000,"&gt;"&amp;$A658,Recepciones!$A$5:$A$2000,"&lt;="&amp;$A659),MAX(0,I659-I658)))</f>
        <v/>
      </c>
      <c r="K659" s="24" t="str">
        <f aca="false">IF($A659="","",MAX(0,I658+J659-I659))</f>
        <v/>
      </c>
      <c r="L659" s="24" t="str">
        <f aca="false">IF($A659="","",E659+H659+K659)</f>
        <v/>
      </c>
      <c r="M659" s="4" t="str">
        <f aca="false">IF($A659="","",IF(AND(D659+G659+J659&gt;0,SUMIFS(Recepciones!$C$5:$C$2000,Recepciones!$A$5:$A$2000,"&gt;"&amp;$A658,Recepciones!$A$5:$A$2000,"&lt;="&amp;$A659)=0),"Aumento de stock sin recepción registrada",IF(B659&gt;1,"Intervalo de "&amp;B659&amp;" días","")))</f>
        <v/>
      </c>
    </row>
    <row r="660" customFormat="false" ht="15" hidden="false" customHeight="false" outlineLevel="0" collapsed="false">
      <c r="A660" s="5" t="str">
        <f aca="false">IF(Stock_Diario!A660="","",Stock_Diario!A660)</f>
        <v/>
      </c>
      <c r="B660" s="4" t="str">
        <f aca="false">IF($A660="","",$A660-$A659)</f>
        <v/>
      </c>
      <c r="C660" s="24" t="str">
        <f aca="false">IF($A660="","",Stock_Diario!E660)</f>
        <v/>
      </c>
      <c r="D660" s="24" t="str">
        <f aca="false">IF($A660="","",IF(SUMIFS(Recepciones!$C$5:$C$2000,Recepciones!$B$5:$B$2000,Config!$A$23,Recepciones!$A$5:$A$2000,"&gt;"&amp;$A659,Recepciones!$A$5:$A$2000,"&lt;="&amp;$A660)&gt;0,SUMIFS(Recepciones!$C$5:$C$2000,Recepciones!$B$5:$B$2000,Config!$A$23,Recepciones!$A$5:$A$2000,"&gt;"&amp;$A659,Recepciones!$A$5:$A$2000,"&lt;="&amp;$A660),MAX(0,C660-C659)))</f>
        <v/>
      </c>
      <c r="E660" s="24" t="str">
        <f aca="false">IF($A660="","",MAX(0,C659+D660-C660))</f>
        <v/>
      </c>
      <c r="F660" s="24" t="str">
        <f aca="false">IF($A660="","",Stock_Diario!F660)</f>
        <v/>
      </c>
      <c r="G660" s="24" t="str">
        <f aca="false">IF($A660="","",IF(SUMIFS(Recepciones!$C$5:$C$2000,Recepciones!$B$5:$B$2000,Config!$A$24,Recepciones!$A$5:$A$2000,"&gt;"&amp;$A659,Recepciones!$A$5:$A$2000,"&lt;="&amp;$A660)&gt;0,SUMIFS(Recepciones!$C$5:$C$2000,Recepciones!$B$5:$B$2000,Config!$A$24,Recepciones!$A$5:$A$2000,"&gt;"&amp;$A659,Recepciones!$A$5:$A$2000,"&lt;="&amp;$A660),MAX(0,F660-F659)))</f>
        <v/>
      </c>
      <c r="H660" s="24" t="str">
        <f aca="false">IF($A660="","",MAX(0,F659+G660-F660))</f>
        <v/>
      </c>
      <c r="I660" s="24" t="str">
        <f aca="false">IF($A660="","",Stock_Diario!G660)</f>
        <v/>
      </c>
      <c r="J660" s="24" t="str">
        <f aca="false">IF($A660="","",IF(SUMIFS(Recepciones!$C$5:$C$2000,Recepciones!$B$5:$B$2000,Config!$A$25,Recepciones!$A$5:$A$2000,"&gt;"&amp;$A659,Recepciones!$A$5:$A$2000,"&lt;="&amp;$A660)&gt;0,SUMIFS(Recepciones!$C$5:$C$2000,Recepciones!$B$5:$B$2000,Config!$A$25,Recepciones!$A$5:$A$2000,"&gt;"&amp;$A659,Recepciones!$A$5:$A$2000,"&lt;="&amp;$A660),MAX(0,I660-I659)))</f>
        <v/>
      </c>
      <c r="K660" s="24" t="str">
        <f aca="false">IF($A660="","",MAX(0,I659+J660-I660))</f>
        <v/>
      </c>
      <c r="L660" s="24" t="str">
        <f aca="false">IF($A660="","",E660+H660+K660)</f>
        <v/>
      </c>
      <c r="M660" s="4" t="str">
        <f aca="false">IF($A660="","",IF(AND(D660+G660+J660&gt;0,SUMIFS(Recepciones!$C$5:$C$2000,Recepciones!$A$5:$A$2000,"&gt;"&amp;$A659,Recepciones!$A$5:$A$2000,"&lt;="&amp;$A660)=0),"Aumento de stock sin recepción registrada",IF(B660&gt;1,"Intervalo de "&amp;B660&amp;" días","")))</f>
        <v/>
      </c>
    </row>
    <row r="661" customFormat="false" ht="15" hidden="false" customHeight="false" outlineLevel="0" collapsed="false">
      <c r="A661" s="5" t="str">
        <f aca="false">IF(Stock_Diario!A661="","",Stock_Diario!A661)</f>
        <v/>
      </c>
      <c r="B661" s="4" t="str">
        <f aca="false">IF($A661="","",$A661-$A660)</f>
        <v/>
      </c>
      <c r="C661" s="24" t="str">
        <f aca="false">IF($A661="","",Stock_Diario!E661)</f>
        <v/>
      </c>
      <c r="D661" s="24" t="str">
        <f aca="false">IF($A661="","",IF(SUMIFS(Recepciones!$C$5:$C$2000,Recepciones!$B$5:$B$2000,Config!$A$23,Recepciones!$A$5:$A$2000,"&gt;"&amp;$A660,Recepciones!$A$5:$A$2000,"&lt;="&amp;$A661)&gt;0,SUMIFS(Recepciones!$C$5:$C$2000,Recepciones!$B$5:$B$2000,Config!$A$23,Recepciones!$A$5:$A$2000,"&gt;"&amp;$A660,Recepciones!$A$5:$A$2000,"&lt;="&amp;$A661),MAX(0,C661-C660)))</f>
        <v/>
      </c>
      <c r="E661" s="24" t="str">
        <f aca="false">IF($A661="","",MAX(0,C660+D661-C661))</f>
        <v/>
      </c>
      <c r="F661" s="24" t="str">
        <f aca="false">IF($A661="","",Stock_Diario!F661)</f>
        <v/>
      </c>
      <c r="G661" s="24" t="str">
        <f aca="false">IF($A661="","",IF(SUMIFS(Recepciones!$C$5:$C$2000,Recepciones!$B$5:$B$2000,Config!$A$24,Recepciones!$A$5:$A$2000,"&gt;"&amp;$A660,Recepciones!$A$5:$A$2000,"&lt;="&amp;$A661)&gt;0,SUMIFS(Recepciones!$C$5:$C$2000,Recepciones!$B$5:$B$2000,Config!$A$24,Recepciones!$A$5:$A$2000,"&gt;"&amp;$A660,Recepciones!$A$5:$A$2000,"&lt;="&amp;$A661),MAX(0,F661-F660)))</f>
        <v/>
      </c>
      <c r="H661" s="24" t="str">
        <f aca="false">IF($A661="","",MAX(0,F660+G661-F661))</f>
        <v/>
      </c>
      <c r="I661" s="24" t="str">
        <f aca="false">IF($A661="","",Stock_Diario!G661)</f>
        <v/>
      </c>
      <c r="J661" s="24" t="str">
        <f aca="false">IF($A661="","",IF(SUMIFS(Recepciones!$C$5:$C$2000,Recepciones!$B$5:$B$2000,Config!$A$25,Recepciones!$A$5:$A$2000,"&gt;"&amp;$A660,Recepciones!$A$5:$A$2000,"&lt;="&amp;$A661)&gt;0,SUMIFS(Recepciones!$C$5:$C$2000,Recepciones!$B$5:$B$2000,Config!$A$25,Recepciones!$A$5:$A$2000,"&gt;"&amp;$A660,Recepciones!$A$5:$A$2000,"&lt;="&amp;$A661),MAX(0,I661-I660)))</f>
        <v/>
      </c>
      <c r="K661" s="24" t="str">
        <f aca="false">IF($A661="","",MAX(0,I660+J661-I661))</f>
        <v/>
      </c>
      <c r="L661" s="24" t="str">
        <f aca="false">IF($A661="","",E661+H661+K661)</f>
        <v/>
      </c>
      <c r="M661" s="4" t="str">
        <f aca="false">IF($A661="","",IF(AND(D661+G661+J661&gt;0,SUMIFS(Recepciones!$C$5:$C$2000,Recepciones!$A$5:$A$2000,"&gt;"&amp;$A660,Recepciones!$A$5:$A$2000,"&lt;="&amp;$A661)=0),"Aumento de stock sin recepción registrada",IF(B661&gt;1,"Intervalo de "&amp;B661&amp;" días","")))</f>
        <v/>
      </c>
    </row>
    <row r="662" customFormat="false" ht="15" hidden="false" customHeight="false" outlineLevel="0" collapsed="false">
      <c r="A662" s="5" t="str">
        <f aca="false">IF(Stock_Diario!A662="","",Stock_Diario!A662)</f>
        <v/>
      </c>
      <c r="B662" s="4" t="str">
        <f aca="false">IF($A662="","",$A662-$A661)</f>
        <v/>
      </c>
      <c r="C662" s="24" t="str">
        <f aca="false">IF($A662="","",Stock_Diario!E662)</f>
        <v/>
      </c>
      <c r="D662" s="24" t="str">
        <f aca="false">IF($A662="","",IF(SUMIFS(Recepciones!$C$5:$C$2000,Recepciones!$B$5:$B$2000,Config!$A$23,Recepciones!$A$5:$A$2000,"&gt;"&amp;$A661,Recepciones!$A$5:$A$2000,"&lt;="&amp;$A662)&gt;0,SUMIFS(Recepciones!$C$5:$C$2000,Recepciones!$B$5:$B$2000,Config!$A$23,Recepciones!$A$5:$A$2000,"&gt;"&amp;$A661,Recepciones!$A$5:$A$2000,"&lt;="&amp;$A662),MAX(0,C662-C661)))</f>
        <v/>
      </c>
      <c r="E662" s="24" t="str">
        <f aca="false">IF($A662="","",MAX(0,C661+D662-C662))</f>
        <v/>
      </c>
      <c r="F662" s="24" t="str">
        <f aca="false">IF($A662="","",Stock_Diario!F662)</f>
        <v/>
      </c>
      <c r="G662" s="24" t="str">
        <f aca="false">IF($A662="","",IF(SUMIFS(Recepciones!$C$5:$C$2000,Recepciones!$B$5:$B$2000,Config!$A$24,Recepciones!$A$5:$A$2000,"&gt;"&amp;$A661,Recepciones!$A$5:$A$2000,"&lt;="&amp;$A662)&gt;0,SUMIFS(Recepciones!$C$5:$C$2000,Recepciones!$B$5:$B$2000,Config!$A$24,Recepciones!$A$5:$A$2000,"&gt;"&amp;$A661,Recepciones!$A$5:$A$2000,"&lt;="&amp;$A662),MAX(0,F662-F661)))</f>
        <v/>
      </c>
      <c r="H662" s="24" t="str">
        <f aca="false">IF($A662="","",MAX(0,F661+G662-F662))</f>
        <v/>
      </c>
      <c r="I662" s="24" t="str">
        <f aca="false">IF($A662="","",Stock_Diario!G662)</f>
        <v/>
      </c>
      <c r="J662" s="24" t="str">
        <f aca="false">IF($A662="","",IF(SUMIFS(Recepciones!$C$5:$C$2000,Recepciones!$B$5:$B$2000,Config!$A$25,Recepciones!$A$5:$A$2000,"&gt;"&amp;$A661,Recepciones!$A$5:$A$2000,"&lt;="&amp;$A662)&gt;0,SUMIFS(Recepciones!$C$5:$C$2000,Recepciones!$B$5:$B$2000,Config!$A$25,Recepciones!$A$5:$A$2000,"&gt;"&amp;$A661,Recepciones!$A$5:$A$2000,"&lt;="&amp;$A662),MAX(0,I662-I661)))</f>
        <v/>
      </c>
      <c r="K662" s="24" t="str">
        <f aca="false">IF($A662="","",MAX(0,I661+J662-I662))</f>
        <v/>
      </c>
      <c r="L662" s="24" t="str">
        <f aca="false">IF($A662="","",E662+H662+K662)</f>
        <v/>
      </c>
      <c r="M662" s="4" t="str">
        <f aca="false">IF($A662="","",IF(AND(D662+G662+J662&gt;0,SUMIFS(Recepciones!$C$5:$C$2000,Recepciones!$A$5:$A$2000,"&gt;"&amp;$A661,Recepciones!$A$5:$A$2000,"&lt;="&amp;$A662)=0),"Aumento de stock sin recepción registrada",IF(B662&gt;1,"Intervalo de "&amp;B662&amp;" días","")))</f>
        <v/>
      </c>
    </row>
    <row r="663" customFormat="false" ht="15" hidden="false" customHeight="false" outlineLevel="0" collapsed="false">
      <c r="A663" s="5" t="str">
        <f aca="false">IF(Stock_Diario!A663="","",Stock_Diario!A663)</f>
        <v/>
      </c>
      <c r="B663" s="4" t="str">
        <f aca="false">IF($A663="","",$A663-$A662)</f>
        <v/>
      </c>
      <c r="C663" s="24" t="str">
        <f aca="false">IF($A663="","",Stock_Diario!E663)</f>
        <v/>
      </c>
      <c r="D663" s="24" t="str">
        <f aca="false">IF($A663="","",IF(SUMIFS(Recepciones!$C$5:$C$2000,Recepciones!$B$5:$B$2000,Config!$A$23,Recepciones!$A$5:$A$2000,"&gt;"&amp;$A662,Recepciones!$A$5:$A$2000,"&lt;="&amp;$A663)&gt;0,SUMIFS(Recepciones!$C$5:$C$2000,Recepciones!$B$5:$B$2000,Config!$A$23,Recepciones!$A$5:$A$2000,"&gt;"&amp;$A662,Recepciones!$A$5:$A$2000,"&lt;="&amp;$A663),MAX(0,C663-C662)))</f>
        <v/>
      </c>
      <c r="E663" s="24" t="str">
        <f aca="false">IF($A663="","",MAX(0,C662+D663-C663))</f>
        <v/>
      </c>
      <c r="F663" s="24" t="str">
        <f aca="false">IF($A663="","",Stock_Diario!F663)</f>
        <v/>
      </c>
      <c r="G663" s="24" t="str">
        <f aca="false">IF($A663="","",IF(SUMIFS(Recepciones!$C$5:$C$2000,Recepciones!$B$5:$B$2000,Config!$A$24,Recepciones!$A$5:$A$2000,"&gt;"&amp;$A662,Recepciones!$A$5:$A$2000,"&lt;="&amp;$A663)&gt;0,SUMIFS(Recepciones!$C$5:$C$2000,Recepciones!$B$5:$B$2000,Config!$A$24,Recepciones!$A$5:$A$2000,"&gt;"&amp;$A662,Recepciones!$A$5:$A$2000,"&lt;="&amp;$A663),MAX(0,F663-F662)))</f>
        <v/>
      </c>
      <c r="H663" s="24" t="str">
        <f aca="false">IF($A663="","",MAX(0,F662+G663-F663))</f>
        <v/>
      </c>
      <c r="I663" s="24" t="str">
        <f aca="false">IF($A663="","",Stock_Diario!G663)</f>
        <v/>
      </c>
      <c r="J663" s="24" t="str">
        <f aca="false">IF($A663="","",IF(SUMIFS(Recepciones!$C$5:$C$2000,Recepciones!$B$5:$B$2000,Config!$A$25,Recepciones!$A$5:$A$2000,"&gt;"&amp;$A662,Recepciones!$A$5:$A$2000,"&lt;="&amp;$A663)&gt;0,SUMIFS(Recepciones!$C$5:$C$2000,Recepciones!$B$5:$B$2000,Config!$A$25,Recepciones!$A$5:$A$2000,"&gt;"&amp;$A662,Recepciones!$A$5:$A$2000,"&lt;="&amp;$A663),MAX(0,I663-I662)))</f>
        <v/>
      </c>
      <c r="K663" s="24" t="str">
        <f aca="false">IF($A663="","",MAX(0,I662+J663-I663))</f>
        <v/>
      </c>
      <c r="L663" s="24" t="str">
        <f aca="false">IF($A663="","",E663+H663+K663)</f>
        <v/>
      </c>
      <c r="M663" s="4" t="str">
        <f aca="false">IF($A663="","",IF(AND(D663+G663+J663&gt;0,SUMIFS(Recepciones!$C$5:$C$2000,Recepciones!$A$5:$A$2000,"&gt;"&amp;$A662,Recepciones!$A$5:$A$2000,"&lt;="&amp;$A663)=0),"Aumento de stock sin recepción registrada",IF(B663&gt;1,"Intervalo de "&amp;B663&amp;" días","")))</f>
        <v/>
      </c>
    </row>
    <row r="664" customFormat="false" ht="15" hidden="false" customHeight="false" outlineLevel="0" collapsed="false">
      <c r="A664" s="5" t="str">
        <f aca="false">IF(Stock_Diario!A664="","",Stock_Diario!A664)</f>
        <v/>
      </c>
      <c r="B664" s="4" t="str">
        <f aca="false">IF($A664="","",$A664-$A663)</f>
        <v/>
      </c>
      <c r="C664" s="24" t="str">
        <f aca="false">IF($A664="","",Stock_Diario!E664)</f>
        <v/>
      </c>
      <c r="D664" s="24" t="str">
        <f aca="false">IF($A664="","",IF(SUMIFS(Recepciones!$C$5:$C$2000,Recepciones!$B$5:$B$2000,Config!$A$23,Recepciones!$A$5:$A$2000,"&gt;"&amp;$A663,Recepciones!$A$5:$A$2000,"&lt;="&amp;$A664)&gt;0,SUMIFS(Recepciones!$C$5:$C$2000,Recepciones!$B$5:$B$2000,Config!$A$23,Recepciones!$A$5:$A$2000,"&gt;"&amp;$A663,Recepciones!$A$5:$A$2000,"&lt;="&amp;$A664),MAX(0,C664-C663)))</f>
        <v/>
      </c>
      <c r="E664" s="24" t="str">
        <f aca="false">IF($A664="","",MAX(0,C663+D664-C664))</f>
        <v/>
      </c>
      <c r="F664" s="24" t="str">
        <f aca="false">IF($A664="","",Stock_Diario!F664)</f>
        <v/>
      </c>
      <c r="G664" s="24" t="str">
        <f aca="false">IF($A664="","",IF(SUMIFS(Recepciones!$C$5:$C$2000,Recepciones!$B$5:$B$2000,Config!$A$24,Recepciones!$A$5:$A$2000,"&gt;"&amp;$A663,Recepciones!$A$5:$A$2000,"&lt;="&amp;$A664)&gt;0,SUMIFS(Recepciones!$C$5:$C$2000,Recepciones!$B$5:$B$2000,Config!$A$24,Recepciones!$A$5:$A$2000,"&gt;"&amp;$A663,Recepciones!$A$5:$A$2000,"&lt;="&amp;$A664),MAX(0,F664-F663)))</f>
        <v/>
      </c>
      <c r="H664" s="24" t="str">
        <f aca="false">IF($A664="","",MAX(0,F663+G664-F664))</f>
        <v/>
      </c>
      <c r="I664" s="24" t="str">
        <f aca="false">IF($A664="","",Stock_Diario!G664)</f>
        <v/>
      </c>
      <c r="J664" s="24" t="str">
        <f aca="false">IF($A664="","",IF(SUMIFS(Recepciones!$C$5:$C$2000,Recepciones!$B$5:$B$2000,Config!$A$25,Recepciones!$A$5:$A$2000,"&gt;"&amp;$A663,Recepciones!$A$5:$A$2000,"&lt;="&amp;$A664)&gt;0,SUMIFS(Recepciones!$C$5:$C$2000,Recepciones!$B$5:$B$2000,Config!$A$25,Recepciones!$A$5:$A$2000,"&gt;"&amp;$A663,Recepciones!$A$5:$A$2000,"&lt;="&amp;$A664),MAX(0,I664-I663)))</f>
        <v/>
      </c>
      <c r="K664" s="24" t="str">
        <f aca="false">IF($A664="","",MAX(0,I663+J664-I664))</f>
        <v/>
      </c>
      <c r="L664" s="24" t="str">
        <f aca="false">IF($A664="","",E664+H664+K664)</f>
        <v/>
      </c>
      <c r="M664" s="4" t="str">
        <f aca="false">IF($A664="","",IF(AND(D664+G664+J664&gt;0,SUMIFS(Recepciones!$C$5:$C$2000,Recepciones!$A$5:$A$2000,"&gt;"&amp;$A663,Recepciones!$A$5:$A$2000,"&lt;="&amp;$A664)=0),"Aumento de stock sin recepción registrada",IF(B664&gt;1,"Intervalo de "&amp;B664&amp;" días","")))</f>
        <v/>
      </c>
    </row>
    <row r="665" customFormat="false" ht="15" hidden="false" customHeight="false" outlineLevel="0" collapsed="false">
      <c r="A665" s="5" t="str">
        <f aca="false">IF(Stock_Diario!A665="","",Stock_Diario!A665)</f>
        <v/>
      </c>
      <c r="B665" s="4" t="str">
        <f aca="false">IF($A665="","",$A665-$A664)</f>
        <v/>
      </c>
      <c r="C665" s="24" t="str">
        <f aca="false">IF($A665="","",Stock_Diario!E665)</f>
        <v/>
      </c>
      <c r="D665" s="24" t="str">
        <f aca="false">IF($A665="","",IF(SUMIFS(Recepciones!$C$5:$C$2000,Recepciones!$B$5:$B$2000,Config!$A$23,Recepciones!$A$5:$A$2000,"&gt;"&amp;$A664,Recepciones!$A$5:$A$2000,"&lt;="&amp;$A665)&gt;0,SUMIFS(Recepciones!$C$5:$C$2000,Recepciones!$B$5:$B$2000,Config!$A$23,Recepciones!$A$5:$A$2000,"&gt;"&amp;$A664,Recepciones!$A$5:$A$2000,"&lt;="&amp;$A665),MAX(0,C665-C664)))</f>
        <v/>
      </c>
      <c r="E665" s="24" t="str">
        <f aca="false">IF($A665="","",MAX(0,C664+D665-C665))</f>
        <v/>
      </c>
      <c r="F665" s="24" t="str">
        <f aca="false">IF($A665="","",Stock_Diario!F665)</f>
        <v/>
      </c>
      <c r="G665" s="24" t="str">
        <f aca="false">IF($A665="","",IF(SUMIFS(Recepciones!$C$5:$C$2000,Recepciones!$B$5:$B$2000,Config!$A$24,Recepciones!$A$5:$A$2000,"&gt;"&amp;$A664,Recepciones!$A$5:$A$2000,"&lt;="&amp;$A665)&gt;0,SUMIFS(Recepciones!$C$5:$C$2000,Recepciones!$B$5:$B$2000,Config!$A$24,Recepciones!$A$5:$A$2000,"&gt;"&amp;$A664,Recepciones!$A$5:$A$2000,"&lt;="&amp;$A665),MAX(0,F665-F664)))</f>
        <v/>
      </c>
      <c r="H665" s="24" t="str">
        <f aca="false">IF($A665="","",MAX(0,F664+G665-F665))</f>
        <v/>
      </c>
      <c r="I665" s="24" t="str">
        <f aca="false">IF($A665="","",Stock_Diario!G665)</f>
        <v/>
      </c>
      <c r="J665" s="24" t="str">
        <f aca="false">IF($A665="","",IF(SUMIFS(Recepciones!$C$5:$C$2000,Recepciones!$B$5:$B$2000,Config!$A$25,Recepciones!$A$5:$A$2000,"&gt;"&amp;$A664,Recepciones!$A$5:$A$2000,"&lt;="&amp;$A665)&gt;0,SUMIFS(Recepciones!$C$5:$C$2000,Recepciones!$B$5:$B$2000,Config!$A$25,Recepciones!$A$5:$A$2000,"&gt;"&amp;$A664,Recepciones!$A$5:$A$2000,"&lt;="&amp;$A665),MAX(0,I665-I664)))</f>
        <v/>
      </c>
      <c r="K665" s="24" t="str">
        <f aca="false">IF($A665="","",MAX(0,I664+J665-I665))</f>
        <v/>
      </c>
      <c r="L665" s="24" t="str">
        <f aca="false">IF($A665="","",E665+H665+K665)</f>
        <v/>
      </c>
      <c r="M665" s="4" t="str">
        <f aca="false">IF($A665="","",IF(AND(D665+G665+J665&gt;0,SUMIFS(Recepciones!$C$5:$C$2000,Recepciones!$A$5:$A$2000,"&gt;"&amp;$A664,Recepciones!$A$5:$A$2000,"&lt;="&amp;$A665)=0),"Aumento de stock sin recepción registrada",IF(B665&gt;1,"Intervalo de "&amp;B665&amp;" días","")))</f>
        <v/>
      </c>
    </row>
    <row r="666" customFormat="false" ht="15" hidden="false" customHeight="false" outlineLevel="0" collapsed="false">
      <c r="A666" s="5" t="str">
        <f aca="false">IF(Stock_Diario!A666="","",Stock_Diario!A666)</f>
        <v/>
      </c>
      <c r="B666" s="4" t="str">
        <f aca="false">IF($A666="","",$A666-$A665)</f>
        <v/>
      </c>
      <c r="C666" s="24" t="str">
        <f aca="false">IF($A666="","",Stock_Diario!E666)</f>
        <v/>
      </c>
      <c r="D666" s="24" t="str">
        <f aca="false">IF($A666="","",IF(SUMIFS(Recepciones!$C$5:$C$2000,Recepciones!$B$5:$B$2000,Config!$A$23,Recepciones!$A$5:$A$2000,"&gt;"&amp;$A665,Recepciones!$A$5:$A$2000,"&lt;="&amp;$A666)&gt;0,SUMIFS(Recepciones!$C$5:$C$2000,Recepciones!$B$5:$B$2000,Config!$A$23,Recepciones!$A$5:$A$2000,"&gt;"&amp;$A665,Recepciones!$A$5:$A$2000,"&lt;="&amp;$A666),MAX(0,C666-C665)))</f>
        <v/>
      </c>
      <c r="E666" s="24" t="str">
        <f aca="false">IF($A666="","",MAX(0,C665+D666-C666))</f>
        <v/>
      </c>
      <c r="F666" s="24" t="str">
        <f aca="false">IF($A666="","",Stock_Diario!F666)</f>
        <v/>
      </c>
      <c r="G666" s="24" t="str">
        <f aca="false">IF($A666="","",IF(SUMIFS(Recepciones!$C$5:$C$2000,Recepciones!$B$5:$B$2000,Config!$A$24,Recepciones!$A$5:$A$2000,"&gt;"&amp;$A665,Recepciones!$A$5:$A$2000,"&lt;="&amp;$A666)&gt;0,SUMIFS(Recepciones!$C$5:$C$2000,Recepciones!$B$5:$B$2000,Config!$A$24,Recepciones!$A$5:$A$2000,"&gt;"&amp;$A665,Recepciones!$A$5:$A$2000,"&lt;="&amp;$A666),MAX(0,F666-F665)))</f>
        <v/>
      </c>
      <c r="H666" s="24" t="str">
        <f aca="false">IF($A666="","",MAX(0,F665+G666-F666))</f>
        <v/>
      </c>
      <c r="I666" s="24" t="str">
        <f aca="false">IF($A666="","",Stock_Diario!G666)</f>
        <v/>
      </c>
      <c r="J666" s="24" t="str">
        <f aca="false">IF($A666="","",IF(SUMIFS(Recepciones!$C$5:$C$2000,Recepciones!$B$5:$B$2000,Config!$A$25,Recepciones!$A$5:$A$2000,"&gt;"&amp;$A665,Recepciones!$A$5:$A$2000,"&lt;="&amp;$A666)&gt;0,SUMIFS(Recepciones!$C$5:$C$2000,Recepciones!$B$5:$B$2000,Config!$A$25,Recepciones!$A$5:$A$2000,"&gt;"&amp;$A665,Recepciones!$A$5:$A$2000,"&lt;="&amp;$A666),MAX(0,I666-I665)))</f>
        <v/>
      </c>
      <c r="K666" s="24" t="str">
        <f aca="false">IF($A666="","",MAX(0,I665+J666-I666))</f>
        <v/>
      </c>
      <c r="L666" s="24" t="str">
        <f aca="false">IF($A666="","",E666+H666+K666)</f>
        <v/>
      </c>
      <c r="M666" s="4" t="str">
        <f aca="false">IF($A666="","",IF(AND(D666+G666+J666&gt;0,SUMIFS(Recepciones!$C$5:$C$2000,Recepciones!$A$5:$A$2000,"&gt;"&amp;$A665,Recepciones!$A$5:$A$2000,"&lt;="&amp;$A666)=0),"Aumento de stock sin recepción registrada",IF(B666&gt;1,"Intervalo de "&amp;B666&amp;" días","")))</f>
        <v/>
      </c>
    </row>
    <row r="667" customFormat="false" ht="15" hidden="false" customHeight="false" outlineLevel="0" collapsed="false">
      <c r="A667" s="5" t="str">
        <f aca="false">IF(Stock_Diario!A667="","",Stock_Diario!A667)</f>
        <v/>
      </c>
      <c r="B667" s="4" t="str">
        <f aca="false">IF($A667="","",$A667-$A666)</f>
        <v/>
      </c>
      <c r="C667" s="24" t="str">
        <f aca="false">IF($A667="","",Stock_Diario!E667)</f>
        <v/>
      </c>
      <c r="D667" s="24" t="str">
        <f aca="false">IF($A667="","",IF(SUMIFS(Recepciones!$C$5:$C$2000,Recepciones!$B$5:$B$2000,Config!$A$23,Recepciones!$A$5:$A$2000,"&gt;"&amp;$A666,Recepciones!$A$5:$A$2000,"&lt;="&amp;$A667)&gt;0,SUMIFS(Recepciones!$C$5:$C$2000,Recepciones!$B$5:$B$2000,Config!$A$23,Recepciones!$A$5:$A$2000,"&gt;"&amp;$A666,Recepciones!$A$5:$A$2000,"&lt;="&amp;$A667),MAX(0,C667-C666)))</f>
        <v/>
      </c>
      <c r="E667" s="24" t="str">
        <f aca="false">IF($A667="","",MAX(0,C666+D667-C667))</f>
        <v/>
      </c>
      <c r="F667" s="24" t="str">
        <f aca="false">IF($A667="","",Stock_Diario!F667)</f>
        <v/>
      </c>
      <c r="G667" s="24" t="str">
        <f aca="false">IF($A667="","",IF(SUMIFS(Recepciones!$C$5:$C$2000,Recepciones!$B$5:$B$2000,Config!$A$24,Recepciones!$A$5:$A$2000,"&gt;"&amp;$A666,Recepciones!$A$5:$A$2000,"&lt;="&amp;$A667)&gt;0,SUMIFS(Recepciones!$C$5:$C$2000,Recepciones!$B$5:$B$2000,Config!$A$24,Recepciones!$A$5:$A$2000,"&gt;"&amp;$A666,Recepciones!$A$5:$A$2000,"&lt;="&amp;$A667),MAX(0,F667-F666)))</f>
        <v/>
      </c>
      <c r="H667" s="24" t="str">
        <f aca="false">IF($A667="","",MAX(0,F666+G667-F667))</f>
        <v/>
      </c>
      <c r="I667" s="24" t="str">
        <f aca="false">IF($A667="","",Stock_Diario!G667)</f>
        <v/>
      </c>
      <c r="J667" s="24" t="str">
        <f aca="false">IF($A667="","",IF(SUMIFS(Recepciones!$C$5:$C$2000,Recepciones!$B$5:$B$2000,Config!$A$25,Recepciones!$A$5:$A$2000,"&gt;"&amp;$A666,Recepciones!$A$5:$A$2000,"&lt;="&amp;$A667)&gt;0,SUMIFS(Recepciones!$C$5:$C$2000,Recepciones!$B$5:$B$2000,Config!$A$25,Recepciones!$A$5:$A$2000,"&gt;"&amp;$A666,Recepciones!$A$5:$A$2000,"&lt;="&amp;$A667),MAX(0,I667-I666)))</f>
        <v/>
      </c>
      <c r="K667" s="24" t="str">
        <f aca="false">IF($A667="","",MAX(0,I666+J667-I667))</f>
        <v/>
      </c>
      <c r="L667" s="24" t="str">
        <f aca="false">IF($A667="","",E667+H667+K667)</f>
        <v/>
      </c>
      <c r="M667" s="4" t="str">
        <f aca="false">IF($A667="","",IF(AND(D667+G667+J667&gt;0,SUMIFS(Recepciones!$C$5:$C$2000,Recepciones!$A$5:$A$2000,"&gt;"&amp;$A666,Recepciones!$A$5:$A$2000,"&lt;="&amp;$A667)=0),"Aumento de stock sin recepción registrada",IF(B667&gt;1,"Intervalo de "&amp;B667&amp;" días","")))</f>
        <v/>
      </c>
    </row>
    <row r="668" customFormat="false" ht="15" hidden="false" customHeight="false" outlineLevel="0" collapsed="false">
      <c r="A668" s="5" t="str">
        <f aca="false">IF(Stock_Diario!A668="","",Stock_Diario!A668)</f>
        <v/>
      </c>
      <c r="B668" s="4" t="str">
        <f aca="false">IF($A668="","",$A668-$A667)</f>
        <v/>
      </c>
      <c r="C668" s="24" t="str">
        <f aca="false">IF($A668="","",Stock_Diario!E668)</f>
        <v/>
      </c>
      <c r="D668" s="24" t="str">
        <f aca="false">IF($A668="","",IF(SUMIFS(Recepciones!$C$5:$C$2000,Recepciones!$B$5:$B$2000,Config!$A$23,Recepciones!$A$5:$A$2000,"&gt;"&amp;$A667,Recepciones!$A$5:$A$2000,"&lt;="&amp;$A668)&gt;0,SUMIFS(Recepciones!$C$5:$C$2000,Recepciones!$B$5:$B$2000,Config!$A$23,Recepciones!$A$5:$A$2000,"&gt;"&amp;$A667,Recepciones!$A$5:$A$2000,"&lt;="&amp;$A668),MAX(0,C668-C667)))</f>
        <v/>
      </c>
      <c r="E668" s="24" t="str">
        <f aca="false">IF($A668="","",MAX(0,C667+D668-C668))</f>
        <v/>
      </c>
      <c r="F668" s="24" t="str">
        <f aca="false">IF($A668="","",Stock_Diario!F668)</f>
        <v/>
      </c>
      <c r="G668" s="24" t="str">
        <f aca="false">IF($A668="","",IF(SUMIFS(Recepciones!$C$5:$C$2000,Recepciones!$B$5:$B$2000,Config!$A$24,Recepciones!$A$5:$A$2000,"&gt;"&amp;$A667,Recepciones!$A$5:$A$2000,"&lt;="&amp;$A668)&gt;0,SUMIFS(Recepciones!$C$5:$C$2000,Recepciones!$B$5:$B$2000,Config!$A$24,Recepciones!$A$5:$A$2000,"&gt;"&amp;$A667,Recepciones!$A$5:$A$2000,"&lt;="&amp;$A668),MAX(0,F668-F667)))</f>
        <v/>
      </c>
      <c r="H668" s="24" t="str">
        <f aca="false">IF($A668="","",MAX(0,F667+G668-F668))</f>
        <v/>
      </c>
      <c r="I668" s="24" t="str">
        <f aca="false">IF($A668="","",Stock_Diario!G668)</f>
        <v/>
      </c>
      <c r="J668" s="24" t="str">
        <f aca="false">IF($A668="","",IF(SUMIFS(Recepciones!$C$5:$C$2000,Recepciones!$B$5:$B$2000,Config!$A$25,Recepciones!$A$5:$A$2000,"&gt;"&amp;$A667,Recepciones!$A$5:$A$2000,"&lt;="&amp;$A668)&gt;0,SUMIFS(Recepciones!$C$5:$C$2000,Recepciones!$B$5:$B$2000,Config!$A$25,Recepciones!$A$5:$A$2000,"&gt;"&amp;$A667,Recepciones!$A$5:$A$2000,"&lt;="&amp;$A668),MAX(0,I668-I667)))</f>
        <v/>
      </c>
      <c r="K668" s="24" t="str">
        <f aca="false">IF($A668="","",MAX(0,I667+J668-I668))</f>
        <v/>
      </c>
      <c r="L668" s="24" t="str">
        <f aca="false">IF($A668="","",E668+H668+K668)</f>
        <v/>
      </c>
      <c r="M668" s="4" t="str">
        <f aca="false">IF($A668="","",IF(AND(D668+G668+J668&gt;0,SUMIFS(Recepciones!$C$5:$C$2000,Recepciones!$A$5:$A$2000,"&gt;"&amp;$A667,Recepciones!$A$5:$A$2000,"&lt;="&amp;$A668)=0),"Aumento de stock sin recepción registrada",IF(B668&gt;1,"Intervalo de "&amp;B668&amp;" días","")))</f>
        <v/>
      </c>
    </row>
    <row r="669" customFormat="false" ht="15" hidden="false" customHeight="false" outlineLevel="0" collapsed="false">
      <c r="A669" s="5" t="str">
        <f aca="false">IF(Stock_Diario!A669="","",Stock_Diario!A669)</f>
        <v/>
      </c>
      <c r="B669" s="4" t="str">
        <f aca="false">IF($A669="","",$A669-$A668)</f>
        <v/>
      </c>
      <c r="C669" s="24" t="str">
        <f aca="false">IF($A669="","",Stock_Diario!E669)</f>
        <v/>
      </c>
      <c r="D669" s="24" t="str">
        <f aca="false">IF($A669="","",IF(SUMIFS(Recepciones!$C$5:$C$2000,Recepciones!$B$5:$B$2000,Config!$A$23,Recepciones!$A$5:$A$2000,"&gt;"&amp;$A668,Recepciones!$A$5:$A$2000,"&lt;="&amp;$A669)&gt;0,SUMIFS(Recepciones!$C$5:$C$2000,Recepciones!$B$5:$B$2000,Config!$A$23,Recepciones!$A$5:$A$2000,"&gt;"&amp;$A668,Recepciones!$A$5:$A$2000,"&lt;="&amp;$A669),MAX(0,C669-C668)))</f>
        <v/>
      </c>
      <c r="E669" s="24" t="str">
        <f aca="false">IF($A669="","",MAX(0,C668+D669-C669))</f>
        <v/>
      </c>
      <c r="F669" s="24" t="str">
        <f aca="false">IF($A669="","",Stock_Diario!F669)</f>
        <v/>
      </c>
      <c r="G669" s="24" t="str">
        <f aca="false">IF($A669="","",IF(SUMIFS(Recepciones!$C$5:$C$2000,Recepciones!$B$5:$B$2000,Config!$A$24,Recepciones!$A$5:$A$2000,"&gt;"&amp;$A668,Recepciones!$A$5:$A$2000,"&lt;="&amp;$A669)&gt;0,SUMIFS(Recepciones!$C$5:$C$2000,Recepciones!$B$5:$B$2000,Config!$A$24,Recepciones!$A$5:$A$2000,"&gt;"&amp;$A668,Recepciones!$A$5:$A$2000,"&lt;="&amp;$A669),MAX(0,F669-F668)))</f>
        <v/>
      </c>
      <c r="H669" s="24" t="str">
        <f aca="false">IF($A669="","",MAX(0,F668+G669-F669))</f>
        <v/>
      </c>
      <c r="I669" s="24" t="str">
        <f aca="false">IF($A669="","",Stock_Diario!G669)</f>
        <v/>
      </c>
      <c r="J669" s="24" t="str">
        <f aca="false">IF($A669="","",IF(SUMIFS(Recepciones!$C$5:$C$2000,Recepciones!$B$5:$B$2000,Config!$A$25,Recepciones!$A$5:$A$2000,"&gt;"&amp;$A668,Recepciones!$A$5:$A$2000,"&lt;="&amp;$A669)&gt;0,SUMIFS(Recepciones!$C$5:$C$2000,Recepciones!$B$5:$B$2000,Config!$A$25,Recepciones!$A$5:$A$2000,"&gt;"&amp;$A668,Recepciones!$A$5:$A$2000,"&lt;="&amp;$A669),MAX(0,I669-I668)))</f>
        <v/>
      </c>
      <c r="K669" s="24" t="str">
        <f aca="false">IF($A669="","",MAX(0,I668+J669-I669))</f>
        <v/>
      </c>
      <c r="L669" s="24" t="str">
        <f aca="false">IF($A669="","",E669+H669+K669)</f>
        <v/>
      </c>
      <c r="M669" s="4" t="str">
        <f aca="false">IF($A669="","",IF(AND(D669+G669+J669&gt;0,SUMIFS(Recepciones!$C$5:$C$2000,Recepciones!$A$5:$A$2000,"&gt;"&amp;$A668,Recepciones!$A$5:$A$2000,"&lt;="&amp;$A669)=0),"Aumento de stock sin recepción registrada",IF(B669&gt;1,"Intervalo de "&amp;B669&amp;" días","")))</f>
        <v/>
      </c>
    </row>
    <row r="670" customFormat="false" ht="15" hidden="false" customHeight="false" outlineLevel="0" collapsed="false">
      <c r="A670" s="5" t="str">
        <f aca="false">IF(Stock_Diario!A670="","",Stock_Diario!A670)</f>
        <v/>
      </c>
      <c r="B670" s="4" t="str">
        <f aca="false">IF($A670="","",$A670-$A669)</f>
        <v/>
      </c>
      <c r="C670" s="24" t="str">
        <f aca="false">IF($A670="","",Stock_Diario!E670)</f>
        <v/>
      </c>
      <c r="D670" s="24" t="str">
        <f aca="false">IF($A670="","",IF(SUMIFS(Recepciones!$C$5:$C$2000,Recepciones!$B$5:$B$2000,Config!$A$23,Recepciones!$A$5:$A$2000,"&gt;"&amp;$A669,Recepciones!$A$5:$A$2000,"&lt;="&amp;$A670)&gt;0,SUMIFS(Recepciones!$C$5:$C$2000,Recepciones!$B$5:$B$2000,Config!$A$23,Recepciones!$A$5:$A$2000,"&gt;"&amp;$A669,Recepciones!$A$5:$A$2000,"&lt;="&amp;$A670),MAX(0,C670-C669)))</f>
        <v/>
      </c>
      <c r="E670" s="24" t="str">
        <f aca="false">IF($A670="","",MAX(0,C669+D670-C670))</f>
        <v/>
      </c>
      <c r="F670" s="24" t="str">
        <f aca="false">IF($A670="","",Stock_Diario!F670)</f>
        <v/>
      </c>
      <c r="G670" s="24" t="str">
        <f aca="false">IF($A670="","",IF(SUMIFS(Recepciones!$C$5:$C$2000,Recepciones!$B$5:$B$2000,Config!$A$24,Recepciones!$A$5:$A$2000,"&gt;"&amp;$A669,Recepciones!$A$5:$A$2000,"&lt;="&amp;$A670)&gt;0,SUMIFS(Recepciones!$C$5:$C$2000,Recepciones!$B$5:$B$2000,Config!$A$24,Recepciones!$A$5:$A$2000,"&gt;"&amp;$A669,Recepciones!$A$5:$A$2000,"&lt;="&amp;$A670),MAX(0,F670-F669)))</f>
        <v/>
      </c>
      <c r="H670" s="24" t="str">
        <f aca="false">IF($A670="","",MAX(0,F669+G670-F670))</f>
        <v/>
      </c>
      <c r="I670" s="24" t="str">
        <f aca="false">IF($A670="","",Stock_Diario!G670)</f>
        <v/>
      </c>
      <c r="J670" s="24" t="str">
        <f aca="false">IF($A670="","",IF(SUMIFS(Recepciones!$C$5:$C$2000,Recepciones!$B$5:$B$2000,Config!$A$25,Recepciones!$A$5:$A$2000,"&gt;"&amp;$A669,Recepciones!$A$5:$A$2000,"&lt;="&amp;$A670)&gt;0,SUMIFS(Recepciones!$C$5:$C$2000,Recepciones!$B$5:$B$2000,Config!$A$25,Recepciones!$A$5:$A$2000,"&gt;"&amp;$A669,Recepciones!$A$5:$A$2000,"&lt;="&amp;$A670),MAX(0,I670-I669)))</f>
        <v/>
      </c>
      <c r="K670" s="24" t="str">
        <f aca="false">IF($A670="","",MAX(0,I669+J670-I670))</f>
        <v/>
      </c>
      <c r="L670" s="24" t="str">
        <f aca="false">IF($A670="","",E670+H670+K670)</f>
        <v/>
      </c>
      <c r="M670" s="4" t="str">
        <f aca="false">IF($A670="","",IF(AND(D670+G670+J670&gt;0,SUMIFS(Recepciones!$C$5:$C$2000,Recepciones!$A$5:$A$2000,"&gt;"&amp;$A669,Recepciones!$A$5:$A$2000,"&lt;="&amp;$A670)=0),"Aumento de stock sin recepción registrada",IF(B670&gt;1,"Intervalo de "&amp;B670&amp;" días","")))</f>
        <v/>
      </c>
    </row>
    <row r="671" customFormat="false" ht="15" hidden="false" customHeight="false" outlineLevel="0" collapsed="false">
      <c r="A671" s="5" t="str">
        <f aca="false">IF(Stock_Diario!A671="","",Stock_Diario!A671)</f>
        <v/>
      </c>
      <c r="B671" s="4" t="str">
        <f aca="false">IF($A671="","",$A671-$A670)</f>
        <v/>
      </c>
      <c r="C671" s="24" t="str">
        <f aca="false">IF($A671="","",Stock_Diario!E671)</f>
        <v/>
      </c>
      <c r="D671" s="24" t="str">
        <f aca="false">IF($A671="","",IF(SUMIFS(Recepciones!$C$5:$C$2000,Recepciones!$B$5:$B$2000,Config!$A$23,Recepciones!$A$5:$A$2000,"&gt;"&amp;$A670,Recepciones!$A$5:$A$2000,"&lt;="&amp;$A671)&gt;0,SUMIFS(Recepciones!$C$5:$C$2000,Recepciones!$B$5:$B$2000,Config!$A$23,Recepciones!$A$5:$A$2000,"&gt;"&amp;$A670,Recepciones!$A$5:$A$2000,"&lt;="&amp;$A671),MAX(0,C671-C670)))</f>
        <v/>
      </c>
      <c r="E671" s="24" t="str">
        <f aca="false">IF($A671="","",MAX(0,C670+D671-C671))</f>
        <v/>
      </c>
      <c r="F671" s="24" t="str">
        <f aca="false">IF($A671="","",Stock_Diario!F671)</f>
        <v/>
      </c>
      <c r="G671" s="24" t="str">
        <f aca="false">IF($A671="","",IF(SUMIFS(Recepciones!$C$5:$C$2000,Recepciones!$B$5:$B$2000,Config!$A$24,Recepciones!$A$5:$A$2000,"&gt;"&amp;$A670,Recepciones!$A$5:$A$2000,"&lt;="&amp;$A671)&gt;0,SUMIFS(Recepciones!$C$5:$C$2000,Recepciones!$B$5:$B$2000,Config!$A$24,Recepciones!$A$5:$A$2000,"&gt;"&amp;$A670,Recepciones!$A$5:$A$2000,"&lt;="&amp;$A671),MAX(0,F671-F670)))</f>
        <v/>
      </c>
      <c r="H671" s="24" t="str">
        <f aca="false">IF($A671="","",MAX(0,F670+G671-F671))</f>
        <v/>
      </c>
      <c r="I671" s="24" t="str">
        <f aca="false">IF($A671="","",Stock_Diario!G671)</f>
        <v/>
      </c>
      <c r="J671" s="24" t="str">
        <f aca="false">IF($A671="","",IF(SUMIFS(Recepciones!$C$5:$C$2000,Recepciones!$B$5:$B$2000,Config!$A$25,Recepciones!$A$5:$A$2000,"&gt;"&amp;$A670,Recepciones!$A$5:$A$2000,"&lt;="&amp;$A671)&gt;0,SUMIFS(Recepciones!$C$5:$C$2000,Recepciones!$B$5:$B$2000,Config!$A$25,Recepciones!$A$5:$A$2000,"&gt;"&amp;$A670,Recepciones!$A$5:$A$2000,"&lt;="&amp;$A671),MAX(0,I671-I670)))</f>
        <v/>
      </c>
      <c r="K671" s="24" t="str">
        <f aca="false">IF($A671="","",MAX(0,I670+J671-I671))</f>
        <v/>
      </c>
      <c r="L671" s="24" t="str">
        <f aca="false">IF($A671="","",E671+H671+K671)</f>
        <v/>
      </c>
      <c r="M671" s="4" t="str">
        <f aca="false">IF($A671="","",IF(AND(D671+G671+J671&gt;0,SUMIFS(Recepciones!$C$5:$C$2000,Recepciones!$A$5:$A$2000,"&gt;"&amp;$A670,Recepciones!$A$5:$A$2000,"&lt;="&amp;$A671)=0),"Aumento de stock sin recepción registrada",IF(B671&gt;1,"Intervalo de "&amp;B671&amp;" días","")))</f>
        <v/>
      </c>
    </row>
    <row r="672" customFormat="false" ht="15" hidden="false" customHeight="false" outlineLevel="0" collapsed="false">
      <c r="A672" s="5" t="str">
        <f aca="false">IF(Stock_Diario!A672="","",Stock_Diario!A672)</f>
        <v/>
      </c>
      <c r="B672" s="4" t="str">
        <f aca="false">IF($A672="","",$A672-$A671)</f>
        <v/>
      </c>
      <c r="C672" s="24" t="str">
        <f aca="false">IF($A672="","",Stock_Diario!E672)</f>
        <v/>
      </c>
      <c r="D672" s="24" t="str">
        <f aca="false">IF($A672="","",IF(SUMIFS(Recepciones!$C$5:$C$2000,Recepciones!$B$5:$B$2000,Config!$A$23,Recepciones!$A$5:$A$2000,"&gt;"&amp;$A671,Recepciones!$A$5:$A$2000,"&lt;="&amp;$A672)&gt;0,SUMIFS(Recepciones!$C$5:$C$2000,Recepciones!$B$5:$B$2000,Config!$A$23,Recepciones!$A$5:$A$2000,"&gt;"&amp;$A671,Recepciones!$A$5:$A$2000,"&lt;="&amp;$A672),MAX(0,C672-C671)))</f>
        <v/>
      </c>
      <c r="E672" s="24" t="str">
        <f aca="false">IF($A672="","",MAX(0,C671+D672-C672))</f>
        <v/>
      </c>
      <c r="F672" s="24" t="str">
        <f aca="false">IF($A672="","",Stock_Diario!F672)</f>
        <v/>
      </c>
      <c r="G672" s="24" t="str">
        <f aca="false">IF($A672="","",IF(SUMIFS(Recepciones!$C$5:$C$2000,Recepciones!$B$5:$B$2000,Config!$A$24,Recepciones!$A$5:$A$2000,"&gt;"&amp;$A671,Recepciones!$A$5:$A$2000,"&lt;="&amp;$A672)&gt;0,SUMIFS(Recepciones!$C$5:$C$2000,Recepciones!$B$5:$B$2000,Config!$A$24,Recepciones!$A$5:$A$2000,"&gt;"&amp;$A671,Recepciones!$A$5:$A$2000,"&lt;="&amp;$A672),MAX(0,F672-F671)))</f>
        <v/>
      </c>
      <c r="H672" s="24" t="str">
        <f aca="false">IF($A672="","",MAX(0,F671+G672-F672))</f>
        <v/>
      </c>
      <c r="I672" s="24" t="str">
        <f aca="false">IF($A672="","",Stock_Diario!G672)</f>
        <v/>
      </c>
      <c r="J672" s="24" t="str">
        <f aca="false">IF($A672="","",IF(SUMIFS(Recepciones!$C$5:$C$2000,Recepciones!$B$5:$B$2000,Config!$A$25,Recepciones!$A$5:$A$2000,"&gt;"&amp;$A671,Recepciones!$A$5:$A$2000,"&lt;="&amp;$A672)&gt;0,SUMIFS(Recepciones!$C$5:$C$2000,Recepciones!$B$5:$B$2000,Config!$A$25,Recepciones!$A$5:$A$2000,"&gt;"&amp;$A671,Recepciones!$A$5:$A$2000,"&lt;="&amp;$A672),MAX(0,I672-I671)))</f>
        <v/>
      </c>
      <c r="K672" s="24" t="str">
        <f aca="false">IF($A672="","",MAX(0,I671+J672-I672))</f>
        <v/>
      </c>
      <c r="L672" s="24" t="str">
        <f aca="false">IF($A672="","",E672+H672+K672)</f>
        <v/>
      </c>
      <c r="M672" s="4" t="str">
        <f aca="false">IF($A672="","",IF(AND(D672+G672+J672&gt;0,SUMIFS(Recepciones!$C$5:$C$2000,Recepciones!$A$5:$A$2000,"&gt;"&amp;$A671,Recepciones!$A$5:$A$2000,"&lt;="&amp;$A672)=0),"Aumento de stock sin recepción registrada",IF(B672&gt;1,"Intervalo de "&amp;B672&amp;" días","")))</f>
        <v/>
      </c>
    </row>
    <row r="673" customFormat="false" ht="15" hidden="false" customHeight="false" outlineLevel="0" collapsed="false">
      <c r="A673" s="5" t="str">
        <f aca="false">IF(Stock_Diario!A673="","",Stock_Diario!A673)</f>
        <v/>
      </c>
      <c r="B673" s="4" t="str">
        <f aca="false">IF($A673="","",$A673-$A672)</f>
        <v/>
      </c>
      <c r="C673" s="24" t="str">
        <f aca="false">IF($A673="","",Stock_Diario!E673)</f>
        <v/>
      </c>
      <c r="D673" s="24" t="str">
        <f aca="false">IF($A673="","",IF(SUMIFS(Recepciones!$C$5:$C$2000,Recepciones!$B$5:$B$2000,Config!$A$23,Recepciones!$A$5:$A$2000,"&gt;"&amp;$A672,Recepciones!$A$5:$A$2000,"&lt;="&amp;$A673)&gt;0,SUMIFS(Recepciones!$C$5:$C$2000,Recepciones!$B$5:$B$2000,Config!$A$23,Recepciones!$A$5:$A$2000,"&gt;"&amp;$A672,Recepciones!$A$5:$A$2000,"&lt;="&amp;$A673),MAX(0,C673-C672)))</f>
        <v/>
      </c>
      <c r="E673" s="24" t="str">
        <f aca="false">IF($A673="","",MAX(0,C672+D673-C673))</f>
        <v/>
      </c>
      <c r="F673" s="24" t="str">
        <f aca="false">IF($A673="","",Stock_Diario!F673)</f>
        <v/>
      </c>
      <c r="G673" s="24" t="str">
        <f aca="false">IF($A673="","",IF(SUMIFS(Recepciones!$C$5:$C$2000,Recepciones!$B$5:$B$2000,Config!$A$24,Recepciones!$A$5:$A$2000,"&gt;"&amp;$A672,Recepciones!$A$5:$A$2000,"&lt;="&amp;$A673)&gt;0,SUMIFS(Recepciones!$C$5:$C$2000,Recepciones!$B$5:$B$2000,Config!$A$24,Recepciones!$A$5:$A$2000,"&gt;"&amp;$A672,Recepciones!$A$5:$A$2000,"&lt;="&amp;$A673),MAX(0,F673-F672)))</f>
        <v/>
      </c>
      <c r="H673" s="24" t="str">
        <f aca="false">IF($A673="","",MAX(0,F672+G673-F673))</f>
        <v/>
      </c>
      <c r="I673" s="24" t="str">
        <f aca="false">IF($A673="","",Stock_Diario!G673)</f>
        <v/>
      </c>
      <c r="J673" s="24" t="str">
        <f aca="false">IF($A673="","",IF(SUMIFS(Recepciones!$C$5:$C$2000,Recepciones!$B$5:$B$2000,Config!$A$25,Recepciones!$A$5:$A$2000,"&gt;"&amp;$A672,Recepciones!$A$5:$A$2000,"&lt;="&amp;$A673)&gt;0,SUMIFS(Recepciones!$C$5:$C$2000,Recepciones!$B$5:$B$2000,Config!$A$25,Recepciones!$A$5:$A$2000,"&gt;"&amp;$A672,Recepciones!$A$5:$A$2000,"&lt;="&amp;$A673),MAX(0,I673-I672)))</f>
        <v/>
      </c>
      <c r="K673" s="24" t="str">
        <f aca="false">IF($A673="","",MAX(0,I672+J673-I673))</f>
        <v/>
      </c>
      <c r="L673" s="24" t="str">
        <f aca="false">IF($A673="","",E673+H673+K673)</f>
        <v/>
      </c>
      <c r="M673" s="4" t="str">
        <f aca="false">IF($A673="","",IF(AND(D673+G673+J673&gt;0,SUMIFS(Recepciones!$C$5:$C$2000,Recepciones!$A$5:$A$2000,"&gt;"&amp;$A672,Recepciones!$A$5:$A$2000,"&lt;="&amp;$A673)=0),"Aumento de stock sin recepción registrada",IF(B673&gt;1,"Intervalo de "&amp;B673&amp;" días","")))</f>
        <v/>
      </c>
    </row>
    <row r="674" customFormat="false" ht="15" hidden="false" customHeight="false" outlineLevel="0" collapsed="false">
      <c r="A674" s="5" t="str">
        <f aca="false">IF(Stock_Diario!A674="","",Stock_Diario!A674)</f>
        <v/>
      </c>
      <c r="B674" s="4" t="str">
        <f aca="false">IF($A674="","",$A674-$A673)</f>
        <v/>
      </c>
      <c r="C674" s="24" t="str">
        <f aca="false">IF($A674="","",Stock_Diario!E674)</f>
        <v/>
      </c>
      <c r="D674" s="24" t="str">
        <f aca="false">IF($A674="","",IF(SUMIFS(Recepciones!$C$5:$C$2000,Recepciones!$B$5:$B$2000,Config!$A$23,Recepciones!$A$5:$A$2000,"&gt;"&amp;$A673,Recepciones!$A$5:$A$2000,"&lt;="&amp;$A674)&gt;0,SUMIFS(Recepciones!$C$5:$C$2000,Recepciones!$B$5:$B$2000,Config!$A$23,Recepciones!$A$5:$A$2000,"&gt;"&amp;$A673,Recepciones!$A$5:$A$2000,"&lt;="&amp;$A674),MAX(0,C674-C673)))</f>
        <v/>
      </c>
      <c r="E674" s="24" t="str">
        <f aca="false">IF($A674="","",MAX(0,C673+D674-C674))</f>
        <v/>
      </c>
      <c r="F674" s="24" t="str">
        <f aca="false">IF($A674="","",Stock_Diario!F674)</f>
        <v/>
      </c>
      <c r="G674" s="24" t="str">
        <f aca="false">IF($A674="","",IF(SUMIFS(Recepciones!$C$5:$C$2000,Recepciones!$B$5:$B$2000,Config!$A$24,Recepciones!$A$5:$A$2000,"&gt;"&amp;$A673,Recepciones!$A$5:$A$2000,"&lt;="&amp;$A674)&gt;0,SUMIFS(Recepciones!$C$5:$C$2000,Recepciones!$B$5:$B$2000,Config!$A$24,Recepciones!$A$5:$A$2000,"&gt;"&amp;$A673,Recepciones!$A$5:$A$2000,"&lt;="&amp;$A674),MAX(0,F674-F673)))</f>
        <v/>
      </c>
      <c r="H674" s="24" t="str">
        <f aca="false">IF($A674="","",MAX(0,F673+G674-F674))</f>
        <v/>
      </c>
      <c r="I674" s="24" t="str">
        <f aca="false">IF($A674="","",Stock_Diario!G674)</f>
        <v/>
      </c>
      <c r="J674" s="24" t="str">
        <f aca="false">IF($A674="","",IF(SUMIFS(Recepciones!$C$5:$C$2000,Recepciones!$B$5:$B$2000,Config!$A$25,Recepciones!$A$5:$A$2000,"&gt;"&amp;$A673,Recepciones!$A$5:$A$2000,"&lt;="&amp;$A674)&gt;0,SUMIFS(Recepciones!$C$5:$C$2000,Recepciones!$B$5:$B$2000,Config!$A$25,Recepciones!$A$5:$A$2000,"&gt;"&amp;$A673,Recepciones!$A$5:$A$2000,"&lt;="&amp;$A674),MAX(0,I674-I673)))</f>
        <v/>
      </c>
      <c r="K674" s="24" t="str">
        <f aca="false">IF($A674="","",MAX(0,I673+J674-I674))</f>
        <v/>
      </c>
      <c r="L674" s="24" t="str">
        <f aca="false">IF($A674="","",E674+H674+K674)</f>
        <v/>
      </c>
      <c r="M674" s="4" t="str">
        <f aca="false">IF($A674="","",IF(AND(D674+G674+J674&gt;0,SUMIFS(Recepciones!$C$5:$C$2000,Recepciones!$A$5:$A$2000,"&gt;"&amp;$A673,Recepciones!$A$5:$A$2000,"&lt;="&amp;$A674)=0),"Aumento de stock sin recepción registrada",IF(B674&gt;1,"Intervalo de "&amp;B674&amp;" días","")))</f>
        <v/>
      </c>
    </row>
    <row r="675" customFormat="false" ht="15" hidden="false" customHeight="false" outlineLevel="0" collapsed="false">
      <c r="A675" s="5" t="str">
        <f aca="false">IF(Stock_Diario!A675="","",Stock_Diario!A675)</f>
        <v/>
      </c>
      <c r="B675" s="4" t="str">
        <f aca="false">IF($A675="","",$A675-$A674)</f>
        <v/>
      </c>
      <c r="C675" s="24" t="str">
        <f aca="false">IF($A675="","",Stock_Diario!E675)</f>
        <v/>
      </c>
      <c r="D675" s="24" t="str">
        <f aca="false">IF($A675="","",IF(SUMIFS(Recepciones!$C$5:$C$2000,Recepciones!$B$5:$B$2000,Config!$A$23,Recepciones!$A$5:$A$2000,"&gt;"&amp;$A674,Recepciones!$A$5:$A$2000,"&lt;="&amp;$A675)&gt;0,SUMIFS(Recepciones!$C$5:$C$2000,Recepciones!$B$5:$B$2000,Config!$A$23,Recepciones!$A$5:$A$2000,"&gt;"&amp;$A674,Recepciones!$A$5:$A$2000,"&lt;="&amp;$A675),MAX(0,C675-C674)))</f>
        <v/>
      </c>
      <c r="E675" s="24" t="str">
        <f aca="false">IF($A675="","",MAX(0,C674+D675-C675))</f>
        <v/>
      </c>
      <c r="F675" s="24" t="str">
        <f aca="false">IF($A675="","",Stock_Diario!F675)</f>
        <v/>
      </c>
      <c r="G675" s="24" t="str">
        <f aca="false">IF($A675="","",IF(SUMIFS(Recepciones!$C$5:$C$2000,Recepciones!$B$5:$B$2000,Config!$A$24,Recepciones!$A$5:$A$2000,"&gt;"&amp;$A674,Recepciones!$A$5:$A$2000,"&lt;="&amp;$A675)&gt;0,SUMIFS(Recepciones!$C$5:$C$2000,Recepciones!$B$5:$B$2000,Config!$A$24,Recepciones!$A$5:$A$2000,"&gt;"&amp;$A674,Recepciones!$A$5:$A$2000,"&lt;="&amp;$A675),MAX(0,F675-F674)))</f>
        <v/>
      </c>
      <c r="H675" s="24" t="str">
        <f aca="false">IF($A675="","",MAX(0,F674+G675-F675))</f>
        <v/>
      </c>
      <c r="I675" s="24" t="str">
        <f aca="false">IF($A675="","",Stock_Diario!G675)</f>
        <v/>
      </c>
      <c r="J675" s="24" t="str">
        <f aca="false">IF($A675="","",IF(SUMIFS(Recepciones!$C$5:$C$2000,Recepciones!$B$5:$B$2000,Config!$A$25,Recepciones!$A$5:$A$2000,"&gt;"&amp;$A674,Recepciones!$A$5:$A$2000,"&lt;="&amp;$A675)&gt;0,SUMIFS(Recepciones!$C$5:$C$2000,Recepciones!$B$5:$B$2000,Config!$A$25,Recepciones!$A$5:$A$2000,"&gt;"&amp;$A674,Recepciones!$A$5:$A$2000,"&lt;="&amp;$A675),MAX(0,I675-I674)))</f>
        <v/>
      </c>
      <c r="K675" s="24" t="str">
        <f aca="false">IF($A675="","",MAX(0,I674+J675-I675))</f>
        <v/>
      </c>
      <c r="L675" s="24" t="str">
        <f aca="false">IF($A675="","",E675+H675+K675)</f>
        <v/>
      </c>
      <c r="M675" s="4" t="str">
        <f aca="false">IF($A675="","",IF(AND(D675+G675+J675&gt;0,SUMIFS(Recepciones!$C$5:$C$2000,Recepciones!$A$5:$A$2000,"&gt;"&amp;$A674,Recepciones!$A$5:$A$2000,"&lt;="&amp;$A675)=0),"Aumento de stock sin recepción registrada",IF(B675&gt;1,"Intervalo de "&amp;B675&amp;" días","")))</f>
        <v/>
      </c>
    </row>
    <row r="676" customFormat="false" ht="15" hidden="false" customHeight="false" outlineLevel="0" collapsed="false">
      <c r="A676" s="5" t="str">
        <f aca="false">IF(Stock_Diario!A676="","",Stock_Diario!A676)</f>
        <v/>
      </c>
      <c r="B676" s="4" t="str">
        <f aca="false">IF($A676="","",$A676-$A675)</f>
        <v/>
      </c>
      <c r="C676" s="24" t="str">
        <f aca="false">IF($A676="","",Stock_Diario!E676)</f>
        <v/>
      </c>
      <c r="D676" s="24" t="str">
        <f aca="false">IF($A676="","",IF(SUMIFS(Recepciones!$C$5:$C$2000,Recepciones!$B$5:$B$2000,Config!$A$23,Recepciones!$A$5:$A$2000,"&gt;"&amp;$A675,Recepciones!$A$5:$A$2000,"&lt;="&amp;$A676)&gt;0,SUMIFS(Recepciones!$C$5:$C$2000,Recepciones!$B$5:$B$2000,Config!$A$23,Recepciones!$A$5:$A$2000,"&gt;"&amp;$A675,Recepciones!$A$5:$A$2000,"&lt;="&amp;$A676),MAX(0,C676-C675)))</f>
        <v/>
      </c>
      <c r="E676" s="24" t="str">
        <f aca="false">IF($A676="","",MAX(0,C675+D676-C676))</f>
        <v/>
      </c>
      <c r="F676" s="24" t="str">
        <f aca="false">IF($A676="","",Stock_Diario!F676)</f>
        <v/>
      </c>
      <c r="G676" s="24" t="str">
        <f aca="false">IF($A676="","",IF(SUMIFS(Recepciones!$C$5:$C$2000,Recepciones!$B$5:$B$2000,Config!$A$24,Recepciones!$A$5:$A$2000,"&gt;"&amp;$A675,Recepciones!$A$5:$A$2000,"&lt;="&amp;$A676)&gt;0,SUMIFS(Recepciones!$C$5:$C$2000,Recepciones!$B$5:$B$2000,Config!$A$24,Recepciones!$A$5:$A$2000,"&gt;"&amp;$A675,Recepciones!$A$5:$A$2000,"&lt;="&amp;$A676),MAX(0,F676-F675)))</f>
        <v/>
      </c>
      <c r="H676" s="24" t="str">
        <f aca="false">IF($A676="","",MAX(0,F675+G676-F676))</f>
        <v/>
      </c>
      <c r="I676" s="24" t="str">
        <f aca="false">IF($A676="","",Stock_Diario!G676)</f>
        <v/>
      </c>
      <c r="J676" s="24" t="str">
        <f aca="false">IF($A676="","",IF(SUMIFS(Recepciones!$C$5:$C$2000,Recepciones!$B$5:$B$2000,Config!$A$25,Recepciones!$A$5:$A$2000,"&gt;"&amp;$A675,Recepciones!$A$5:$A$2000,"&lt;="&amp;$A676)&gt;0,SUMIFS(Recepciones!$C$5:$C$2000,Recepciones!$B$5:$B$2000,Config!$A$25,Recepciones!$A$5:$A$2000,"&gt;"&amp;$A675,Recepciones!$A$5:$A$2000,"&lt;="&amp;$A676),MAX(0,I676-I675)))</f>
        <v/>
      </c>
      <c r="K676" s="24" t="str">
        <f aca="false">IF($A676="","",MAX(0,I675+J676-I676))</f>
        <v/>
      </c>
      <c r="L676" s="24" t="str">
        <f aca="false">IF($A676="","",E676+H676+K676)</f>
        <v/>
      </c>
      <c r="M676" s="4" t="str">
        <f aca="false">IF($A676="","",IF(AND(D676+G676+J676&gt;0,SUMIFS(Recepciones!$C$5:$C$2000,Recepciones!$A$5:$A$2000,"&gt;"&amp;$A675,Recepciones!$A$5:$A$2000,"&lt;="&amp;$A676)=0),"Aumento de stock sin recepción registrada",IF(B676&gt;1,"Intervalo de "&amp;B676&amp;" días","")))</f>
        <v/>
      </c>
    </row>
    <row r="677" customFormat="false" ht="15" hidden="false" customHeight="false" outlineLevel="0" collapsed="false">
      <c r="A677" s="5" t="str">
        <f aca="false">IF(Stock_Diario!A677="","",Stock_Diario!A677)</f>
        <v/>
      </c>
      <c r="B677" s="4" t="str">
        <f aca="false">IF($A677="","",$A677-$A676)</f>
        <v/>
      </c>
      <c r="C677" s="24" t="str">
        <f aca="false">IF($A677="","",Stock_Diario!E677)</f>
        <v/>
      </c>
      <c r="D677" s="24" t="str">
        <f aca="false">IF($A677="","",IF(SUMIFS(Recepciones!$C$5:$C$2000,Recepciones!$B$5:$B$2000,Config!$A$23,Recepciones!$A$5:$A$2000,"&gt;"&amp;$A676,Recepciones!$A$5:$A$2000,"&lt;="&amp;$A677)&gt;0,SUMIFS(Recepciones!$C$5:$C$2000,Recepciones!$B$5:$B$2000,Config!$A$23,Recepciones!$A$5:$A$2000,"&gt;"&amp;$A676,Recepciones!$A$5:$A$2000,"&lt;="&amp;$A677),MAX(0,C677-C676)))</f>
        <v/>
      </c>
      <c r="E677" s="24" t="str">
        <f aca="false">IF($A677="","",MAX(0,C676+D677-C677))</f>
        <v/>
      </c>
      <c r="F677" s="24" t="str">
        <f aca="false">IF($A677="","",Stock_Diario!F677)</f>
        <v/>
      </c>
      <c r="G677" s="24" t="str">
        <f aca="false">IF($A677="","",IF(SUMIFS(Recepciones!$C$5:$C$2000,Recepciones!$B$5:$B$2000,Config!$A$24,Recepciones!$A$5:$A$2000,"&gt;"&amp;$A676,Recepciones!$A$5:$A$2000,"&lt;="&amp;$A677)&gt;0,SUMIFS(Recepciones!$C$5:$C$2000,Recepciones!$B$5:$B$2000,Config!$A$24,Recepciones!$A$5:$A$2000,"&gt;"&amp;$A676,Recepciones!$A$5:$A$2000,"&lt;="&amp;$A677),MAX(0,F677-F676)))</f>
        <v/>
      </c>
      <c r="H677" s="24" t="str">
        <f aca="false">IF($A677="","",MAX(0,F676+G677-F677))</f>
        <v/>
      </c>
      <c r="I677" s="24" t="str">
        <f aca="false">IF($A677="","",Stock_Diario!G677)</f>
        <v/>
      </c>
      <c r="J677" s="24" t="str">
        <f aca="false">IF($A677="","",IF(SUMIFS(Recepciones!$C$5:$C$2000,Recepciones!$B$5:$B$2000,Config!$A$25,Recepciones!$A$5:$A$2000,"&gt;"&amp;$A676,Recepciones!$A$5:$A$2000,"&lt;="&amp;$A677)&gt;0,SUMIFS(Recepciones!$C$5:$C$2000,Recepciones!$B$5:$B$2000,Config!$A$25,Recepciones!$A$5:$A$2000,"&gt;"&amp;$A676,Recepciones!$A$5:$A$2000,"&lt;="&amp;$A677),MAX(0,I677-I676)))</f>
        <v/>
      </c>
      <c r="K677" s="24" t="str">
        <f aca="false">IF($A677="","",MAX(0,I676+J677-I677))</f>
        <v/>
      </c>
      <c r="L677" s="24" t="str">
        <f aca="false">IF($A677="","",E677+H677+K677)</f>
        <v/>
      </c>
      <c r="M677" s="4" t="str">
        <f aca="false">IF($A677="","",IF(AND(D677+G677+J677&gt;0,SUMIFS(Recepciones!$C$5:$C$2000,Recepciones!$A$5:$A$2000,"&gt;"&amp;$A676,Recepciones!$A$5:$A$2000,"&lt;="&amp;$A677)=0),"Aumento de stock sin recepción registrada",IF(B677&gt;1,"Intervalo de "&amp;B677&amp;" días","")))</f>
        <v/>
      </c>
    </row>
    <row r="678" customFormat="false" ht="15" hidden="false" customHeight="false" outlineLevel="0" collapsed="false">
      <c r="A678" s="5" t="str">
        <f aca="false">IF(Stock_Diario!A678="","",Stock_Diario!A678)</f>
        <v/>
      </c>
      <c r="B678" s="4" t="str">
        <f aca="false">IF($A678="","",$A678-$A677)</f>
        <v/>
      </c>
      <c r="C678" s="24" t="str">
        <f aca="false">IF($A678="","",Stock_Diario!E678)</f>
        <v/>
      </c>
      <c r="D678" s="24" t="str">
        <f aca="false">IF($A678="","",IF(SUMIFS(Recepciones!$C$5:$C$2000,Recepciones!$B$5:$B$2000,Config!$A$23,Recepciones!$A$5:$A$2000,"&gt;"&amp;$A677,Recepciones!$A$5:$A$2000,"&lt;="&amp;$A678)&gt;0,SUMIFS(Recepciones!$C$5:$C$2000,Recepciones!$B$5:$B$2000,Config!$A$23,Recepciones!$A$5:$A$2000,"&gt;"&amp;$A677,Recepciones!$A$5:$A$2000,"&lt;="&amp;$A678),MAX(0,C678-C677)))</f>
        <v/>
      </c>
      <c r="E678" s="24" t="str">
        <f aca="false">IF($A678="","",MAX(0,C677+D678-C678))</f>
        <v/>
      </c>
      <c r="F678" s="24" t="str">
        <f aca="false">IF($A678="","",Stock_Diario!F678)</f>
        <v/>
      </c>
      <c r="G678" s="24" t="str">
        <f aca="false">IF($A678="","",IF(SUMIFS(Recepciones!$C$5:$C$2000,Recepciones!$B$5:$B$2000,Config!$A$24,Recepciones!$A$5:$A$2000,"&gt;"&amp;$A677,Recepciones!$A$5:$A$2000,"&lt;="&amp;$A678)&gt;0,SUMIFS(Recepciones!$C$5:$C$2000,Recepciones!$B$5:$B$2000,Config!$A$24,Recepciones!$A$5:$A$2000,"&gt;"&amp;$A677,Recepciones!$A$5:$A$2000,"&lt;="&amp;$A678),MAX(0,F678-F677)))</f>
        <v/>
      </c>
      <c r="H678" s="24" t="str">
        <f aca="false">IF($A678="","",MAX(0,F677+G678-F678))</f>
        <v/>
      </c>
      <c r="I678" s="24" t="str">
        <f aca="false">IF($A678="","",Stock_Diario!G678)</f>
        <v/>
      </c>
      <c r="J678" s="24" t="str">
        <f aca="false">IF($A678="","",IF(SUMIFS(Recepciones!$C$5:$C$2000,Recepciones!$B$5:$B$2000,Config!$A$25,Recepciones!$A$5:$A$2000,"&gt;"&amp;$A677,Recepciones!$A$5:$A$2000,"&lt;="&amp;$A678)&gt;0,SUMIFS(Recepciones!$C$5:$C$2000,Recepciones!$B$5:$B$2000,Config!$A$25,Recepciones!$A$5:$A$2000,"&gt;"&amp;$A677,Recepciones!$A$5:$A$2000,"&lt;="&amp;$A678),MAX(0,I678-I677)))</f>
        <v/>
      </c>
      <c r="K678" s="24" t="str">
        <f aca="false">IF($A678="","",MAX(0,I677+J678-I678))</f>
        <v/>
      </c>
      <c r="L678" s="24" t="str">
        <f aca="false">IF($A678="","",E678+H678+K678)</f>
        <v/>
      </c>
      <c r="M678" s="4" t="str">
        <f aca="false">IF($A678="","",IF(AND(D678+G678+J678&gt;0,SUMIFS(Recepciones!$C$5:$C$2000,Recepciones!$A$5:$A$2000,"&gt;"&amp;$A677,Recepciones!$A$5:$A$2000,"&lt;="&amp;$A678)=0),"Aumento de stock sin recepción registrada",IF(B678&gt;1,"Intervalo de "&amp;B678&amp;" días","")))</f>
        <v/>
      </c>
    </row>
    <row r="679" customFormat="false" ht="15" hidden="false" customHeight="false" outlineLevel="0" collapsed="false">
      <c r="A679" s="5" t="str">
        <f aca="false">IF(Stock_Diario!A679="","",Stock_Diario!A679)</f>
        <v/>
      </c>
      <c r="B679" s="4" t="str">
        <f aca="false">IF($A679="","",$A679-$A678)</f>
        <v/>
      </c>
      <c r="C679" s="24" t="str">
        <f aca="false">IF($A679="","",Stock_Diario!E679)</f>
        <v/>
      </c>
      <c r="D679" s="24" t="str">
        <f aca="false">IF($A679="","",IF(SUMIFS(Recepciones!$C$5:$C$2000,Recepciones!$B$5:$B$2000,Config!$A$23,Recepciones!$A$5:$A$2000,"&gt;"&amp;$A678,Recepciones!$A$5:$A$2000,"&lt;="&amp;$A679)&gt;0,SUMIFS(Recepciones!$C$5:$C$2000,Recepciones!$B$5:$B$2000,Config!$A$23,Recepciones!$A$5:$A$2000,"&gt;"&amp;$A678,Recepciones!$A$5:$A$2000,"&lt;="&amp;$A679),MAX(0,C679-C678)))</f>
        <v/>
      </c>
      <c r="E679" s="24" t="str">
        <f aca="false">IF($A679="","",MAX(0,C678+D679-C679))</f>
        <v/>
      </c>
      <c r="F679" s="24" t="str">
        <f aca="false">IF($A679="","",Stock_Diario!F679)</f>
        <v/>
      </c>
      <c r="G679" s="24" t="str">
        <f aca="false">IF($A679="","",IF(SUMIFS(Recepciones!$C$5:$C$2000,Recepciones!$B$5:$B$2000,Config!$A$24,Recepciones!$A$5:$A$2000,"&gt;"&amp;$A678,Recepciones!$A$5:$A$2000,"&lt;="&amp;$A679)&gt;0,SUMIFS(Recepciones!$C$5:$C$2000,Recepciones!$B$5:$B$2000,Config!$A$24,Recepciones!$A$5:$A$2000,"&gt;"&amp;$A678,Recepciones!$A$5:$A$2000,"&lt;="&amp;$A679),MAX(0,F679-F678)))</f>
        <v/>
      </c>
      <c r="H679" s="24" t="str">
        <f aca="false">IF($A679="","",MAX(0,F678+G679-F679))</f>
        <v/>
      </c>
      <c r="I679" s="24" t="str">
        <f aca="false">IF($A679="","",Stock_Diario!G679)</f>
        <v/>
      </c>
      <c r="J679" s="24" t="str">
        <f aca="false">IF($A679="","",IF(SUMIFS(Recepciones!$C$5:$C$2000,Recepciones!$B$5:$B$2000,Config!$A$25,Recepciones!$A$5:$A$2000,"&gt;"&amp;$A678,Recepciones!$A$5:$A$2000,"&lt;="&amp;$A679)&gt;0,SUMIFS(Recepciones!$C$5:$C$2000,Recepciones!$B$5:$B$2000,Config!$A$25,Recepciones!$A$5:$A$2000,"&gt;"&amp;$A678,Recepciones!$A$5:$A$2000,"&lt;="&amp;$A679),MAX(0,I679-I678)))</f>
        <v/>
      </c>
      <c r="K679" s="24" t="str">
        <f aca="false">IF($A679="","",MAX(0,I678+J679-I679))</f>
        <v/>
      </c>
      <c r="L679" s="24" t="str">
        <f aca="false">IF($A679="","",E679+H679+K679)</f>
        <v/>
      </c>
      <c r="M679" s="4" t="str">
        <f aca="false">IF($A679="","",IF(AND(D679+G679+J679&gt;0,SUMIFS(Recepciones!$C$5:$C$2000,Recepciones!$A$5:$A$2000,"&gt;"&amp;$A678,Recepciones!$A$5:$A$2000,"&lt;="&amp;$A679)=0),"Aumento de stock sin recepción registrada",IF(B679&gt;1,"Intervalo de "&amp;B679&amp;" días","")))</f>
        <v/>
      </c>
    </row>
    <row r="680" customFormat="false" ht="15" hidden="false" customHeight="false" outlineLevel="0" collapsed="false">
      <c r="A680" s="5" t="str">
        <f aca="false">IF(Stock_Diario!A680="","",Stock_Diario!A680)</f>
        <v/>
      </c>
      <c r="B680" s="4" t="str">
        <f aca="false">IF($A680="","",$A680-$A679)</f>
        <v/>
      </c>
      <c r="C680" s="24" t="str">
        <f aca="false">IF($A680="","",Stock_Diario!E680)</f>
        <v/>
      </c>
      <c r="D680" s="24" t="str">
        <f aca="false">IF($A680="","",IF(SUMIFS(Recepciones!$C$5:$C$2000,Recepciones!$B$5:$B$2000,Config!$A$23,Recepciones!$A$5:$A$2000,"&gt;"&amp;$A679,Recepciones!$A$5:$A$2000,"&lt;="&amp;$A680)&gt;0,SUMIFS(Recepciones!$C$5:$C$2000,Recepciones!$B$5:$B$2000,Config!$A$23,Recepciones!$A$5:$A$2000,"&gt;"&amp;$A679,Recepciones!$A$5:$A$2000,"&lt;="&amp;$A680),MAX(0,C680-C679)))</f>
        <v/>
      </c>
      <c r="E680" s="24" t="str">
        <f aca="false">IF($A680="","",MAX(0,C679+D680-C680))</f>
        <v/>
      </c>
      <c r="F680" s="24" t="str">
        <f aca="false">IF($A680="","",Stock_Diario!F680)</f>
        <v/>
      </c>
      <c r="G680" s="24" t="str">
        <f aca="false">IF($A680="","",IF(SUMIFS(Recepciones!$C$5:$C$2000,Recepciones!$B$5:$B$2000,Config!$A$24,Recepciones!$A$5:$A$2000,"&gt;"&amp;$A679,Recepciones!$A$5:$A$2000,"&lt;="&amp;$A680)&gt;0,SUMIFS(Recepciones!$C$5:$C$2000,Recepciones!$B$5:$B$2000,Config!$A$24,Recepciones!$A$5:$A$2000,"&gt;"&amp;$A679,Recepciones!$A$5:$A$2000,"&lt;="&amp;$A680),MAX(0,F680-F679)))</f>
        <v/>
      </c>
      <c r="H680" s="24" t="str">
        <f aca="false">IF($A680="","",MAX(0,F679+G680-F680))</f>
        <v/>
      </c>
      <c r="I680" s="24" t="str">
        <f aca="false">IF($A680="","",Stock_Diario!G680)</f>
        <v/>
      </c>
      <c r="J680" s="24" t="str">
        <f aca="false">IF($A680="","",IF(SUMIFS(Recepciones!$C$5:$C$2000,Recepciones!$B$5:$B$2000,Config!$A$25,Recepciones!$A$5:$A$2000,"&gt;"&amp;$A679,Recepciones!$A$5:$A$2000,"&lt;="&amp;$A680)&gt;0,SUMIFS(Recepciones!$C$5:$C$2000,Recepciones!$B$5:$B$2000,Config!$A$25,Recepciones!$A$5:$A$2000,"&gt;"&amp;$A679,Recepciones!$A$5:$A$2000,"&lt;="&amp;$A680),MAX(0,I680-I679)))</f>
        <v/>
      </c>
      <c r="K680" s="24" t="str">
        <f aca="false">IF($A680="","",MAX(0,I679+J680-I680))</f>
        <v/>
      </c>
      <c r="L680" s="24" t="str">
        <f aca="false">IF($A680="","",E680+H680+K680)</f>
        <v/>
      </c>
      <c r="M680" s="4" t="str">
        <f aca="false">IF($A680="","",IF(AND(D680+G680+J680&gt;0,SUMIFS(Recepciones!$C$5:$C$2000,Recepciones!$A$5:$A$2000,"&gt;"&amp;$A679,Recepciones!$A$5:$A$2000,"&lt;="&amp;$A680)=0),"Aumento de stock sin recepción registrada",IF(B680&gt;1,"Intervalo de "&amp;B680&amp;" días","")))</f>
        <v/>
      </c>
    </row>
    <row r="681" customFormat="false" ht="15" hidden="false" customHeight="false" outlineLevel="0" collapsed="false">
      <c r="A681" s="5" t="str">
        <f aca="false">IF(Stock_Diario!A681="","",Stock_Diario!A681)</f>
        <v/>
      </c>
      <c r="B681" s="4" t="str">
        <f aca="false">IF($A681="","",$A681-$A680)</f>
        <v/>
      </c>
      <c r="C681" s="24" t="str">
        <f aca="false">IF($A681="","",Stock_Diario!E681)</f>
        <v/>
      </c>
      <c r="D681" s="24" t="str">
        <f aca="false">IF($A681="","",IF(SUMIFS(Recepciones!$C$5:$C$2000,Recepciones!$B$5:$B$2000,Config!$A$23,Recepciones!$A$5:$A$2000,"&gt;"&amp;$A680,Recepciones!$A$5:$A$2000,"&lt;="&amp;$A681)&gt;0,SUMIFS(Recepciones!$C$5:$C$2000,Recepciones!$B$5:$B$2000,Config!$A$23,Recepciones!$A$5:$A$2000,"&gt;"&amp;$A680,Recepciones!$A$5:$A$2000,"&lt;="&amp;$A681),MAX(0,C681-C680)))</f>
        <v/>
      </c>
      <c r="E681" s="24" t="str">
        <f aca="false">IF($A681="","",MAX(0,C680+D681-C681))</f>
        <v/>
      </c>
      <c r="F681" s="24" t="str">
        <f aca="false">IF($A681="","",Stock_Diario!F681)</f>
        <v/>
      </c>
      <c r="G681" s="24" t="str">
        <f aca="false">IF($A681="","",IF(SUMIFS(Recepciones!$C$5:$C$2000,Recepciones!$B$5:$B$2000,Config!$A$24,Recepciones!$A$5:$A$2000,"&gt;"&amp;$A680,Recepciones!$A$5:$A$2000,"&lt;="&amp;$A681)&gt;0,SUMIFS(Recepciones!$C$5:$C$2000,Recepciones!$B$5:$B$2000,Config!$A$24,Recepciones!$A$5:$A$2000,"&gt;"&amp;$A680,Recepciones!$A$5:$A$2000,"&lt;="&amp;$A681),MAX(0,F681-F680)))</f>
        <v/>
      </c>
      <c r="H681" s="24" t="str">
        <f aca="false">IF($A681="","",MAX(0,F680+G681-F681))</f>
        <v/>
      </c>
      <c r="I681" s="24" t="str">
        <f aca="false">IF($A681="","",Stock_Diario!G681)</f>
        <v/>
      </c>
      <c r="J681" s="24" t="str">
        <f aca="false">IF($A681="","",IF(SUMIFS(Recepciones!$C$5:$C$2000,Recepciones!$B$5:$B$2000,Config!$A$25,Recepciones!$A$5:$A$2000,"&gt;"&amp;$A680,Recepciones!$A$5:$A$2000,"&lt;="&amp;$A681)&gt;0,SUMIFS(Recepciones!$C$5:$C$2000,Recepciones!$B$5:$B$2000,Config!$A$25,Recepciones!$A$5:$A$2000,"&gt;"&amp;$A680,Recepciones!$A$5:$A$2000,"&lt;="&amp;$A681),MAX(0,I681-I680)))</f>
        <v/>
      </c>
      <c r="K681" s="24" t="str">
        <f aca="false">IF($A681="","",MAX(0,I680+J681-I681))</f>
        <v/>
      </c>
      <c r="L681" s="24" t="str">
        <f aca="false">IF($A681="","",E681+H681+K681)</f>
        <v/>
      </c>
      <c r="M681" s="4" t="str">
        <f aca="false">IF($A681="","",IF(AND(D681+G681+J681&gt;0,SUMIFS(Recepciones!$C$5:$C$2000,Recepciones!$A$5:$A$2000,"&gt;"&amp;$A680,Recepciones!$A$5:$A$2000,"&lt;="&amp;$A681)=0),"Aumento de stock sin recepción registrada",IF(B681&gt;1,"Intervalo de "&amp;B681&amp;" días","")))</f>
        <v/>
      </c>
    </row>
    <row r="682" customFormat="false" ht="15" hidden="false" customHeight="false" outlineLevel="0" collapsed="false">
      <c r="A682" s="5" t="str">
        <f aca="false">IF(Stock_Diario!A682="","",Stock_Diario!A682)</f>
        <v/>
      </c>
      <c r="B682" s="4" t="str">
        <f aca="false">IF($A682="","",$A682-$A681)</f>
        <v/>
      </c>
      <c r="C682" s="24" t="str">
        <f aca="false">IF($A682="","",Stock_Diario!E682)</f>
        <v/>
      </c>
      <c r="D682" s="24" t="str">
        <f aca="false">IF($A682="","",IF(SUMIFS(Recepciones!$C$5:$C$2000,Recepciones!$B$5:$B$2000,Config!$A$23,Recepciones!$A$5:$A$2000,"&gt;"&amp;$A681,Recepciones!$A$5:$A$2000,"&lt;="&amp;$A682)&gt;0,SUMIFS(Recepciones!$C$5:$C$2000,Recepciones!$B$5:$B$2000,Config!$A$23,Recepciones!$A$5:$A$2000,"&gt;"&amp;$A681,Recepciones!$A$5:$A$2000,"&lt;="&amp;$A682),MAX(0,C682-C681)))</f>
        <v/>
      </c>
      <c r="E682" s="24" t="str">
        <f aca="false">IF($A682="","",MAX(0,C681+D682-C682))</f>
        <v/>
      </c>
      <c r="F682" s="24" t="str">
        <f aca="false">IF($A682="","",Stock_Diario!F682)</f>
        <v/>
      </c>
      <c r="G682" s="24" t="str">
        <f aca="false">IF($A682="","",IF(SUMIFS(Recepciones!$C$5:$C$2000,Recepciones!$B$5:$B$2000,Config!$A$24,Recepciones!$A$5:$A$2000,"&gt;"&amp;$A681,Recepciones!$A$5:$A$2000,"&lt;="&amp;$A682)&gt;0,SUMIFS(Recepciones!$C$5:$C$2000,Recepciones!$B$5:$B$2000,Config!$A$24,Recepciones!$A$5:$A$2000,"&gt;"&amp;$A681,Recepciones!$A$5:$A$2000,"&lt;="&amp;$A682),MAX(0,F682-F681)))</f>
        <v/>
      </c>
      <c r="H682" s="24" t="str">
        <f aca="false">IF($A682="","",MAX(0,F681+G682-F682))</f>
        <v/>
      </c>
      <c r="I682" s="24" t="str">
        <f aca="false">IF($A682="","",Stock_Diario!G682)</f>
        <v/>
      </c>
      <c r="J682" s="24" t="str">
        <f aca="false">IF($A682="","",IF(SUMIFS(Recepciones!$C$5:$C$2000,Recepciones!$B$5:$B$2000,Config!$A$25,Recepciones!$A$5:$A$2000,"&gt;"&amp;$A681,Recepciones!$A$5:$A$2000,"&lt;="&amp;$A682)&gt;0,SUMIFS(Recepciones!$C$5:$C$2000,Recepciones!$B$5:$B$2000,Config!$A$25,Recepciones!$A$5:$A$2000,"&gt;"&amp;$A681,Recepciones!$A$5:$A$2000,"&lt;="&amp;$A682),MAX(0,I682-I681)))</f>
        <v/>
      </c>
      <c r="K682" s="24" t="str">
        <f aca="false">IF($A682="","",MAX(0,I681+J682-I682))</f>
        <v/>
      </c>
      <c r="L682" s="24" t="str">
        <f aca="false">IF($A682="","",E682+H682+K682)</f>
        <v/>
      </c>
      <c r="M682" s="4" t="str">
        <f aca="false">IF($A682="","",IF(AND(D682+G682+J682&gt;0,SUMIFS(Recepciones!$C$5:$C$2000,Recepciones!$A$5:$A$2000,"&gt;"&amp;$A681,Recepciones!$A$5:$A$2000,"&lt;="&amp;$A682)=0),"Aumento de stock sin recepción registrada",IF(B682&gt;1,"Intervalo de "&amp;B682&amp;" días","")))</f>
        <v/>
      </c>
    </row>
    <row r="683" customFormat="false" ht="15" hidden="false" customHeight="false" outlineLevel="0" collapsed="false">
      <c r="A683" s="5" t="str">
        <f aca="false">IF(Stock_Diario!A683="","",Stock_Diario!A683)</f>
        <v/>
      </c>
      <c r="B683" s="4" t="str">
        <f aca="false">IF($A683="","",$A683-$A682)</f>
        <v/>
      </c>
      <c r="C683" s="24" t="str">
        <f aca="false">IF($A683="","",Stock_Diario!E683)</f>
        <v/>
      </c>
      <c r="D683" s="24" t="str">
        <f aca="false">IF($A683="","",IF(SUMIFS(Recepciones!$C$5:$C$2000,Recepciones!$B$5:$B$2000,Config!$A$23,Recepciones!$A$5:$A$2000,"&gt;"&amp;$A682,Recepciones!$A$5:$A$2000,"&lt;="&amp;$A683)&gt;0,SUMIFS(Recepciones!$C$5:$C$2000,Recepciones!$B$5:$B$2000,Config!$A$23,Recepciones!$A$5:$A$2000,"&gt;"&amp;$A682,Recepciones!$A$5:$A$2000,"&lt;="&amp;$A683),MAX(0,C683-C682)))</f>
        <v/>
      </c>
      <c r="E683" s="24" t="str">
        <f aca="false">IF($A683="","",MAX(0,C682+D683-C683))</f>
        <v/>
      </c>
      <c r="F683" s="24" t="str">
        <f aca="false">IF($A683="","",Stock_Diario!F683)</f>
        <v/>
      </c>
      <c r="G683" s="24" t="str">
        <f aca="false">IF($A683="","",IF(SUMIFS(Recepciones!$C$5:$C$2000,Recepciones!$B$5:$B$2000,Config!$A$24,Recepciones!$A$5:$A$2000,"&gt;"&amp;$A682,Recepciones!$A$5:$A$2000,"&lt;="&amp;$A683)&gt;0,SUMIFS(Recepciones!$C$5:$C$2000,Recepciones!$B$5:$B$2000,Config!$A$24,Recepciones!$A$5:$A$2000,"&gt;"&amp;$A682,Recepciones!$A$5:$A$2000,"&lt;="&amp;$A683),MAX(0,F683-F682)))</f>
        <v/>
      </c>
      <c r="H683" s="24" t="str">
        <f aca="false">IF($A683="","",MAX(0,F682+G683-F683))</f>
        <v/>
      </c>
      <c r="I683" s="24" t="str">
        <f aca="false">IF($A683="","",Stock_Diario!G683)</f>
        <v/>
      </c>
      <c r="J683" s="24" t="str">
        <f aca="false">IF($A683="","",IF(SUMIFS(Recepciones!$C$5:$C$2000,Recepciones!$B$5:$B$2000,Config!$A$25,Recepciones!$A$5:$A$2000,"&gt;"&amp;$A682,Recepciones!$A$5:$A$2000,"&lt;="&amp;$A683)&gt;0,SUMIFS(Recepciones!$C$5:$C$2000,Recepciones!$B$5:$B$2000,Config!$A$25,Recepciones!$A$5:$A$2000,"&gt;"&amp;$A682,Recepciones!$A$5:$A$2000,"&lt;="&amp;$A683),MAX(0,I683-I682)))</f>
        <v/>
      </c>
      <c r="K683" s="24" t="str">
        <f aca="false">IF($A683="","",MAX(0,I682+J683-I683))</f>
        <v/>
      </c>
      <c r="L683" s="24" t="str">
        <f aca="false">IF($A683="","",E683+H683+K683)</f>
        <v/>
      </c>
      <c r="M683" s="4" t="str">
        <f aca="false">IF($A683="","",IF(AND(D683+G683+J683&gt;0,SUMIFS(Recepciones!$C$5:$C$2000,Recepciones!$A$5:$A$2000,"&gt;"&amp;$A682,Recepciones!$A$5:$A$2000,"&lt;="&amp;$A683)=0),"Aumento de stock sin recepción registrada",IF(B683&gt;1,"Intervalo de "&amp;B683&amp;" días","")))</f>
        <v/>
      </c>
    </row>
    <row r="684" customFormat="false" ht="15" hidden="false" customHeight="false" outlineLevel="0" collapsed="false">
      <c r="A684" s="5" t="str">
        <f aca="false">IF(Stock_Diario!A684="","",Stock_Diario!A684)</f>
        <v/>
      </c>
      <c r="B684" s="4" t="str">
        <f aca="false">IF($A684="","",$A684-$A683)</f>
        <v/>
      </c>
      <c r="C684" s="24" t="str">
        <f aca="false">IF($A684="","",Stock_Diario!E684)</f>
        <v/>
      </c>
      <c r="D684" s="24" t="str">
        <f aca="false">IF($A684="","",IF(SUMIFS(Recepciones!$C$5:$C$2000,Recepciones!$B$5:$B$2000,Config!$A$23,Recepciones!$A$5:$A$2000,"&gt;"&amp;$A683,Recepciones!$A$5:$A$2000,"&lt;="&amp;$A684)&gt;0,SUMIFS(Recepciones!$C$5:$C$2000,Recepciones!$B$5:$B$2000,Config!$A$23,Recepciones!$A$5:$A$2000,"&gt;"&amp;$A683,Recepciones!$A$5:$A$2000,"&lt;="&amp;$A684),MAX(0,C684-C683)))</f>
        <v/>
      </c>
      <c r="E684" s="24" t="str">
        <f aca="false">IF($A684="","",MAX(0,C683+D684-C684))</f>
        <v/>
      </c>
      <c r="F684" s="24" t="str">
        <f aca="false">IF($A684="","",Stock_Diario!F684)</f>
        <v/>
      </c>
      <c r="G684" s="24" t="str">
        <f aca="false">IF($A684="","",IF(SUMIFS(Recepciones!$C$5:$C$2000,Recepciones!$B$5:$B$2000,Config!$A$24,Recepciones!$A$5:$A$2000,"&gt;"&amp;$A683,Recepciones!$A$5:$A$2000,"&lt;="&amp;$A684)&gt;0,SUMIFS(Recepciones!$C$5:$C$2000,Recepciones!$B$5:$B$2000,Config!$A$24,Recepciones!$A$5:$A$2000,"&gt;"&amp;$A683,Recepciones!$A$5:$A$2000,"&lt;="&amp;$A684),MAX(0,F684-F683)))</f>
        <v/>
      </c>
      <c r="H684" s="24" t="str">
        <f aca="false">IF($A684="","",MAX(0,F683+G684-F684))</f>
        <v/>
      </c>
      <c r="I684" s="24" t="str">
        <f aca="false">IF($A684="","",Stock_Diario!G684)</f>
        <v/>
      </c>
      <c r="J684" s="24" t="str">
        <f aca="false">IF($A684="","",IF(SUMIFS(Recepciones!$C$5:$C$2000,Recepciones!$B$5:$B$2000,Config!$A$25,Recepciones!$A$5:$A$2000,"&gt;"&amp;$A683,Recepciones!$A$5:$A$2000,"&lt;="&amp;$A684)&gt;0,SUMIFS(Recepciones!$C$5:$C$2000,Recepciones!$B$5:$B$2000,Config!$A$25,Recepciones!$A$5:$A$2000,"&gt;"&amp;$A683,Recepciones!$A$5:$A$2000,"&lt;="&amp;$A684),MAX(0,I684-I683)))</f>
        <v/>
      </c>
      <c r="K684" s="24" t="str">
        <f aca="false">IF($A684="","",MAX(0,I683+J684-I684))</f>
        <v/>
      </c>
      <c r="L684" s="24" t="str">
        <f aca="false">IF($A684="","",E684+H684+K684)</f>
        <v/>
      </c>
      <c r="M684" s="4" t="str">
        <f aca="false">IF($A684="","",IF(AND(D684+G684+J684&gt;0,SUMIFS(Recepciones!$C$5:$C$2000,Recepciones!$A$5:$A$2000,"&gt;"&amp;$A683,Recepciones!$A$5:$A$2000,"&lt;="&amp;$A684)=0),"Aumento de stock sin recepción registrada",IF(B684&gt;1,"Intervalo de "&amp;B684&amp;" días","")))</f>
        <v/>
      </c>
    </row>
    <row r="685" customFormat="false" ht="15" hidden="false" customHeight="false" outlineLevel="0" collapsed="false">
      <c r="A685" s="5" t="str">
        <f aca="false">IF(Stock_Diario!A685="","",Stock_Diario!A685)</f>
        <v/>
      </c>
      <c r="B685" s="4" t="str">
        <f aca="false">IF($A685="","",$A685-$A684)</f>
        <v/>
      </c>
      <c r="C685" s="24" t="str">
        <f aca="false">IF($A685="","",Stock_Diario!E685)</f>
        <v/>
      </c>
      <c r="D685" s="24" t="str">
        <f aca="false">IF($A685="","",IF(SUMIFS(Recepciones!$C$5:$C$2000,Recepciones!$B$5:$B$2000,Config!$A$23,Recepciones!$A$5:$A$2000,"&gt;"&amp;$A684,Recepciones!$A$5:$A$2000,"&lt;="&amp;$A685)&gt;0,SUMIFS(Recepciones!$C$5:$C$2000,Recepciones!$B$5:$B$2000,Config!$A$23,Recepciones!$A$5:$A$2000,"&gt;"&amp;$A684,Recepciones!$A$5:$A$2000,"&lt;="&amp;$A685),MAX(0,C685-C684)))</f>
        <v/>
      </c>
      <c r="E685" s="24" t="str">
        <f aca="false">IF($A685="","",MAX(0,C684+D685-C685))</f>
        <v/>
      </c>
      <c r="F685" s="24" t="str">
        <f aca="false">IF($A685="","",Stock_Diario!F685)</f>
        <v/>
      </c>
      <c r="G685" s="24" t="str">
        <f aca="false">IF($A685="","",IF(SUMIFS(Recepciones!$C$5:$C$2000,Recepciones!$B$5:$B$2000,Config!$A$24,Recepciones!$A$5:$A$2000,"&gt;"&amp;$A684,Recepciones!$A$5:$A$2000,"&lt;="&amp;$A685)&gt;0,SUMIFS(Recepciones!$C$5:$C$2000,Recepciones!$B$5:$B$2000,Config!$A$24,Recepciones!$A$5:$A$2000,"&gt;"&amp;$A684,Recepciones!$A$5:$A$2000,"&lt;="&amp;$A685),MAX(0,F685-F684)))</f>
        <v/>
      </c>
      <c r="H685" s="24" t="str">
        <f aca="false">IF($A685="","",MAX(0,F684+G685-F685))</f>
        <v/>
      </c>
      <c r="I685" s="24" t="str">
        <f aca="false">IF($A685="","",Stock_Diario!G685)</f>
        <v/>
      </c>
      <c r="J685" s="24" t="str">
        <f aca="false">IF($A685="","",IF(SUMIFS(Recepciones!$C$5:$C$2000,Recepciones!$B$5:$B$2000,Config!$A$25,Recepciones!$A$5:$A$2000,"&gt;"&amp;$A684,Recepciones!$A$5:$A$2000,"&lt;="&amp;$A685)&gt;0,SUMIFS(Recepciones!$C$5:$C$2000,Recepciones!$B$5:$B$2000,Config!$A$25,Recepciones!$A$5:$A$2000,"&gt;"&amp;$A684,Recepciones!$A$5:$A$2000,"&lt;="&amp;$A685),MAX(0,I685-I684)))</f>
        <v/>
      </c>
      <c r="K685" s="24" t="str">
        <f aca="false">IF($A685="","",MAX(0,I684+J685-I685))</f>
        <v/>
      </c>
      <c r="L685" s="24" t="str">
        <f aca="false">IF($A685="","",E685+H685+K685)</f>
        <v/>
      </c>
      <c r="M685" s="4" t="str">
        <f aca="false">IF($A685="","",IF(AND(D685+G685+J685&gt;0,SUMIFS(Recepciones!$C$5:$C$2000,Recepciones!$A$5:$A$2000,"&gt;"&amp;$A684,Recepciones!$A$5:$A$2000,"&lt;="&amp;$A685)=0),"Aumento de stock sin recepción registrada",IF(B685&gt;1,"Intervalo de "&amp;B685&amp;" días","")))</f>
        <v/>
      </c>
    </row>
    <row r="686" customFormat="false" ht="15" hidden="false" customHeight="false" outlineLevel="0" collapsed="false">
      <c r="A686" s="5" t="str">
        <f aca="false">IF(Stock_Diario!A686="","",Stock_Diario!A686)</f>
        <v/>
      </c>
      <c r="B686" s="4" t="str">
        <f aca="false">IF($A686="","",$A686-$A685)</f>
        <v/>
      </c>
      <c r="C686" s="24" t="str">
        <f aca="false">IF($A686="","",Stock_Diario!E686)</f>
        <v/>
      </c>
      <c r="D686" s="24" t="str">
        <f aca="false">IF($A686="","",IF(SUMIFS(Recepciones!$C$5:$C$2000,Recepciones!$B$5:$B$2000,Config!$A$23,Recepciones!$A$5:$A$2000,"&gt;"&amp;$A685,Recepciones!$A$5:$A$2000,"&lt;="&amp;$A686)&gt;0,SUMIFS(Recepciones!$C$5:$C$2000,Recepciones!$B$5:$B$2000,Config!$A$23,Recepciones!$A$5:$A$2000,"&gt;"&amp;$A685,Recepciones!$A$5:$A$2000,"&lt;="&amp;$A686),MAX(0,C686-C685)))</f>
        <v/>
      </c>
      <c r="E686" s="24" t="str">
        <f aca="false">IF($A686="","",MAX(0,C685+D686-C686))</f>
        <v/>
      </c>
      <c r="F686" s="24" t="str">
        <f aca="false">IF($A686="","",Stock_Diario!F686)</f>
        <v/>
      </c>
      <c r="G686" s="24" t="str">
        <f aca="false">IF($A686="","",IF(SUMIFS(Recepciones!$C$5:$C$2000,Recepciones!$B$5:$B$2000,Config!$A$24,Recepciones!$A$5:$A$2000,"&gt;"&amp;$A685,Recepciones!$A$5:$A$2000,"&lt;="&amp;$A686)&gt;0,SUMIFS(Recepciones!$C$5:$C$2000,Recepciones!$B$5:$B$2000,Config!$A$24,Recepciones!$A$5:$A$2000,"&gt;"&amp;$A685,Recepciones!$A$5:$A$2000,"&lt;="&amp;$A686),MAX(0,F686-F685)))</f>
        <v/>
      </c>
      <c r="H686" s="24" t="str">
        <f aca="false">IF($A686="","",MAX(0,F685+G686-F686))</f>
        <v/>
      </c>
      <c r="I686" s="24" t="str">
        <f aca="false">IF($A686="","",Stock_Diario!G686)</f>
        <v/>
      </c>
      <c r="J686" s="24" t="str">
        <f aca="false">IF($A686="","",IF(SUMIFS(Recepciones!$C$5:$C$2000,Recepciones!$B$5:$B$2000,Config!$A$25,Recepciones!$A$5:$A$2000,"&gt;"&amp;$A685,Recepciones!$A$5:$A$2000,"&lt;="&amp;$A686)&gt;0,SUMIFS(Recepciones!$C$5:$C$2000,Recepciones!$B$5:$B$2000,Config!$A$25,Recepciones!$A$5:$A$2000,"&gt;"&amp;$A685,Recepciones!$A$5:$A$2000,"&lt;="&amp;$A686),MAX(0,I686-I685)))</f>
        <v/>
      </c>
      <c r="K686" s="24" t="str">
        <f aca="false">IF($A686="","",MAX(0,I685+J686-I686))</f>
        <v/>
      </c>
      <c r="L686" s="24" t="str">
        <f aca="false">IF($A686="","",E686+H686+K686)</f>
        <v/>
      </c>
      <c r="M686" s="4" t="str">
        <f aca="false">IF($A686="","",IF(AND(D686+G686+J686&gt;0,SUMIFS(Recepciones!$C$5:$C$2000,Recepciones!$A$5:$A$2000,"&gt;"&amp;$A685,Recepciones!$A$5:$A$2000,"&lt;="&amp;$A686)=0),"Aumento de stock sin recepción registrada",IF(B686&gt;1,"Intervalo de "&amp;B686&amp;" días","")))</f>
        <v/>
      </c>
    </row>
    <row r="687" customFormat="false" ht="15" hidden="false" customHeight="false" outlineLevel="0" collapsed="false">
      <c r="A687" s="5" t="str">
        <f aca="false">IF(Stock_Diario!A687="","",Stock_Diario!A687)</f>
        <v/>
      </c>
      <c r="B687" s="4" t="str">
        <f aca="false">IF($A687="","",$A687-$A686)</f>
        <v/>
      </c>
      <c r="C687" s="24" t="str">
        <f aca="false">IF($A687="","",Stock_Diario!E687)</f>
        <v/>
      </c>
      <c r="D687" s="24" t="str">
        <f aca="false">IF($A687="","",IF(SUMIFS(Recepciones!$C$5:$C$2000,Recepciones!$B$5:$B$2000,Config!$A$23,Recepciones!$A$5:$A$2000,"&gt;"&amp;$A686,Recepciones!$A$5:$A$2000,"&lt;="&amp;$A687)&gt;0,SUMIFS(Recepciones!$C$5:$C$2000,Recepciones!$B$5:$B$2000,Config!$A$23,Recepciones!$A$5:$A$2000,"&gt;"&amp;$A686,Recepciones!$A$5:$A$2000,"&lt;="&amp;$A687),MAX(0,C687-C686)))</f>
        <v/>
      </c>
      <c r="E687" s="24" t="str">
        <f aca="false">IF($A687="","",MAX(0,C686+D687-C687))</f>
        <v/>
      </c>
      <c r="F687" s="24" t="str">
        <f aca="false">IF($A687="","",Stock_Diario!F687)</f>
        <v/>
      </c>
      <c r="G687" s="24" t="str">
        <f aca="false">IF($A687="","",IF(SUMIFS(Recepciones!$C$5:$C$2000,Recepciones!$B$5:$B$2000,Config!$A$24,Recepciones!$A$5:$A$2000,"&gt;"&amp;$A686,Recepciones!$A$5:$A$2000,"&lt;="&amp;$A687)&gt;0,SUMIFS(Recepciones!$C$5:$C$2000,Recepciones!$B$5:$B$2000,Config!$A$24,Recepciones!$A$5:$A$2000,"&gt;"&amp;$A686,Recepciones!$A$5:$A$2000,"&lt;="&amp;$A687),MAX(0,F687-F686)))</f>
        <v/>
      </c>
      <c r="H687" s="24" t="str">
        <f aca="false">IF($A687="","",MAX(0,F686+G687-F687))</f>
        <v/>
      </c>
      <c r="I687" s="24" t="str">
        <f aca="false">IF($A687="","",Stock_Diario!G687)</f>
        <v/>
      </c>
      <c r="J687" s="24" t="str">
        <f aca="false">IF($A687="","",IF(SUMIFS(Recepciones!$C$5:$C$2000,Recepciones!$B$5:$B$2000,Config!$A$25,Recepciones!$A$5:$A$2000,"&gt;"&amp;$A686,Recepciones!$A$5:$A$2000,"&lt;="&amp;$A687)&gt;0,SUMIFS(Recepciones!$C$5:$C$2000,Recepciones!$B$5:$B$2000,Config!$A$25,Recepciones!$A$5:$A$2000,"&gt;"&amp;$A686,Recepciones!$A$5:$A$2000,"&lt;="&amp;$A687),MAX(0,I687-I686)))</f>
        <v/>
      </c>
      <c r="K687" s="24" t="str">
        <f aca="false">IF($A687="","",MAX(0,I686+J687-I687))</f>
        <v/>
      </c>
      <c r="L687" s="24" t="str">
        <f aca="false">IF($A687="","",E687+H687+K687)</f>
        <v/>
      </c>
      <c r="M687" s="4" t="str">
        <f aca="false">IF($A687="","",IF(AND(D687+G687+J687&gt;0,SUMIFS(Recepciones!$C$5:$C$2000,Recepciones!$A$5:$A$2000,"&gt;"&amp;$A686,Recepciones!$A$5:$A$2000,"&lt;="&amp;$A687)=0),"Aumento de stock sin recepción registrada",IF(B687&gt;1,"Intervalo de "&amp;B687&amp;" días","")))</f>
        <v/>
      </c>
    </row>
    <row r="688" customFormat="false" ht="15" hidden="false" customHeight="false" outlineLevel="0" collapsed="false">
      <c r="A688" s="5" t="str">
        <f aca="false">IF(Stock_Diario!A688="","",Stock_Diario!A688)</f>
        <v/>
      </c>
      <c r="B688" s="4" t="str">
        <f aca="false">IF($A688="","",$A688-$A687)</f>
        <v/>
      </c>
      <c r="C688" s="24" t="str">
        <f aca="false">IF($A688="","",Stock_Diario!E688)</f>
        <v/>
      </c>
      <c r="D688" s="24" t="str">
        <f aca="false">IF($A688="","",IF(SUMIFS(Recepciones!$C$5:$C$2000,Recepciones!$B$5:$B$2000,Config!$A$23,Recepciones!$A$5:$A$2000,"&gt;"&amp;$A687,Recepciones!$A$5:$A$2000,"&lt;="&amp;$A688)&gt;0,SUMIFS(Recepciones!$C$5:$C$2000,Recepciones!$B$5:$B$2000,Config!$A$23,Recepciones!$A$5:$A$2000,"&gt;"&amp;$A687,Recepciones!$A$5:$A$2000,"&lt;="&amp;$A688),MAX(0,C688-C687)))</f>
        <v/>
      </c>
      <c r="E688" s="24" t="str">
        <f aca="false">IF($A688="","",MAX(0,C687+D688-C688))</f>
        <v/>
      </c>
      <c r="F688" s="24" t="str">
        <f aca="false">IF($A688="","",Stock_Diario!F688)</f>
        <v/>
      </c>
      <c r="G688" s="24" t="str">
        <f aca="false">IF($A688="","",IF(SUMIFS(Recepciones!$C$5:$C$2000,Recepciones!$B$5:$B$2000,Config!$A$24,Recepciones!$A$5:$A$2000,"&gt;"&amp;$A687,Recepciones!$A$5:$A$2000,"&lt;="&amp;$A688)&gt;0,SUMIFS(Recepciones!$C$5:$C$2000,Recepciones!$B$5:$B$2000,Config!$A$24,Recepciones!$A$5:$A$2000,"&gt;"&amp;$A687,Recepciones!$A$5:$A$2000,"&lt;="&amp;$A688),MAX(0,F688-F687)))</f>
        <v/>
      </c>
      <c r="H688" s="24" t="str">
        <f aca="false">IF($A688="","",MAX(0,F687+G688-F688))</f>
        <v/>
      </c>
      <c r="I688" s="24" t="str">
        <f aca="false">IF($A688="","",Stock_Diario!G688)</f>
        <v/>
      </c>
      <c r="J688" s="24" t="str">
        <f aca="false">IF($A688="","",IF(SUMIFS(Recepciones!$C$5:$C$2000,Recepciones!$B$5:$B$2000,Config!$A$25,Recepciones!$A$5:$A$2000,"&gt;"&amp;$A687,Recepciones!$A$5:$A$2000,"&lt;="&amp;$A688)&gt;0,SUMIFS(Recepciones!$C$5:$C$2000,Recepciones!$B$5:$B$2000,Config!$A$25,Recepciones!$A$5:$A$2000,"&gt;"&amp;$A687,Recepciones!$A$5:$A$2000,"&lt;="&amp;$A688),MAX(0,I688-I687)))</f>
        <v/>
      </c>
      <c r="K688" s="24" t="str">
        <f aca="false">IF($A688="","",MAX(0,I687+J688-I688))</f>
        <v/>
      </c>
      <c r="L688" s="24" t="str">
        <f aca="false">IF($A688="","",E688+H688+K688)</f>
        <v/>
      </c>
      <c r="M688" s="4" t="str">
        <f aca="false">IF($A688="","",IF(AND(D688+G688+J688&gt;0,SUMIFS(Recepciones!$C$5:$C$2000,Recepciones!$A$5:$A$2000,"&gt;"&amp;$A687,Recepciones!$A$5:$A$2000,"&lt;="&amp;$A688)=0),"Aumento de stock sin recepción registrada",IF(B688&gt;1,"Intervalo de "&amp;B688&amp;" días","")))</f>
        <v/>
      </c>
    </row>
    <row r="689" customFormat="false" ht="15" hidden="false" customHeight="false" outlineLevel="0" collapsed="false">
      <c r="A689" s="5" t="str">
        <f aca="false">IF(Stock_Diario!A689="","",Stock_Diario!A689)</f>
        <v/>
      </c>
      <c r="B689" s="4" t="str">
        <f aca="false">IF($A689="","",$A689-$A688)</f>
        <v/>
      </c>
      <c r="C689" s="24" t="str">
        <f aca="false">IF($A689="","",Stock_Diario!E689)</f>
        <v/>
      </c>
      <c r="D689" s="24" t="str">
        <f aca="false">IF($A689="","",IF(SUMIFS(Recepciones!$C$5:$C$2000,Recepciones!$B$5:$B$2000,Config!$A$23,Recepciones!$A$5:$A$2000,"&gt;"&amp;$A688,Recepciones!$A$5:$A$2000,"&lt;="&amp;$A689)&gt;0,SUMIFS(Recepciones!$C$5:$C$2000,Recepciones!$B$5:$B$2000,Config!$A$23,Recepciones!$A$5:$A$2000,"&gt;"&amp;$A688,Recepciones!$A$5:$A$2000,"&lt;="&amp;$A689),MAX(0,C689-C688)))</f>
        <v/>
      </c>
      <c r="E689" s="24" t="str">
        <f aca="false">IF($A689="","",MAX(0,C688+D689-C689))</f>
        <v/>
      </c>
      <c r="F689" s="24" t="str">
        <f aca="false">IF($A689="","",Stock_Diario!F689)</f>
        <v/>
      </c>
      <c r="G689" s="24" t="str">
        <f aca="false">IF($A689="","",IF(SUMIFS(Recepciones!$C$5:$C$2000,Recepciones!$B$5:$B$2000,Config!$A$24,Recepciones!$A$5:$A$2000,"&gt;"&amp;$A688,Recepciones!$A$5:$A$2000,"&lt;="&amp;$A689)&gt;0,SUMIFS(Recepciones!$C$5:$C$2000,Recepciones!$B$5:$B$2000,Config!$A$24,Recepciones!$A$5:$A$2000,"&gt;"&amp;$A688,Recepciones!$A$5:$A$2000,"&lt;="&amp;$A689),MAX(0,F689-F688)))</f>
        <v/>
      </c>
      <c r="H689" s="24" t="str">
        <f aca="false">IF($A689="","",MAX(0,F688+G689-F689))</f>
        <v/>
      </c>
      <c r="I689" s="24" t="str">
        <f aca="false">IF($A689="","",Stock_Diario!G689)</f>
        <v/>
      </c>
      <c r="J689" s="24" t="str">
        <f aca="false">IF($A689="","",IF(SUMIFS(Recepciones!$C$5:$C$2000,Recepciones!$B$5:$B$2000,Config!$A$25,Recepciones!$A$5:$A$2000,"&gt;"&amp;$A688,Recepciones!$A$5:$A$2000,"&lt;="&amp;$A689)&gt;0,SUMIFS(Recepciones!$C$5:$C$2000,Recepciones!$B$5:$B$2000,Config!$A$25,Recepciones!$A$5:$A$2000,"&gt;"&amp;$A688,Recepciones!$A$5:$A$2000,"&lt;="&amp;$A689),MAX(0,I689-I688)))</f>
        <v/>
      </c>
      <c r="K689" s="24" t="str">
        <f aca="false">IF($A689="","",MAX(0,I688+J689-I689))</f>
        <v/>
      </c>
      <c r="L689" s="24" t="str">
        <f aca="false">IF($A689="","",E689+H689+K689)</f>
        <v/>
      </c>
      <c r="M689" s="4" t="str">
        <f aca="false">IF($A689="","",IF(AND(D689+G689+J689&gt;0,SUMIFS(Recepciones!$C$5:$C$2000,Recepciones!$A$5:$A$2000,"&gt;"&amp;$A688,Recepciones!$A$5:$A$2000,"&lt;="&amp;$A689)=0),"Aumento de stock sin recepción registrada",IF(B689&gt;1,"Intervalo de "&amp;B689&amp;" días","")))</f>
        <v/>
      </c>
    </row>
    <row r="690" customFormat="false" ht="15" hidden="false" customHeight="false" outlineLevel="0" collapsed="false">
      <c r="A690" s="5" t="str">
        <f aca="false">IF(Stock_Diario!A690="","",Stock_Diario!A690)</f>
        <v/>
      </c>
      <c r="B690" s="4" t="str">
        <f aca="false">IF($A690="","",$A690-$A689)</f>
        <v/>
      </c>
      <c r="C690" s="24" t="str">
        <f aca="false">IF($A690="","",Stock_Diario!E690)</f>
        <v/>
      </c>
      <c r="D690" s="24" t="str">
        <f aca="false">IF($A690="","",IF(SUMIFS(Recepciones!$C$5:$C$2000,Recepciones!$B$5:$B$2000,Config!$A$23,Recepciones!$A$5:$A$2000,"&gt;"&amp;$A689,Recepciones!$A$5:$A$2000,"&lt;="&amp;$A690)&gt;0,SUMIFS(Recepciones!$C$5:$C$2000,Recepciones!$B$5:$B$2000,Config!$A$23,Recepciones!$A$5:$A$2000,"&gt;"&amp;$A689,Recepciones!$A$5:$A$2000,"&lt;="&amp;$A690),MAX(0,C690-C689)))</f>
        <v/>
      </c>
      <c r="E690" s="24" t="str">
        <f aca="false">IF($A690="","",MAX(0,C689+D690-C690))</f>
        <v/>
      </c>
      <c r="F690" s="24" t="str">
        <f aca="false">IF($A690="","",Stock_Diario!F690)</f>
        <v/>
      </c>
      <c r="G690" s="24" t="str">
        <f aca="false">IF($A690="","",IF(SUMIFS(Recepciones!$C$5:$C$2000,Recepciones!$B$5:$B$2000,Config!$A$24,Recepciones!$A$5:$A$2000,"&gt;"&amp;$A689,Recepciones!$A$5:$A$2000,"&lt;="&amp;$A690)&gt;0,SUMIFS(Recepciones!$C$5:$C$2000,Recepciones!$B$5:$B$2000,Config!$A$24,Recepciones!$A$5:$A$2000,"&gt;"&amp;$A689,Recepciones!$A$5:$A$2000,"&lt;="&amp;$A690),MAX(0,F690-F689)))</f>
        <v/>
      </c>
      <c r="H690" s="24" t="str">
        <f aca="false">IF($A690="","",MAX(0,F689+G690-F690))</f>
        <v/>
      </c>
      <c r="I690" s="24" t="str">
        <f aca="false">IF($A690="","",Stock_Diario!G690)</f>
        <v/>
      </c>
      <c r="J690" s="24" t="str">
        <f aca="false">IF($A690="","",IF(SUMIFS(Recepciones!$C$5:$C$2000,Recepciones!$B$5:$B$2000,Config!$A$25,Recepciones!$A$5:$A$2000,"&gt;"&amp;$A689,Recepciones!$A$5:$A$2000,"&lt;="&amp;$A690)&gt;0,SUMIFS(Recepciones!$C$5:$C$2000,Recepciones!$B$5:$B$2000,Config!$A$25,Recepciones!$A$5:$A$2000,"&gt;"&amp;$A689,Recepciones!$A$5:$A$2000,"&lt;="&amp;$A690),MAX(0,I690-I689)))</f>
        <v/>
      </c>
      <c r="K690" s="24" t="str">
        <f aca="false">IF($A690="","",MAX(0,I689+J690-I690))</f>
        <v/>
      </c>
      <c r="L690" s="24" t="str">
        <f aca="false">IF($A690="","",E690+H690+K690)</f>
        <v/>
      </c>
      <c r="M690" s="4" t="str">
        <f aca="false">IF($A690="","",IF(AND(D690+G690+J690&gt;0,SUMIFS(Recepciones!$C$5:$C$2000,Recepciones!$A$5:$A$2000,"&gt;"&amp;$A689,Recepciones!$A$5:$A$2000,"&lt;="&amp;$A690)=0),"Aumento de stock sin recepción registrada",IF(B690&gt;1,"Intervalo de "&amp;B690&amp;" días","")))</f>
        <v/>
      </c>
    </row>
    <row r="691" customFormat="false" ht="15" hidden="false" customHeight="false" outlineLevel="0" collapsed="false">
      <c r="A691" s="5" t="str">
        <f aca="false">IF(Stock_Diario!A691="","",Stock_Diario!A691)</f>
        <v/>
      </c>
      <c r="B691" s="4" t="str">
        <f aca="false">IF($A691="","",$A691-$A690)</f>
        <v/>
      </c>
      <c r="C691" s="24" t="str">
        <f aca="false">IF($A691="","",Stock_Diario!E691)</f>
        <v/>
      </c>
      <c r="D691" s="24" t="str">
        <f aca="false">IF($A691="","",IF(SUMIFS(Recepciones!$C$5:$C$2000,Recepciones!$B$5:$B$2000,Config!$A$23,Recepciones!$A$5:$A$2000,"&gt;"&amp;$A690,Recepciones!$A$5:$A$2000,"&lt;="&amp;$A691)&gt;0,SUMIFS(Recepciones!$C$5:$C$2000,Recepciones!$B$5:$B$2000,Config!$A$23,Recepciones!$A$5:$A$2000,"&gt;"&amp;$A690,Recepciones!$A$5:$A$2000,"&lt;="&amp;$A691),MAX(0,C691-C690)))</f>
        <v/>
      </c>
      <c r="E691" s="24" t="str">
        <f aca="false">IF($A691="","",MAX(0,C690+D691-C691))</f>
        <v/>
      </c>
      <c r="F691" s="24" t="str">
        <f aca="false">IF($A691="","",Stock_Diario!F691)</f>
        <v/>
      </c>
      <c r="G691" s="24" t="str">
        <f aca="false">IF($A691="","",IF(SUMIFS(Recepciones!$C$5:$C$2000,Recepciones!$B$5:$B$2000,Config!$A$24,Recepciones!$A$5:$A$2000,"&gt;"&amp;$A690,Recepciones!$A$5:$A$2000,"&lt;="&amp;$A691)&gt;0,SUMIFS(Recepciones!$C$5:$C$2000,Recepciones!$B$5:$B$2000,Config!$A$24,Recepciones!$A$5:$A$2000,"&gt;"&amp;$A690,Recepciones!$A$5:$A$2000,"&lt;="&amp;$A691),MAX(0,F691-F690)))</f>
        <v/>
      </c>
      <c r="H691" s="24" t="str">
        <f aca="false">IF($A691="","",MAX(0,F690+G691-F691))</f>
        <v/>
      </c>
      <c r="I691" s="24" t="str">
        <f aca="false">IF($A691="","",Stock_Diario!G691)</f>
        <v/>
      </c>
      <c r="J691" s="24" t="str">
        <f aca="false">IF($A691="","",IF(SUMIFS(Recepciones!$C$5:$C$2000,Recepciones!$B$5:$B$2000,Config!$A$25,Recepciones!$A$5:$A$2000,"&gt;"&amp;$A690,Recepciones!$A$5:$A$2000,"&lt;="&amp;$A691)&gt;0,SUMIFS(Recepciones!$C$5:$C$2000,Recepciones!$B$5:$B$2000,Config!$A$25,Recepciones!$A$5:$A$2000,"&gt;"&amp;$A690,Recepciones!$A$5:$A$2000,"&lt;="&amp;$A691),MAX(0,I691-I690)))</f>
        <v/>
      </c>
      <c r="K691" s="24" t="str">
        <f aca="false">IF($A691="","",MAX(0,I690+J691-I691))</f>
        <v/>
      </c>
      <c r="L691" s="24" t="str">
        <f aca="false">IF($A691="","",E691+H691+K691)</f>
        <v/>
      </c>
      <c r="M691" s="4" t="str">
        <f aca="false">IF($A691="","",IF(AND(D691+G691+J691&gt;0,SUMIFS(Recepciones!$C$5:$C$2000,Recepciones!$A$5:$A$2000,"&gt;"&amp;$A690,Recepciones!$A$5:$A$2000,"&lt;="&amp;$A691)=0),"Aumento de stock sin recepción registrada",IF(B691&gt;1,"Intervalo de "&amp;B691&amp;" días","")))</f>
        <v/>
      </c>
    </row>
    <row r="692" customFormat="false" ht="15" hidden="false" customHeight="false" outlineLevel="0" collapsed="false">
      <c r="A692" s="5" t="str">
        <f aca="false">IF(Stock_Diario!A692="","",Stock_Diario!A692)</f>
        <v/>
      </c>
      <c r="B692" s="4" t="str">
        <f aca="false">IF($A692="","",$A692-$A691)</f>
        <v/>
      </c>
      <c r="C692" s="24" t="str">
        <f aca="false">IF($A692="","",Stock_Diario!E692)</f>
        <v/>
      </c>
      <c r="D692" s="24" t="str">
        <f aca="false">IF($A692="","",IF(SUMIFS(Recepciones!$C$5:$C$2000,Recepciones!$B$5:$B$2000,Config!$A$23,Recepciones!$A$5:$A$2000,"&gt;"&amp;$A691,Recepciones!$A$5:$A$2000,"&lt;="&amp;$A692)&gt;0,SUMIFS(Recepciones!$C$5:$C$2000,Recepciones!$B$5:$B$2000,Config!$A$23,Recepciones!$A$5:$A$2000,"&gt;"&amp;$A691,Recepciones!$A$5:$A$2000,"&lt;="&amp;$A692),MAX(0,C692-C691)))</f>
        <v/>
      </c>
      <c r="E692" s="24" t="str">
        <f aca="false">IF($A692="","",MAX(0,C691+D692-C692))</f>
        <v/>
      </c>
      <c r="F692" s="24" t="str">
        <f aca="false">IF($A692="","",Stock_Diario!F692)</f>
        <v/>
      </c>
      <c r="G692" s="24" t="str">
        <f aca="false">IF($A692="","",IF(SUMIFS(Recepciones!$C$5:$C$2000,Recepciones!$B$5:$B$2000,Config!$A$24,Recepciones!$A$5:$A$2000,"&gt;"&amp;$A691,Recepciones!$A$5:$A$2000,"&lt;="&amp;$A692)&gt;0,SUMIFS(Recepciones!$C$5:$C$2000,Recepciones!$B$5:$B$2000,Config!$A$24,Recepciones!$A$5:$A$2000,"&gt;"&amp;$A691,Recepciones!$A$5:$A$2000,"&lt;="&amp;$A692),MAX(0,F692-F691)))</f>
        <v/>
      </c>
      <c r="H692" s="24" t="str">
        <f aca="false">IF($A692="","",MAX(0,F691+G692-F692))</f>
        <v/>
      </c>
      <c r="I692" s="24" t="str">
        <f aca="false">IF($A692="","",Stock_Diario!G692)</f>
        <v/>
      </c>
      <c r="J692" s="24" t="str">
        <f aca="false">IF($A692="","",IF(SUMIFS(Recepciones!$C$5:$C$2000,Recepciones!$B$5:$B$2000,Config!$A$25,Recepciones!$A$5:$A$2000,"&gt;"&amp;$A691,Recepciones!$A$5:$A$2000,"&lt;="&amp;$A692)&gt;0,SUMIFS(Recepciones!$C$5:$C$2000,Recepciones!$B$5:$B$2000,Config!$A$25,Recepciones!$A$5:$A$2000,"&gt;"&amp;$A691,Recepciones!$A$5:$A$2000,"&lt;="&amp;$A692),MAX(0,I692-I691)))</f>
        <v/>
      </c>
      <c r="K692" s="24" t="str">
        <f aca="false">IF($A692="","",MAX(0,I691+J692-I692))</f>
        <v/>
      </c>
      <c r="L692" s="24" t="str">
        <f aca="false">IF($A692="","",E692+H692+K692)</f>
        <v/>
      </c>
      <c r="M692" s="4" t="str">
        <f aca="false">IF($A692="","",IF(AND(D692+G692+J692&gt;0,SUMIFS(Recepciones!$C$5:$C$2000,Recepciones!$A$5:$A$2000,"&gt;"&amp;$A691,Recepciones!$A$5:$A$2000,"&lt;="&amp;$A692)=0),"Aumento de stock sin recepción registrada",IF(B692&gt;1,"Intervalo de "&amp;B692&amp;" días","")))</f>
        <v/>
      </c>
    </row>
    <row r="693" customFormat="false" ht="15" hidden="false" customHeight="false" outlineLevel="0" collapsed="false">
      <c r="A693" s="5" t="str">
        <f aca="false">IF(Stock_Diario!A693="","",Stock_Diario!A693)</f>
        <v/>
      </c>
      <c r="B693" s="4" t="str">
        <f aca="false">IF($A693="","",$A693-$A692)</f>
        <v/>
      </c>
      <c r="C693" s="24" t="str">
        <f aca="false">IF($A693="","",Stock_Diario!E693)</f>
        <v/>
      </c>
      <c r="D693" s="24" t="str">
        <f aca="false">IF($A693="","",IF(SUMIFS(Recepciones!$C$5:$C$2000,Recepciones!$B$5:$B$2000,Config!$A$23,Recepciones!$A$5:$A$2000,"&gt;"&amp;$A692,Recepciones!$A$5:$A$2000,"&lt;="&amp;$A693)&gt;0,SUMIFS(Recepciones!$C$5:$C$2000,Recepciones!$B$5:$B$2000,Config!$A$23,Recepciones!$A$5:$A$2000,"&gt;"&amp;$A692,Recepciones!$A$5:$A$2000,"&lt;="&amp;$A693),MAX(0,C693-C692)))</f>
        <v/>
      </c>
      <c r="E693" s="24" t="str">
        <f aca="false">IF($A693="","",MAX(0,C692+D693-C693))</f>
        <v/>
      </c>
      <c r="F693" s="24" t="str">
        <f aca="false">IF($A693="","",Stock_Diario!F693)</f>
        <v/>
      </c>
      <c r="G693" s="24" t="str">
        <f aca="false">IF($A693="","",IF(SUMIFS(Recepciones!$C$5:$C$2000,Recepciones!$B$5:$B$2000,Config!$A$24,Recepciones!$A$5:$A$2000,"&gt;"&amp;$A692,Recepciones!$A$5:$A$2000,"&lt;="&amp;$A693)&gt;0,SUMIFS(Recepciones!$C$5:$C$2000,Recepciones!$B$5:$B$2000,Config!$A$24,Recepciones!$A$5:$A$2000,"&gt;"&amp;$A692,Recepciones!$A$5:$A$2000,"&lt;="&amp;$A693),MAX(0,F693-F692)))</f>
        <v/>
      </c>
      <c r="H693" s="24" t="str">
        <f aca="false">IF($A693="","",MAX(0,F692+G693-F693))</f>
        <v/>
      </c>
      <c r="I693" s="24" t="str">
        <f aca="false">IF($A693="","",Stock_Diario!G693)</f>
        <v/>
      </c>
      <c r="J693" s="24" t="str">
        <f aca="false">IF($A693="","",IF(SUMIFS(Recepciones!$C$5:$C$2000,Recepciones!$B$5:$B$2000,Config!$A$25,Recepciones!$A$5:$A$2000,"&gt;"&amp;$A692,Recepciones!$A$5:$A$2000,"&lt;="&amp;$A693)&gt;0,SUMIFS(Recepciones!$C$5:$C$2000,Recepciones!$B$5:$B$2000,Config!$A$25,Recepciones!$A$5:$A$2000,"&gt;"&amp;$A692,Recepciones!$A$5:$A$2000,"&lt;="&amp;$A693),MAX(0,I693-I692)))</f>
        <v/>
      </c>
      <c r="K693" s="24" t="str">
        <f aca="false">IF($A693="","",MAX(0,I692+J693-I693))</f>
        <v/>
      </c>
      <c r="L693" s="24" t="str">
        <f aca="false">IF($A693="","",E693+H693+K693)</f>
        <v/>
      </c>
      <c r="M693" s="4" t="str">
        <f aca="false">IF($A693="","",IF(AND(D693+G693+J693&gt;0,SUMIFS(Recepciones!$C$5:$C$2000,Recepciones!$A$5:$A$2000,"&gt;"&amp;$A692,Recepciones!$A$5:$A$2000,"&lt;="&amp;$A693)=0),"Aumento de stock sin recepción registrada",IF(B693&gt;1,"Intervalo de "&amp;B693&amp;" días","")))</f>
        <v/>
      </c>
    </row>
    <row r="694" customFormat="false" ht="15" hidden="false" customHeight="false" outlineLevel="0" collapsed="false">
      <c r="A694" s="5" t="str">
        <f aca="false">IF(Stock_Diario!A694="","",Stock_Diario!A694)</f>
        <v/>
      </c>
      <c r="B694" s="4" t="str">
        <f aca="false">IF($A694="","",$A694-$A693)</f>
        <v/>
      </c>
      <c r="C694" s="24" t="str">
        <f aca="false">IF($A694="","",Stock_Diario!E694)</f>
        <v/>
      </c>
      <c r="D694" s="24" t="str">
        <f aca="false">IF($A694="","",IF(SUMIFS(Recepciones!$C$5:$C$2000,Recepciones!$B$5:$B$2000,Config!$A$23,Recepciones!$A$5:$A$2000,"&gt;"&amp;$A693,Recepciones!$A$5:$A$2000,"&lt;="&amp;$A694)&gt;0,SUMIFS(Recepciones!$C$5:$C$2000,Recepciones!$B$5:$B$2000,Config!$A$23,Recepciones!$A$5:$A$2000,"&gt;"&amp;$A693,Recepciones!$A$5:$A$2000,"&lt;="&amp;$A694),MAX(0,C694-C693)))</f>
        <v/>
      </c>
      <c r="E694" s="24" t="str">
        <f aca="false">IF($A694="","",MAX(0,C693+D694-C694))</f>
        <v/>
      </c>
      <c r="F694" s="24" t="str">
        <f aca="false">IF($A694="","",Stock_Diario!F694)</f>
        <v/>
      </c>
      <c r="G694" s="24" t="str">
        <f aca="false">IF($A694="","",IF(SUMIFS(Recepciones!$C$5:$C$2000,Recepciones!$B$5:$B$2000,Config!$A$24,Recepciones!$A$5:$A$2000,"&gt;"&amp;$A693,Recepciones!$A$5:$A$2000,"&lt;="&amp;$A694)&gt;0,SUMIFS(Recepciones!$C$5:$C$2000,Recepciones!$B$5:$B$2000,Config!$A$24,Recepciones!$A$5:$A$2000,"&gt;"&amp;$A693,Recepciones!$A$5:$A$2000,"&lt;="&amp;$A694),MAX(0,F694-F693)))</f>
        <v/>
      </c>
      <c r="H694" s="24" t="str">
        <f aca="false">IF($A694="","",MAX(0,F693+G694-F694))</f>
        <v/>
      </c>
      <c r="I694" s="24" t="str">
        <f aca="false">IF($A694="","",Stock_Diario!G694)</f>
        <v/>
      </c>
      <c r="J694" s="24" t="str">
        <f aca="false">IF($A694="","",IF(SUMIFS(Recepciones!$C$5:$C$2000,Recepciones!$B$5:$B$2000,Config!$A$25,Recepciones!$A$5:$A$2000,"&gt;"&amp;$A693,Recepciones!$A$5:$A$2000,"&lt;="&amp;$A694)&gt;0,SUMIFS(Recepciones!$C$5:$C$2000,Recepciones!$B$5:$B$2000,Config!$A$25,Recepciones!$A$5:$A$2000,"&gt;"&amp;$A693,Recepciones!$A$5:$A$2000,"&lt;="&amp;$A694),MAX(0,I694-I693)))</f>
        <v/>
      </c>
      <c r="K694" s="24" t="str">
        <f aca="false">IF($A694="","",MAX(0,I693+J694-I694))</f>
        <v/>
      </c>
      <c r="L694" s="24" t="str">
        <f aca="false">IF($A694="","",E694+H694+K694)</f>
        <v/>
      </c>
      <c r="M694" s="4" t="str">
        <f aca="false">IF($A694="","",IF(AND(D694+G694+J694&gt;0,SUMIFS(Recepciones!$C$5:$C$2000,Recepciones!$A$5:$A$2000,"&gt;"&amp;$A693,Recepciones!$A$5:$A$2000,"&lt;="&amp;$A694)=0),"Aumento de stock sin recepción registrada",IF(B694&gt;1,"Intervalo de "&amp;B694&amp;" días","")))</f>
        <v/>
      </c>
    </row>
    <row r="695" customFormat="false" ht="15" hidden="false" customHeight="false" outlineLevel="0" collapsed="false">
      <c r="A695" s="5" t="str">
        <f aca="false">IF(Stock_Diario!A695="","",Stock_Diario!A695)</f>
        <v/>
      </c>
      <c r="B695" s="4" t="str">
        <f aca="false">IF($A695="","",$A695-$A694)</f>
        <v/>
      </c>
      <c r="C695" s="24" t="str">
        <f aca="false">IF($A695="","",Stock_Diario!E695)</f>
        <v/>
      </c>
      <c r="D695" s="24" t="str">
        <f aca="false">IF($A695="","",IF(SUMIFS(Recepciones!$C$5:$C$2000,Recepciones!$B$5:$B$2000,Config!$A$23,Recepciones!$A$5:$A$2000,"&gt;"&amp;$A694,Recepciones!$A$5:$A$2000,"&lt;="&amp;$A695)&gt;0,SUMIFS(Recepciones!$C$5:$C$2000,Recepciones!$B$5:$B$2000,Config!$A$23,Recepciones!$A$5:$A$2000,"&gt;"&amp;$A694,Recepciones!$A$5:$A$2000,"&lt;="&amp;$A695),MAX(0,C695-C694)))</f>
        <v/>
      </c>
      <c r="E695" s="24" t="str">
        <f aca="false">IF($A695="","",MAX(0,C694+D695-C695))</f>
        <v/>
      </c>
      <c r="F695" s="24" t="str">
        <f aca="false">IF($A695="","",Stock_Diario!F695)</f>
        <v/>
      </c>
      <c r="G695" s="24" t="str">
        <f aca="false">IF($A695="","",IF(SUMIFS(Recepciones!$C$5:$C$2000,Recepciones!$B$5:$B$2000,Config!$A$24,Recepciones!$A$5:$A$2000,"&gt;"&amp;$A694,Recepciones!$A$5:$A$2000,"&lt;="&amp;$A695)&gt;0,SUMIFS(Recepciones!$C$5:$C$2000,Recepciones!$B$5:$B$2000,Config!$A$24,Recepciones!$A$5:$A$2000,"&gt;"&amp;$A694,Recepciones!$A$5:$A$2000,"&lt;="&amp;$A695),MAX(0,F695-F694)))</f>
        <v/>
      </c>
      <c r="H695" s="24" t="str">
        <f aca="false">IF($A695="","",MAX(0,F694+G695-F695))</f>
        <v/>
      </c>
      <c r="I695" s="24" t="str">
        <f aca="false">IF($A695="","",Stock_Diario!G695)</f>
        <v/>
      </c>
      <c r="J695" s="24" t="str">
        <f aca="false">IF($A695="","",IF(SUMIFS(Recepciones!$C$5:$C$2000,Recepciones!$B$5:$B$2000,Config!$A$25,Recepciones!$A$5:$A$2000,"&gt;"&amp;$A694,Recepciones!$A$5:$A$2000,"&lt;="&amp;$A695)&gt;0,SUMIFS(Recepciones!$C$5:$C$2000,Recepciones!$B$5:$B$2000,Config!$A$25,Recepciones!$A$5:$A$2000,"&gt;"&amp;$A694,Recepciones!$A$5:$A$2000,"&lt;="&amp;$A695),MAX(0,I695-I694)))</f>
        <v/>
      </c>
      <c r="K695" s="24" t="str">
        <f aca="false">IF($A695="","",MAX(0,I694+J695-I695))</f>
        <v/>
      </c>
      <c r="L695" s="24" t="str">
        <f aca="false">IF($A695="","",E695+H695+K695)</f>
        <v/>
      </c>
      <c r="M695" s="4" t="str">
        <f aca="false">IF($A695="","",IF(AND(D695+G695+J695&gt;0,SUMIFS(Recepciones!$C$5:$C$2000,Recepciones!$A$5:$A$2000,"&gt;"&amp;$A694,Recepciones!$A$5:$A$2000,"&lt;="&amp;$A695)=0),"Aumento de stock sin recepción registrada",IF(B695&gt;1,"Intervalo de "&amp;B695&amp;" días","")))</f>
        <v/>
      </c>
    </row>
    <row r="696" customFormat="false" ht="15" hidden="false" customHeight="false" outlineLevel="0" collapsed="false">
      <c r="A696" s="5" t="str">
        <f aca="false">IF(Stock_Diario!A696="","",Stock_Diario!A696)</f>
        <v/>
      </c>
      <c r="B696" s="4" t="str">
        <f aca="false">IF($A696="","",$A696-$A695)</f>
        <v/>
      </c>
      <c r="C696" s="24" t="str">
        <f aca="false">IF($A696="","",Stock_Diario!E696)</f>
        <v/>
      </c>
      <c r="D696" s="24" t="str">
        <f aca="false">IF($A696="","",IF(SUMIFS(Recepciones!$C$5:$C$2000,Recepciones!$B$5:$B$2000,Config!$A$23,Recepciones!$A$5:$A$2000,"&gt;"&amp;$A695,Recepciones!$A$5:$A$2000,"&lt;="&amp;$A696)&gt;0,SUMIFS(Recepciones!$C$5:$C$2000,Recepciones!$B$5:$B$2000,Config!$A$23,Recepciones!$A$5:$A$2000,"&gt;"&amp;$A695,Recepciones!$A$5:$A$2000,"&lt;="&amp;$A696),MAX(0,C696-C695)))</f>
        <v/>
      </c>
      <c r="E696" s="24" t="str">
        <f aca="false">IF($A696="","",MAX(0,C695+D696-C696))</f>
        <v/>
      </c>
      <c r="F696" s="24" t="str">
        <f aca="false">IF($A696="","",Stock_Diario!F696)</f>
        <v/>
      </c>
      <c r="G696" s="24" t="str">
        <f aca="false">IF($A696="","",IF(SUMIFS(Recepciones!$C$5:$C$2000,Recepciones!$B$5:$B$2000,Config!$A$24,Recepciones!$A$5:$A$2000,"&gt;"&amp;$A695,Recepciones!$A$5:$A$2000,"&lt;="&amp;$A696)&gt;0,SUMIFS(Recepciones!$C$5:$C$2000,Recepciones!$B$5:$B$2000,Config!$A$24,Recepciones!$A$5:$A$2000,"&gt;"&amp;$A695,Recepciones!$A$5:$A$2000,"&lt;="&amp;$A696),MAX(0,F696-F695)))</f>
        <v/>
      </c>
      <c r="H696" s="24" t="str">
        <f aca="false">IF($A696="","",MAX(0,F695+G696-F696))</f>
        <v/>
      </c>
      <c r="I696" s="24" t="str">
        <f aca="false">IF($A696="","",Stock_Diario!G696)</f>
        <v/>
      </c>
      <c r="J696" s="24" t="str">
        <f aca="false">IF($A696="","",IF(SUMIFS(Recepciones!$C$5:$C$2000,Recepciones!$B$5:$B$2000,Config!$A$25,Recepciones!$A$5:$A$2000,"&gt;"&amp;$A695,Recepciones!$A$5:$A$2000,"&lt;="&amp;$A696)&gt;0,SUMIFS(Recepciones!$C$5:$C$2000,Recepciones!$B$5:$B$2000,Config!$A$25,Recepciones!$A$5:$A$2000,"&gt;"&amp;$A695,Recepciones!$A$5:$A$2000,"&lt;="&amp;$A696),MAX(0,I696-I695)))</f>
        <v/>
      </c>
      <c r="K696" s="24" t="str">
        <f aca="false">IF($A696="","",MAX(0,I695+J696-I696))</f>
        <v/>
      </c>
      <c r="L696" s="24" t="str">
        <f aca="false">IF($A696="","",E696+H696+K696)</f>
        <v/>
      </c>
      <c r="M696" s="4" t="str">
        <f aca="false">IF($A696="","",IF(AND(D696+G696+J696&gt;0,SUMIFS(Recepciones!$C$5:$C$2000,Recepciones!$A$5:$A$2000,"&gt;"&amp;$A695,Recepciones!$A$5:$A$2000,"&lt;="&amp;$A696)=0),"Aumento de stock sin recepción registrada",IF(B696&gt;1,"Intervalo de "&amp;B696&amp;" días","")))</f>
        <v/>
      </c>
    </row>
    <row r="697" customFormat="false" ht="15" hidden="false" customHeight="false" outlineLevel="0" collapsed="false">
      <c r="A697" s="5" t="str">
        <f aca="false">IF(Stock_Diario!A697="","",Stock_Diario!A697)</f>
        <v/>
      </c>
      <c r="B697" s="4" t="str">
        <f aca="false">IF($A697="","",$A697-$A696)</f>
        <v/>
      </c>
      <c r="C697" s="24" t="str">
        <f aca="false">IF($A697="","",Stock_Diario!E697)</f>
        <v/>
      </c>
      <c r="D697" s="24" t="str">
        <f aca="false">IF($A697="","",IF(SUMIFS(Recepciones!$C$5:$C$2000,Recepciones!$B$5:$B$2000,Config!$A$23,Recepciones!$A$5:$A$2000,"&gt;"&amp;$A696,Recepciones!$A$5:$A$2000,"&lt;="&amp;$A697)&gt;0,SUMIFS(Recepciones!$C$5:$C$2000,Recepciones!$B$5:$B$2000,Config!$A$23,Recepciones!$A$5:$A$2000,"&gt;"&amp;$A696,Recepciones!$A$5:$A$2000,"&lt;="&amp;$A697),MAX(0,C697-C696)))</f>
        <v/>
      </c>
      <c r="E697" s="24" t="str">
        <f aca="false">IF($A697="","",MAX(0,C696+D697-C697))</f>
        <v/>
      </c>
      <c r="F697" s="24" t="str">
        <f aca="false">IF($A697="","",Stock_Diario!F697)</f>
        <v/>
      </c>
      <c r="G697" s="24" t="str">
        <f aca="false">IF($A697="","",IF(SUMIFS(Recepciones!$C$5:$C$2000,Recepciones!$B$5:$B$2000,Config!$A$24,Recepciones!$A$5:$A$2000,"&gt;"&amp;$A696,Recepciones!$A$5:$A$2000,"&lt;="&amp;$A697)&gt;0,SUMIFS(Recepciones!$C$5:$C$2000,Recepciones!$B$5:$B$2000,Config!$A$24,Recepciones!$A$5:$A$2000,"&gt;"&amp;$A696,Recepciones!$A$5:$A$2000,"&lt;="&amp;$A697),MAX(0,F697-F696)))</f>
        <v/>
      </c>
      <c r="H697" s="24" t="str">
        <f aca="false">IF($A697="","",MAX(0,F696+G697-F697))</f>
        <v/>
      </c>
      <c r="I697" s="24" t="str">
        <f aca="false">IF($A697="","",Stock_Diario!G697)</f>
        <v/>
      </c>
      <c r="J697" s="24" t="str">
        <f aca="false">IF($A697="","",IF(SUMIFS(Recepciones!$C$5:$C$2000,Recepciones!$B$5:$B$2000,Config!$A$25,Recepciones!$A$5:$A$2000,"&gt;"&amp;$A696,Recepciones!$A$5:$A$2000,"&lt;="&amp;$A697)&gt;0,SUMIFS(Recepciones!$C$5:$C$2000,Recepciones!$B$5:$B$2000,Config!$A$25,Recepciones!$A$5:$A$2000,"&gt;"&amp;$A696,Recepciones!$A$5:$A$2000,"&lt;="&amp;$A697),MAX(0,I697-I696)))</f>
        <v/>
      </c>
      <c r="K697" s="24" t="str">
        <f aca="false">IF($A697="","",MAX(0,I696+J697-I697))</f>
        <v/>
      </c>
      <c r="L697" s="24" t="str">
        <f aca="false">IF($A697="","",E697+H697+K697)</f>
        <v/>
      </c>
      <c r="M697" s="4" t="str">
        <f aca="false">IF($A697="","",IF(AND(D697+G697+J697&gt;0,SUMIFS(Recepciones!$C$5:$C$2000,Recepciones!$A$5:$A$2000,"&gt;"&amp;$A696,Recepciones!$A$5:$A$2000,"&lt;="&amp;$A697)=0),"Aumento de stock sin recepción registrada",IF(B697&gt;1,"Intervalo de "&amp;B697&amp;" días","")))</f>
        <v/>
      </c>
    </row>
    <row r="698" customFormat="false" ht="15" hidden="false" customHeight="false" outlineLevel="0" collapsed="false">
      <c r="A698" s="5" t="str">
        <f aca="false">IF(Stock_Diario!A698="","",Stock_Diario!A698)</f>
        <v/>
      </c>
      <c r="B698" s="4" t="str">
        <f aca="false">IF($A698="","",$A698-$A697)</f>
        <v/>
      </c>
      <c r="C698" s="24" t="str">
        <f aca="false">IF($A698="","",Stock_Diario!E698)</f>
        <v/>
      </c>
      <c r="D698" s="24" t="str">
        <f aca="false">IF($A698="","",IF(SUMIFS(Recepciones!$C$5:$C$2000,Recepciones!$B$5:$B$2000,Config!$A$23,Recepciones!$A$5:$A$2000,"&gt;"&amp;$A697,Recepciones!$A$5:$A$2000,"&lt;="&amp;$A698)&gt;0,SUMIFS(Recepciones!$C$5:$C$2000,Recepciones!$B$5:$B$2000,Config!$A$23,Recepciones!$A$5:$A$2000,"&gt;"&amp;$A697,Recepciones!$A$5:$A$2000,"&lt;="&amp;$A698),MAX(0,C698-C697)))</f>
        <v/>
      </c>
      <c r="E698" s="24" t="str">
        <f aca="false">IF($A698="","",MAX(0,C697+D698-C698))</f>
        <v/>
      </c>
      <c r="F698" s="24" t="str">
        <f aca="false">IF($A698="","",Stock_Diario!F698)</f>
        <v/>
      </c>
      <c r="G698" s="24" t="str">
        <f aca="false">IF($A698="","",IF(SUMIFS(Recepciones!$C$5:$C$2000,Recepciones!$B$5:$B$2000,Config!$A$24,Recepciones!$A$5:$A$2000,"&gt;"&amp;$A697,Recepciones!$A$5:$A$2000,"&lt;="&amp;$A698)&gt;0,SUMIFS(Recepciones!$C$5:$C$2000,Recepciones!$B$5:$B$2000,Config!$A$24,Recepciones!$A$5:$A$2000,"&gt;"&amp;$A697,Recepciones!$A$5:$A$2000,"&lt;="&amp;$A698),MAX(0,F698-F697)))</f>
        <v/>
      </c>
      <c r="H698" s="24" t="str">
        <f aca="false">IF($A698="","",MAX(0,F697+G698-F698))</f>
        <v/>
      </c>
      <c r="I698" s="24" t="str">
        <f aca="false">IF($A698="","",Stock_Diario!G698)</f>
        <v/>
      </c>
      <c r="J698" s="24" t="str">
        <f aca="false">IF($A698="","",IF(SUMIFS(Recepciones!$C$5:$C$2000,Recepciones!$B$5:$B$2000,Config!$A$25,Recepciones!$A$5:$A$2000,"&gt;"&amp;$A697,Recepciones!$A$5:$A$2000,"&lt;="&amp;$A698)&gt;0,SUMIFS(Recepciones!$C$5:$C$2000,Recepciones!$B$5:$B$2000,Config!$A$25,Recepciones!$A$5:$A$2000,"&gt;"&amp;$A697,Recepciones!$A$5:$A$2000,"&lt;="&amp;$A698),MAX(0,I698-I697)))</f>
        <v/>
      </c>
      <c r="K698" s="24" t="str">
        <f aca="false">IF($A698="","",MAX(0,I697+J698-I698))</f>
        <v/>
      </c>
      <c r="L698" s="24" t="str">
        <f aca="false">IF($A698="","",E698+H698+K698)</f>
        <v/>
      </c>
      <c r="M698" s="4" t="str">
        <f aca="false">IF($A698="","",IF(AND(D698+G698+J698&gt;0,SUMIFS(Recepciones!$C$5:$C$2000,Recepciones!$A$5:$A$2000,"&gt;"&amp;$A697,Recepciones!$A$5:$A$2000,"&lt;="&amp;$A698)=0),"Aumento de stock sin recepción registrada",IF(B698&gt;1,"Intervalo de "&amp;B698&amp;" días","")))</f>
        <v/>
      </c>
    </row>
    <row r="699" customFormat="false" ht="15" hidden="false" customHeight="false" outlineLevel="0" collapsed="false">
      <c r="A699" s="5" t="str">
        <f aca="false">IF(Stock_Diario!A699="","",Stock_Diario!A699)</f>
        <v/>
      </c>
      <c r="B699" s="4" t="str">
        <f aca="false">IF($A699="","",$A699-$A698)</f>
        <v/>
      </c>
      <c r="C699" s="24" t="str">
        <f aca="false">IF($A699="","",Stock_Diario!E699)</f>
        <v/>
      </c>
      <c r="D699" s="24" t="str">
        <f aca="false">IF($A699="","",IF(SUMIFS(Recepciones!$C$5:$C$2000,Recepciones!$B$5:$B$2000,Config!$A$23,Recepciones!$A$5:$A$2000,"&gt;"&amp;$A698,Recepciones!$A$5:$A$2000,"&lt;="&amp;$A699)&gt;0,SUMIFS(Recepciones!$C$5:$C$2000,Recepciones!$B$5:$B$2000,Config!$A$23,Recepciones!$A$5:$A$2000,"&gt;"&amp;$A698,Recepciones!$A$5:$A$2000,"&lt;="&amp;$A699),MAX(0,C699-C698)))</f>
        <v/>
      </c>
      <c r="E699" s="24" t="str">
        <f aca="false">IF($A699="","",MAX(0,C698+D699-C699))</f>
        <v/>
      </c>
      <c r="F699" s="24" t="str">
        <f aca="false">IF($A699="","",Stock_Diario!F699)</f>
        <v/>
      </c>
      <c r="G699" s="24" t="str">
        <f aca="false">IF($A699="","",IF(SUMIFS(Recepciones!$C$5:$C$2000,Recepciones!$B$5:$B$2000,Config!$A$24,Recepciones!$A$5:$A$2000,"&gt;"&amp;$A698,Recepciones!$A$5:$A$2000,"&lt;="&amp;$A699)&gt;0,SUMIFS(Recepciones!$C$5:$C$2000,Recepciones!$B$5:$B$2000,Config!$A$24,Recepciones!$A$5:$A$2000,"&gt;"&amp;$A698,Recepciones!$A$5:$A$2000,"&lt;="&amp;$A699),MAX(0,F699-F698)))</f>
        <v/>
      </c>
      <c r="H699" s="24" t="str">
        <f aca="false">IF($A699="","",MAX(0,F698+G699-F699))</f>
        <v/>
      </c>
      <c r="I699" s="24" t="str">
        <f aca="false">IF($A699="","",Stock_Diario!G699)</f>
        <v/>
      </c>
      <c r="J699" s="24" t="str">
        <f aca="false">IF($A699="","",IF(SUMIFS(Recepciones!$C$5:$C$2000,Recepciones!$B$5:$B$2000,Config!$A$25,Recepciones!$A$5:$A$2000,"&gt;"&amp;$A698,Recepciones!$A$5:$A$2000,"&lt;="&amp;$A699)&gt;0,SUMIFS(Recepciones!$C$5:$C$2000,Recepciones!$B$5:$B$2000,Config!$A$25,Recepciones!$A$5:$A$2000,"&gt;"&amp;$A698,Recepciones!$A$5:$A$2000,"&lt;="&amp;$A699),MAX(0,I699-I698)))</f>
        <v/>
      </c>
      <c r="K699" s="24" t="str">
        <f aca="false">IF($A699="","",MAX(0,I698+J699-I699))</f>
        <v/>
      </c>
      <c r="L699" s="24" t="str">
        <f aca="false">IF($A699="","",E699+H699+K699)</f>
        <v/>
      </c>
      <c r="M699" s="4" t="str">
        <f aca="false">IF($A699="","",IF(AND(D699+G699+J699&gt;0,SUMIFS(Recepciones!$C$5:$C$2000,Recepciones!$A$5:$A$2000,"&gt;"&amp;$A698,Recepciones!$A$5:$A$2000,"&lt;="&amp;$A699)=0),"Aumento de stock sin recepción registrada",IF(B699&gt;1,"Intervalo de "&amp;B699&amp;" días","")))</f>
        <v/>
      </c>
    </row>
    <row r="700" customFormat="false" ht="15" hidden="false" customHeight="false" outlineLevel="0" collapsed="false">
      <c r="A700" s="5" t="str">
        <f aca="false">IF(Stock_Diario!A700="","",Stock_Diario!A700)</f>
        <v/>
      </c>
      <c r="B700" s="4" t="str">
        <f aca="false">IF($A700="","",$A700-$A699)</f>
        <v/>
      </c>
      <c r="C700" s="24" t="str">
        <f aca="false">IF($A700="","",Stock_Diario!E700)</f>
        <v/>
      </c>
      <c r="D700" s="24" t="str">
        <f aca="false">IF($A700="","",IF(SUMIFS(Recepciones!$C$5:$C$2000,Recepciones!$B$5:$B$2000,Config!$A$23,Recepciones!$A$5:$A$2000,"&gt;"&amp;$A699,Recepciones!$A$5:$A$2000,"&lt;="&amp;$A700)&gt;0,SUMIFS(Recepciones!$C$5:$C$2000,Recepciones!$B$5:$B$2000,Config!$A$23,Recepciones!$A$5:$A$2000,"&gt;"&amp;$A699,Recepciones!$A$5:$A$2000,"&lt;="&amp;$A700),MAX(0,C700-C699)))</f>
        <v/>
      </c>
      <c r="E700" s="24" t="str">
        <f aca="false">IF($A700="","",MAX(0,C699+D700-C700))</f>
        <v/>
      </c>
      <c r="F700" s="24" t="str">
        <f aca="false">IF($A700="","",Stock_Diario!F700)</f>
        <v/>
      </c>
      <c r="G700" s="24" t="str">
        <f aca="false">IF($A700="","",IF(SUMIFS(Recepciones!$C$5:$C$2000,Recepciones!$B$5:$B$2000,Config!$A$24,Recepciones!$A$5:$A$2000,"&gt;"&amp;$A699,Recepciones!$A$5:$A$2000,"&lt;="&amp;$A700)&gt;0,SUMIFS(Recepciones!$C$5:$C$2000,Recepciones!$B$5:$B$2000,Config!$A$24,Recepciones!$A$5:$A$2000,"&gt;"&amp;$A699,Recepciones!$A$5:$A$2000,"&lt;="&amp;$A700),MAX(0,F700-F699)))</f>
        <v/>
      </c>
      <c r="H700" s="24" t="str">
        <f aca="false">IF($A700="","",MAX(0,F699+G700-F700))</f>
        <v/>
      </c>
      <c r="I700" s="24" t="str">
        <f aca="false">IF($A700="","",Stock_Diario!G700)</f>
        <v/>
      </c>
      <c r="J700" s="24" t="str">
        <f aca="false">IF($A700="","",IF(SUMIFS(Recepciones!$C$5:$C$2000,Recepciones!$B$5:$B$2000,Config!$A$25,Recepciones!$A$5:$A$2000,"&gt;"&amp;$A699,Recepciones!$A$5:$A$2000,"&lt;="&amp;$A700)&gt;0,SUMIFS(Recepciones!$C$5:$C$2000,Recepciones!$B$5:$B$2000,Config!$A$25,Recepciones!$A$5:$A$2000,"&gt;"&amp;$A699,Recepciones!$A$5:$A$2000,"&lt;="&amp;$A700),MAX(0,I700-I699)))</f>
        <v/>
      </c>
      <c r="K700" s="24" t="str">
        <f aca="false">IF($A700="","",MAX(0,I699+J700-I700))</f>
        <v/>
      </c>
      <c r="L700" s="24" t="str">
        <f aca="false">IF($A700="","",E700+H700+K700)</f>
        <v/>
      </c>
      <c r="M700" s="4" t="str">
        <f aca="false">IF($A700="","",IF(AND(D700+G700+J700&gt;0,SUMIFS(Recepciones!$C$5:$C$2000,Recepciones!$A$5:$A$2000,"&gt;"&amp;$A699,Recepciones!$A$5:$A$2000,"&lt;="&amp;$A700)=0),"Aumento de stock sin recepción registrada",IF(B700&gt;1,"Intervalo de "&amp;B700&amp;" días","")))</f>
        <v/>
      </c>
    </row>
    <row r="701" customFormat="false" ht="15" hidden="false" customHeight="false" outlineLevel="0" collapsed="false">
      <c r="A701" s="5" t="str">
        <f aca="false">IF(Stock_Diario!A701="","",Stock_Diario!A701)</f>
        <v/>
      </c>
      <c r="B701" s="4" t="str">
        <f aca="false">IF($A701="","",$A701-$A700)</f>
        <v/>
      </c>
      <c r="C701" s="24" t="str">
        <f aca="false">IF($A701="","",Stock_Diario!E701)</f>
        <v/>
      </c>
      <c r="D701" s="24" t="str">
        <f aca="false">IF($A701="","",IF(SUMIFS(Recepciones!$C$5:$C$2000,Recepciones!$B$5:$B$2000,Config!$A$23,Recepciones!$A$5:$A$2000,"&gt;"&amp;$A700,Recepciones!$A$5:$A$2000,"&lt;="&amp;$A701)&gt;0,SUMIFS(Recepciones!$C$5:$C$2000,Recepciones!$B$5:$B$2000,Config!$A$23,Recepciones!$A$5:$A$2000,"&gt;"&amp;$A700,Recepciones!$A$5:$A$2000,"&lt;="&amp;$A701),MAX(0,C701-C700)))</f>
        <v/>
      </c>
      <c r="E701" s="24" t="str">
        <f aca="false">IF($A701="","",MAX(0,C700+D701-C701))</f>
        <v/>
      </c>
      <c r="F701" s="24" t="str">
        <f aca="false">IF($A701="","",Stock_Diario!F701)</f>
        <v/>
      </c>
      <c r="G701" s="24" t="str">
        <f aca="false">IF($A701="","",IF(SUMIFS(Recepciones!$C$5:$C$2000,Recepciones!$B$5:$B$2000,Config!$A$24,Recepciones!$A$5:$A$2000,"&gt;"&amp;$A700,Recepciones!$A$5:$A$2000,"&lt;="&amp;$A701)&gt;0,SUMIFS(Recepciones!$C$5:$C$2000,Recepciones!$B$5:$B$2000,Config!$A$24,Recepciones!$A$5:$A$2000,"&gt;"&amp;$A700,Recepciones!$A$5:$A$2000,"&lt;="&amp;$A701),MAX(0,F701-F700)))</f>
        <v/>
      </c>
      <c r="H701" s="24" t="str">
        <f aca="false">IF($A701="","",MAX(0,F700+G701-F701))</f>
        <v/>
      </c>
      <c r="I701" s="24" t="str">
        <f aca="false">IF($A701="","",Stock_Diario!G701)</f>
        <v/>
      </c>
      <c r="J701" s="24" t="str">
        <f aca="false">IF($A701="","",IF(SUMIFS(Recepciones!$C$5:$C$2000,Recepciones!$B$5:$B$2000,Config!$A$25,Recepciones!$A$5:$A$2000,"&gt;"&amp;$A700,Recepciones!$A$5:$A$2000,"&lt;="&amp;$A701)&gt;0,SUMIFS(Recepciones!$C$5:$C$2000,Recepciones!$B$5:$B$2000,Config!$A$25,Recepciones!$A$5:$A$2000,"&gt;"&amp;$A700,Recepciones!$A$5:$A$2000,"&lt;="&amp;$A701),MAX(0,I701-I700)))</f>
        <v/>
      </c>
      <c r="K701" s="24" t="str">
        <f aca="false">IF($A701="","",MAX(0,I700+J701-I701))</f>
        <v/>
      </c>
      <c r="L701" s="24" t="str">
        <f aca="false">IF($A701="","",E701+H701+K701)</f>
        <v/>
      </c>
      <c r="M701" s="4" t="str">
        <f aca="false">IF($A701="","",IF(AND(D701+G701+J701&gt;0,SUMIFS(Recepciones!$C$5:$C$2000,Recepciones!$A$5:$A$2000,"&gt;"&amp;$A700,Recepciones!$A$5:$A$2000,"&lt;="&amp;$A701)=0),"Aumento de stock sin recepción registrada",IF(B701&gt;1,"Intervalo de "&amp;B701&amp;" días","")))</f>
        <v/>
      </c>
    </row>
    <row r="702" customFormat="false" ht="15" hidden="false" customHeight="false" outlineLevel="0" collapsed="false">
      <c r="A702" s="5" t="str">
        <f aca="false">IF(Stock_Diario!A702="","",Stock_Diario!A702)</f>
        <v/>
      </c>
      <c r="B702" s="4" t="str">
        <f aca="false">IF($A702="","",$A702-$A701)</f>
        <v/>
      </c>
      <c r="C702" s="24" t="str">
        <f aca="false">IF($A702="","",Stock_Diario!E702)</f>
        <v/>
      </c>
      <c r="D702" s="24" t="str">
        <f aca="false">IF($A702="","",IF(SUMIFS(Recepciones!$C$5:$C$2000,Recepciones!$B$5:$B$2000,Config!$A$23,Recepciones!$A$5:$A$2000,"&gt;"&amp;$A701,Recepciones!$A$5:$A$2000,"&lt;="&amp;$A702)&gt;0,SUMIFS(Recepciones!$C$5:$C$2000,Recepciones!$B$5:$B$2000,Config!$A$23,Recepciones!$A$5:$A$2000,"&gt;"&amp;$A701,Recepciones!$A$5:$A$2000,"&lt;="&amp;$A702),MAX(0,C702-C701)))</f>
        <v/>
      </c>
      <c r="E702" s="24" t="str">
        <f aca="false">IF($A702="","",MAX(0,C701+D702-C702))</f>
        <v/>
      </c>
      <c r="F702" s="24" t="str">
        <f aca="false">IF($A702="","",Stock_Diario!F702)</f>
        <v/>
      </c>
      <c r="G702" s="24" t="str">
        <f aca="false">IF($A702="","",IF(SUMIFS(Recepciones!$C$5:$C$2000,Recepciones!$B$5:$B$2000,Config!$A$24,Recepciones!$A$5:$A$2000,"&gt;"&amp;$A701,Recepciones!$A$5:$A$2000,"&lt;="&amp;$A702)&gt;0,SUMIFS(Recepciones!$C$5:$C$2000,Recepciones!$B$5:$B$2000,Config!$A$24,Recepciones!$A$5:$A$2000,"&gt;"&amp;$A701,Recepciones!$A$5:$A$2000,"&lt;="&amp;$A702),MAX(0,F702-F701)))</f>
        <v/>
      </c>
      <c r="H702" s="24" t="str">
        <f aca="false">IF($A702="","",MAX(0,F701+G702-F702))</f>
        <v/>
      </c>
      <c r="I702" s="24" t="str">
        <f aca="false">IF($A702="","",Stock_Diario!G702)</f>
        <v/>
      </c>
      <c r="J702" s="24" t="str">
        <f aca="false">IF($A702="","",IF(SUMIFS(Recepciones!$C$5:$C$2000,Recepciones!$B$5:$B$2000,Config!$A$25,Recepciones!$A$5:$A$2000,"&gt;"&amp;$A701,Recepciones!$A$5:$A$2000,"&lt;="&amp;$A702)&gt;0,SUMIFS(Recepciones!$C$5:$C$2000,Recepciones!$B$5:$B$2000,Config!$A$25,Recepciones!$A$5:$A$2000,"&gt;"&amp;$A701,Recepciones!$A$5:$A$2000,"&lt;="&amp;$A702),MAX(0,I702-I701)))</f>
        <v/>
      </c>
      <c r="K702" s="24" t="str">
        <f aca="false">IF($A702="","",MAX(0,I701+J702-I702))</f>
        <v/>
      </c>
      <c r="L702" s="24" t="str">
        <f aca="false">IF($A702="","",E702+H702+K702)</f>
        <v/>
      </c>
      <c r="M702" s="4" t="str">
        <f aca="false">IF($A702="","",IF(AND(D702+G702+J702&gt;0,SUMIFS(Recepciones!$C$5:$C$2000,Recepciones!$A$5:$A$2000,"&gt;"&amp;$A701,Recepciones!$A$5:$A$2000,"&lt;="&amp;$A702)=0),"Aumento de stock sin recepción registrada",IF(B702&gt;1,"Intervalo de "&amp;B702&amp;" días","")))</f>
        <v/>
      </c>
    </row>
    <row r="703" customFormat="false" ht="15" hidden="false" customHeight="false" outlineLevel="0" collapsed="false">
      <c r="A703" s="5" t="str">
        <f aca="false">IF(Stock_Diario!A703="","",Stock_Diario!A703)</f>
        <v/>
      </c>
      <c r="B703" s="4" t="str">
        <f aca="false">IF($A703="","",$A703-$A702)</f>
        <v/>
      </c>
      <c r="C703" s="24" t="str">
        <f aca="false">IF($A703="","",Stock_Diario!E703)</f>
        <v/>
      </c>
      <c r="D703" s="24" t="str">
        <f aca="false">IF($A703="","",IF(SUMIFS(Recepciones!$C$5:$C$2000,Recepciones!$B$5:$B$2000,Config!$A$23,Recepciones!$A$5:$A$2000,"&gt;"&amp;$A702,Recepciones!$A$5:$A$2000,"&lt;="&amp;$A703)&gt;0,SUMIFS(Recepciones!$C$5:$C$2000,Recepciones!$B$5:$B$2000,Config!$A$23,Recepciones!$A$5:$A$2000,"&gt;"&amp;$A702,Recepciones!$A$5:$A$2000,"&lt;="&amp;$A703),MAX(0,C703-C702)))</f>
        <v/>
      </c>
      <c r="E703" s="24" t="str">
        <f aca="false">IF($A703="","",MAX(0,C702+D703-C703))</f>
        <v/>
      </c>
      <c r="F703" s="24" t="str">
        <f aca="false">IF($A703="","",Stock_Diario!F703)</f>
        <v/>
      </c>
      <c r="G703" s="24" t="str">
        <f aca="false">IF($A703="","",IF(SUMIFS(Recepciones!$C$5:$C$2000,Recepciones!$B$5:$B$2000,Config!$A$24,Recepciones!$A$5:$A$2000,"&gt;"&amp;$A702,Recepciones!$A$5:$A$2000,"&lt;="&amp;$A703)&gt;0,SUMIFS(Recepciones!$C$5:$C$2000,Recepciones!$B$5:$B$2000,Config!$A$24,Recepciones!$A$5:$A$2000,"&gt;"&amp;$A702,Recepciones!$A$5:$A$2000,"&lt;="&amp;$A703),MAX(0,F703-F702)))</f>
        <v/>
      </c>
      <c r="H703" s="24" t="str">
        <f aca="false">IF($A703="","",MAX(0,F702+G703-F703))</f>
        <v/>
      </c>
      <c r="I703" s="24" t="str">
        <f aca="false">IF($A703="","",Stock_Diario!G703)</f>
        <v/>
      </c>
      <c r="J703" s="24" t="str">
        <f aca="false">IF($A703="","",IF(SUMIFS(Recepciones!$C$5:$C$2000,Recepciones!$B$5:$B$2000,Config!$A$25,Recepciones!$A$5:$A$2000,"&gt;"&amp;$A702,Recepciones!$A$5:$A$2000,"&lt;="&amp;$A703)&gt;0,SUMIFS(Recepciones!$C$5:$C$2000,Recepciones!$B$5:$B$2000,Config!$A$25,Recepciones!$A$5:$A$2000,"&gt;"&amp;$A702,Recepciones!$A$5:$A$2000,"&lt;="&amp;$A703),MAX(0,I703-I702)))</f>
        <v/>
      </c>
      <c r="K703" s="24" t="str">
        <f aca="false">IF($A703="","",MAX(0,I702+J703-I703))</f>
        <v/>
      </c>
      <c r="L703" s="24" t="str">
        <f aca="false">IF($A703="","",E703+H703+K703)</f>
        <v/>
      </c>
      <c r="M703" s="4" t="str">
        <f aca="false">IF($A703="","",IF(AND(D703+G703+J703&gt;0,SUMIFS(Recepciones!$C$5:$C$2000,Recepciones!$A$5:$A$2000,"&gt;"&amp;$A702,Recepciones!$A$5:$A$2000,"&lt;="&amp;$A703)=0),"Aumento de stock sin recepción registrada",IF(B703&gt;1,"Intervalo de "&amp;B703&amp;" días","")))</f>
        <v/>
      </c>
    </row>
    <row r="704" customFormat="false" ht="15" hidden="false" customHeight="false" outlineLevel="0" collapsed="false">
      <c r="A704" s="5" t="str">
        <f aca="false">IF(Stock_Diario!A704="","",Stock_Diario!A704)</f>
        <v/>
      </c>
      <c r="B704" s="4" t="str">
        <f aca="false">IF($A704="","",$A704-$A703)</f>
        <v/>
      </c>
      <c r="C704" s="24" t="str">
        <f aca="false">IF($A704="","",Stock_Diario!E704)</f>
        <v/>
      </c>
      <c r="D704" s="24" t="str">
        <f aca="false">IF($A704="","",IF(SUMIFS(Recepciones!$C$5:$C$2000,Recepciones!$B$5:$B$2000,Config!$A$23,Recepciones!$A$5:$A$2000,"&gt;"&amp;$A703,Recepciones!$A$5:$A$2000,"&lt;="&amp;$A704)&gt;0,SUMIFS(Recepciones!$C$5:$C$2000,Recepciones!$B$5:$B$2000,Config!$A$23,Recepciones!$A$5:$A$2000,"&gt;"&amp;$A703,Recepciones!$A$5:$A$2000,"&lt;="&amp;$A704),MAX(0,C704-C703)))</f>
        <v/>
      </c>
      <c r="E704" s="24" t="str">
        <f aca="false">IF($A704="","",MAX(0,C703+D704-C704))</f>
        <v/>
      </c>
      <c r="F704" s="24" t="str">
        <f aca="false">IF($A704="","",Stock_Diario!F704)</f>
        <v/>
      </c>
      <c r="G704" s="24" t="str">
        <f aca="false">IF($A704="","",IF(SUMIFS(Recepciones!$C$5:$C$2000,Recepciones!$B$5:$B$2000,Config!$A$24,Recepciones!$A$5:$A$2000,"&gt;"&amp;$A703,Recepciones!$A$5:$A$2000,"&lt;="&amp;$A704)&gt;0,SUMIFS(Recepciones!$C$5:$C$2000,Recepciones!$B$5:$B$2000,Config!$A$24,Recepciones!$A$5:$A$2000,"&gt;"&amp;$A703,Recepciones!$A$5:$A$2000,"&lt;="&amp;$A704),MAX(0,F704-F703)))</f>
        <v/>
      </c>
      <c r="H704" s="24" t="str">
        <f aca="false">IF($A704="","",MAX(0,F703+G704-F704))</f>
        <v/>
      </c>
      <c r="I704" s="24" t="str">
        <f aca="false">IF($A704="","",Stock_Diario!G704)</f>
        <v/>
      </c>
      <c r="J704" s="24" t="str">
        <f aca="false">IF($A704="","",IF(SUMIFS(Recepciones!$C$5:$C$2000,Recepciones!$B$5:$B$2000,Config!$A$25,Recepciones!$A$5:$A$2000,"&gt;"&amp;$A703,Recepciones!$A$5:$A$2000,"&lt;="&amp;$A704)&gt;0,SUMIFS(Recepciones!$C$5:$C$2000,Recepciones!$B$5:$B$2000,Config!$A$25,Recepciones!$A$5:$A$2000,"&gt;"&amp;$A703,Recepciones!$A$5:$A$2000,"&lt;="&amp;$A704),MAX(0,I704-I703)))</f>
        <v/>
      </c>
      <c r="K704" s="24" t="str">
        <f aca="false">IF($A704="","",MAX(0,I703+J704-I704))</f>
        <v/>
      </c>
      <c r="L704" s="24" t="str">
        <f aca="false">IF($A704="","",E704+H704+K704)</f>
        <v/>
      </c>
      <c r="M704" s="4" t="str">
        <f aca="false">IF($A704="","",IF(AND(D704+G704+J704&gt;0,SUMIFS(Recepciones!$C$5:$C$2000,Recepciones!$A$5:$A$2000,"&gt;"&amp;$A703,Recepciones!$A$5:$A$2000,"&lt;="&amp;$A704)=0),"Aumento de stock sin recepción registrada",IF(B704&gt;1,"Intervalo de "&amp;B704&amp;" días","")))</f>
        <v/>
      </c>
    </row>
    <row r="705" customFormat="false" ht="15" hidden="false" customHeight="false" outlineLevel="0" collapsed="false">
      <c r="A705" s="5" t="str">
        <f aca="false">IF(Stock_Diario!A705="","",Stock_Diario!A705)</f>
        <v/>
      </c>
      <c r="B705" s="4" t="str">
        <f aca="false">IF($A705="","",$A705-$A704)</f>
        <v/>
      </c>
      <c r="C705" s="24" t="str">
        <f aca="false">IF($A705="","",Stock_Diario!E705)</f>
        <v/>
      </c>
      <c r="D705" s="24" t="str">
        <f aca="false">IF($A705="","",IF(SUMIFS(Recepciones!$C$5:$C$2000,Recepciones!$B$5:$B$2000,Config!$A$23,Recepciones!$A$5:$A$2000,"&gt;"&amp;$A704,Recepciones!$A$5:$A$2000,"&lt;="&amp;$A705)&gt;0,SUMIFS(Recepciones!$C$5:$C$2000,Recepciones!$B$5:$B$2000,Config!$A$23,Recepciones!$A$5:$A$2000,"&gt;"&amp;$A704,Recepciones!$A$5:$A$2000,"&lt;="&amp;$A705),MAX(0,C705-C704)))</f>
        <v/>
      </c>
      <c r="E705" s="24" t="str">
        <f aca="false">IF($A705="","",MAX(0,C704+D705-C705))</f>
        <v/>
      </c>
      <c r="F705" s="24" t="str">
        <f aca="false">IF($A705="","",Stock_Diario!F705)</f>
        <v/>
      </c>
      <c r="G705" s="24" t="str">
        <f aca="false">IF($A705="","",IF(SUMIFS(Recepciones!$C$5:$C$2000,Recepciones!$B$5:$B$2000,Config!$A$24,Recepciones!$A$5:$A$2000,"&gt;"&amp;$A704,Recepciones!$A$5:$A$2000,"&lt;="&amp;$A705)&gt;0,SUMIFS(Recepciones!$C$5:$C$2000,Recepciones!$B$5:$B$2000,Config!$A$24,Recepciones!$A$5:$A$2000,"&gt;"&amp;$A704,Recepciones!$A$5:$A$2000,"&lt;="&amp;$A705),MAX(0,F705-F704)))</f>
        <v/>
      </c>
      <c r="H705" s="24" t="str">
        <f aca="false">IF($A705="","",MAX(0,F704+G705-F705))</f>
        <v/>
      </c>
      <c r="I705" s="24" t="str">
        <f aca="false">IF($A705="","",Stock_Diario!G705)</f>
        <v/>
      </c>
      <c r="J705" s="24" t="str">
        <f aca="false">IF($A705="","",IF(SUMIFS(Recepciones!$C$5:$C$2000,Recepciones!$B$5:$B$2000,Config!$A$25,Recepciones!$A$5:$A$2000,"&gt;"&amp;$A704,Recepciones!$A$5:$A$2000,"&lt;="&amp;$A705)&gt;0,SUMIFS(Recepciones!$C$5:$C$2000,Recepciones!$B$5:$B$2000,Config!$A$25,Recepciones!$A$5:$A$2000,"&gt;"&amp;$A704,Recepciones!$A$5:$A$2000,"&lt;="&amp;$A705),MAX(0,I705-I704)))</f>
        <v/>
      </c>
      <c r="K705" s="24" t="str">
        <f aca="false">IF($A705="","",MAX(0,I704+J705-I705))</f>
        <v/>
      </c>
      <c r="L705" s="24" t="str">
        <f aca="false">IF($A705="","",E705+H705+K705)</f>
        <v/>
      </c>
      <c r="M705" s="4" t="str">
        <f aca="false">IF($A705="","",IF(AND(D705+G705+J705&gt;0,SUMIFS(Recepciones!$C$5:$C$2000,Recepciones!$A$5:$A$2000,"&gt;"&amp;$A704,Recepciones!$A$5:$A$2000,"&lt;="&amp;$A705)=0),"Aumento de stock sin recepción registrada",IF(B705&gt;1,"Intervalo de "&amp;B705&amp;" días","")))</f>
        <v/>
      </c>
    </row>
    <row r="706" customFormat="false" ht="15" hidden="false" customHeight="false" outlineLevel="0" collapsed="false">
      <c r="A706" s="5" t="str">
        <f aca="false">IF(Stock_Diario!A706="","",Stock_Diario!A706)</f>
        <v/>
      </c>
      <c r="B706" s="4" t="str">
        <f aca="false">IF($A706="","",$A706-$A705)</f>
        <v/>
      </c>
      <c r="C706" s="24" t="str">
        <f aca="false">IF($A706="","",Stock_Diario!E706)</f>
        <v/>
      </c>
      <c r="D706" s="24" t="str">
        <f aca="false">IF($A706="","",IF(SUMIFS(Recepciones!$C$5:$C$2000,Recepciones!$B$5:$B$2000,Config!$A$23,Recepciones!$A$5:$A$2000,"&gt;"&amp;$A705,Recepciones!$A$5:$A$2000,"&lt;="&amp;$A706)&gt;0,SUMIFS(Recepciones!$C$5:$C$2000,Recepciones!$B$5:$B$2000,Config!$A$23,Recepciones!$A$5:$A$2000,"&gt;"&amp;$A705,Recepciones!$A$5:$A$2000,"&lt;="&amp;$A706),MAX(0,C706-C705)))</f>
        <v/>
      </c>
      <c r="E706" s="24" t="str">
        <f aca="false">IF($A706="","",MAX(0,C705+D706-C706))</f>
        <v/>
      </c>
      <c r="F706" s="24" t="str">
        <f aca="false">IF($A706="","",Stock_Diario!F706)</f>
        <v/>
      </c>
      <c r="G706" s="24" t="str">
        <f aca="false">IF($A706="","",IF(SUMIFS(Recepciones!$C$5:$C$2000,Recepciones!$B$5:$B$2000,Config!$A$24,Recepciones!$A$5:$A$2000,"&gt;"&amp;$A705,Recepciones!$A$5:$A$2000,"&lt;="&amp;$A706)&gt;0,SUMIFS(Recepciones!$C$5:$C$2000,Recepciones!$B$5:$B$2000,Config!$A$24,Recepciones!$A$5:$A$2000,"&gt;"&amp;$A705,Recepciones!$A$5:$A$2000,"&lt;="&amp;$A706),MAX(0,F706-F705)))</f>
        <v/>
      </c>
      <c r="H706" s="24" t="str">
        <f aca="false">IF($A706="","",MAX(0,F705+G706-F706))</f>
        <v/>
      </c>
      <c r="I706" s="24" t="str">
        <f aca="false">IF($A706="","",Stock_Diario!G706)</f>
        <v/>
      </c>
      <c r="J706" s="24" t="str">
        <f aca="false">IF($A706="","",IF(SUMIFS(Recepciones!$C$5:$C$2000,Recepciones!$B$5:$B$2000,Config!$A$25,Recepciones!$A$5:$A$2000,"&gt;"&amp;$A705,Recepciones!$A$5:$A$2000,"&lt;="&amp;$A706)&gt;0,SUMIFS(Recepciones!$C$5:$C$2000,Recepciones!$B$5:$B$2000,Config!$A$25,Recepciones!$A$5:$A$2000,"&gt;"&amp;$A705,Recepciones!$A$5:$A$2000,"&lt;="&amp;$A706),MAX(0,I706-I705)))</f>
        <v/>
      </c>
      <c r="K706" s="24" t="str">
        <f aca="false">IF($A706="","",MAX(0,I705+J706-I706))</f>
        <v/>
      </c>
      <c r="L706" s="24" t="str">
        <f aca="false">IF($A706="","",E706+H706+K706)</f>
        <v/>
      </c>
      <c r="M706" s="4" t="str">
        <f aca="false">IF($A706="","",IF(AND(D706+G706+J706&gt;0,SUMIFS(Recepciones!$C$5:$C$2000,Recepciones!$A$5:$A$2000,"&gt;"&amp;$A705,Recepciones!$A$5:$A$2000,"&lt;="&amp;$A706)=0),"Aumento de stock sin recepción registrada",IF(B706&gt;1,"Intervalo de "&amp;B706&amp;" días","")))</f>
        <v/>
      </c>
    </row>
    <row r="707" customFormat="false" ht="15" hidden="false" customHeight="false" outlineLevel="0" collapsed="false">
      <c r="A707" s="5" t="str">
        <f aca="false">IF(Stock_Diario!A707="","",Stock_Diario!A707)</f>
        <v/>
      </c>
      <c r="B707" s="4" t="str">
        <f aca="false">IF($A707="","",$A707-$A706)</f>
        <v/>
      </c>
      <c r="C707" s="24" t="str">
        <f aca="false">IF($A707="","",Stock_Diario!E707)</f>
        <v/>
      </c>
      <c r="D707" s="24" t="str">
        <f aca="false">IF($A707="","",IF(SUMIFS(Recepciones!$C$5:$C$2000,Recepciones!$B$5:$B$2000,Config!$A$23,Recepciones!$A$5:$A$2000,"&gt;"&amp;$A706,Recepciones!$A$5:$A$2000,"&lt;="&amp;$A707)&gt;0,SUMIFS(Recepciones!$C$5:$C$2000,Recepciones!$B$5:$B$2000,Config!$A$23,Recepciones!$A$5:$A$2000,"&gt;"&amp;$A706,Recepciones!$A$5:$A$2000,"&lt;="&amp;$A707),MAX(0,C707-C706)))</f>
        <v/>
      </c>
      <c r="E707" s="24" t="str">
        <f aca="false">IF($A707="","",MAX(0,C706+D707-C707))</f>
        <v/>
      </c>
      <c r="F707" s="24" t="str">
        <f aca="false">IF($A707="","",Stock_Diario!F707)</f>
        <v/>
      </c>
      <c r="G707" s="24" t="str">
        <f aca="false">IF($A707="","",IF(SUMIFS(Recepciones!$C$5:$C$2000,Recepciones!$B$5:$B$2000,Config!$A$24,Recepciones!$A$5:$A$2000,"&gt;"&amp;$A706,Recepciones!$A$5:$A$2000,"&lt;="&amp;$A707)&gt;0,SUMIFS(Recepciones!$C$5:$C$2000,Recepciones!$B$5:$B$2000,Config!$A$24,Recepciones!$A$5:$A$2000,"&gt;"&amp;$A706,Recepciones!$A$5:$A$2000,"&lt;="&amp;$A707),MAX(0,F707-F706)))</f>
        <v/>
      </c>
      <c r="H707" s="24" t="str">
        <f aca="false">IF($A707="","",MAX(0,F706+G707-F707))</f>
        <v/>
      </c>
      <c r="I707" s="24" t="str">
        <f aca="false">IF($A707="","",Stock_Diario!G707)</f>
        <v/>
      </c>
      <c r="J707" s="24" t="str">
        <f aca="false">IF($A707="","",IF(SUMIFS(Recepciones!$C$5:$C$2000,Recepciones!$B$5:$B$2000,Config!$A$25,Recepciones!$A$5:$A$2000,"&gt;"&amp;$A706,Recepciones!$A$5:$A$2000,"&lt;="&amp;$A707)&gt;0,SUMIFS(Recepciones!$C$5:$C$2000,Recepciones!$B$5:$B$2000,Config!$A$25,Recepciones!$A$5:$A$2000,"&gt;"&amp;$A706,Recepciones!$A$5:$A$2000,"&lt;="&amp;$A707),MAX(0,I707-I706)))</f>
        <v/>
      </c>
      <c r="K707" s="24" t="str">
        <f aca="false">IF($A707="","",MAX(0,I706+J707-I707))</f>
        <v/>
      </c>
      <c r="L707" s="24" t="str">
        <f aca="false">IF($A707="","",E707+H707+K707)</f>
        <v/>
      </c>
      <c r="M707" s="4" t="str">
        <f aca="false">IF($A707="","",IF(AND(D707+G707+J707&gt;0,SUMIFS(Recepciones!$C$5:$C$2000,Recepciones!$A$5:$A$2000,"&gt;"&amp;$A706,Recepciones!$A$5:$A$2000,"&lt;="&amp;$A707)=0),"Aumento de stock sin recepción registrada",IF(B707&gt;1,"Intervalo de "&amp;B707&amp;" días","")))</f>
        <v/>
      </c>
    </row>
    <row r="708" customFormat="false" ht="15" hidden="false" customHeight="false" outlineLevel="0" collapsed="false">
      <c r="A708" s="5" t="str">
        <f aca="false">IF(Stock_Diario!A708="","",Stock_Diario!A708)</f>
        <v/>
      </c>
      <c r="B708" s="4" t="str">
        <f aca="false">IF($A708="","",$A708-$A707)</f>
        <v/>
      </c>
      <c r="C708" s="24" t="str">
        <f aca="false">IF($A708="","",Stock_Diario!E708)</f>
        <v/>
      </c>
      <c r="D708" s="24" t="str">
        <f aca="false">IF($A708="","",IF(SUMIFS(Recepciones!$C$5:$C$2000,Recepciones!$B$5:$B$2000,Config!$A$23,Recepciones!$A$5:$A$2000,"&gt;"&amp;$A707,Recepciones!$A$5:$A$2000,"&lt;="&amp;$A708)&gt;0,SUMIFS(Recepciones!$C$5:$C$2000,Recepciones!$B$5:$B$2000,Config!$A$23,Recepciones!$A$5:$A$2000,"&gt;"&amp;$A707,Recepciones!$A$5:$A$2000,"&lt;="&amp;$A708),MAX(0,C708-C707)))</f>
        <v/>
      </c>
      <c r="E708" s="24" t="str">
        <f aca="false">IF($A708="","",MAX(0,C707+D708-C708))</f>
        <v/>
      </c>
      <c r="F708" s="24" t="str">
        <f aca="false">IF($A708="","",Stock_Diario!F708)</f>
        <v/>
      </c>
      <c r="G708" s="24" t="str">
        <f aca="false">IF($A708="","",IF(SUMIFS(Recepciones!$C$5:$C$2000,Recepciones!$B$5:$B$2000,Config!$A$24,Recepciones!$A$5:$A$2000,"&gt;"&amp;$A707,Recepciones!$A$5:$A$2000,"&lt;="&amp;$A708)&gt;0,SUMIFS(Recepciones!$C$5:$C$2000,Recepciones!$B$5:$B$2000,Config!$A$24,Recepciones!$A$5:$A$2000,"&gt;"&amp;$A707,Recepciones!$A$5:$A$2000,"&lt;="&amp;$A708),MAX(0,F708-F707)))</f>
        <v/>
      </c>
      <c r="H708" s="24" t="str">
        <f aca="false">IF($A708="","",MAX(0,F707+G708-F708))</f>
        <v/>
      </c>
      <c r="I708" s="24" t="str">
        <f aca="false">IF($A708="","",Stock_Diario!G708)</f>
        <v/>
      </c>
      <c r="J708" s="24" t="str">
        <f aca="false">IF($A708="","",IF(SUMIFS(Recepciones!$C$5:$C$2000,Recepciones!$B$5:$B$2000,Config!$A$25,Recepciones!$A$5:$A$2000,"&gt;"&amp;$A707,Recepciones!$A$5:$A$2000,"&lt;="&amp;$A708)&gt;0,SUMIFS(Recepciones!$C$5:$C$2000,Recepciones!$B$5:$B$2000,Config!$A$25,Recepciones!$A$5:$A$2000,"&gt;"&amp;$A707,Recepciones!$A$5:$A$2000,"&lt;="&amp;$A708),MAX(0,I708-I707)))</f>
        <v/>
      </c>
      <c r="K708" s="24" t="str">
        <f aca="false">IF($A708="","",MAX(0,I707+J708-I708))</f>
        <v/>
      </c>
      <c r="L708" s="24" t="str">
        <f aca="false">IF($A708="","",E708+H708+K708)</f>
        <v/>
      </c>
      <c r="M708" s="4" t="str">
        <f aca="false">IF($A708="","",IF(AND(D708+G708+J708&gt;0,SUMIFS(Recepciones!$C$5:$C$2000,Recepciones!$A$5:$A$2000,"&gt;"&amp;$A707,Recepciones!$A$5:$A$2000,"&lt;="&amp;$A708)=0),"Aumento de stock sin recepción registrada",IF(B708&gt;1,"Intervalo de "&amp;B708&amp;" días","")))</f>
        <v/>
      </c>
    </row>
    <row r="709" customFormat="false" ht="15" hidden="false" customHeight="false" outlineLevel="0" collapsed="false">
      <c r="A709" s="5" t="str">
        <f aca="false">IF(Stock_Diario!A709="","",Stock_Diario!A709)</f>
        <v/>
      </c>
      <c r="B709" s="4" t="str">
        <f aca="false">IF($A709="","",$A709-$A708)</f>
        <v/>
      </c>
      <c r="C709" s="24" t="str">
        <f aca="false">IF($A709="","",Stock_Diario!E709)</f>
        <v/>
      </c>
      <c r="D709" s="24" t="str">
        <f aca="false">IF($A709="","",IF(SUMIFS(Recepciones!$C$5:$C$2000,Recepciones!$B$5:$B$2000,Config!$A$23,Recepciones!$A$5:$A$2000,"&gt;"&amp;$A708,Recepciones!$A$5:$A$2000,"&lt;="&amp;$A709)&gt;0,SUMIFS(Recepciones!$C$5:$C$2000,Recepciones!$B$5:$B$2000,Config!$A$23,Recepciones!$A$5:$A$2000,"&gt;"&amp;$A708,Recepciones!$A$5:$A$2000,"&lt;="&amp;$A709),MAX(0,C709-C708)))</f>
        <v/>
      </c>
      <c r="E709" s="24" t="str">
        <f aca="false">IF($A709="","",MAX(0,C708+D709-C709))</f>
        <v/>
      </c>
      <c r="F709" s="24" t="str">
        <f aca="false">IF($A709="","",Stock_Diario!F709)</f>
        <v/>
      </c>
      <c r="G709" s="24" t="str">
        <f aca="false">IF($A709="","",IF(SUMIFS(Recepciones!$C$5:$C$2000,Recepciones!$B$5:$B$2000,Config!$A$24,Recepciones!$A$5:$A$2000,"&gt;"&amp;$A708,Recepciones!$A$5:$A$2000,"&lt;="&amp;$A709)&gt;0,SUMIFS(Recepciones!$C$5:$C$2000,Recepciones!$B$5:$B$2000,Config!$A$24,Recepciones!$A$5:$A$2000,"&gt;"&amp;$A708,Recepciones!$A$5:$A$2000,"&lt;="&amp;$A709),MAX(0,F709-F708)))</f>
        <v/>
      </c>
      <c r="H709" s="24" t="str">
        <f aca="false">IF($A709="","",MAX(0,F708+G709-F709))</f>
        <v/>
      </c>
      <c r="I709" s="24" t="str">
        <f aca="false">IF($A709="","",Stock_Diario!G709)</f>
        <v/>
      </c>
      <c r="J709" s="24" t="str">
        <f aca="false">IF($A709="","",IF(SUMIFS(Recepciones!$C$5:$C$2000,Recepciones!$B$5:$B$2000,Config!$A$25,Recepciones!$A$5:$A$2000,"&gt;"&amp;$A708,Recepciones!$A$5:$A$2000,"&lt;="&amp;$A709)&gt;0,SUMIFS(Recepciones!$C$5:$C$2000,Recepciones!$B$5:$B$2000,Config!$A$25,Recepciones!$A$5:$A$2000,"&gt;"&amp;$A708,Recepciones!$A$5:$A$2000,"&lt;="&amp;$A709),MAX(0,I709-I708)))</f>
        <v/>
      </c>
      <c r="K709" s="24" t="str">
        <f aca="false">IF($A709="","",MAX(0,I708+J709-I709))</f>
        <v/>
      </c>
      <c r="L709" s="24" t="str">
        <f aca="false">IF($A709="","",E709+H709+K709)</f>
        <v/>
      </c>
      <c r="M709" s="4" t="str">
        <f aca="false">IF($A709="","",IF(AND(D709+G709+J709&gt;0,SUMIFS(Recepciones!$C$5:$C$2000,Recepciones!$A$5:$A$2000,"&gt;"&amp;$A708,Recepciones!$A$5:$A$2000,"&lt;="&amp;$A709)=0),"Aumento de stock sin recepción registrada",IF(B709&gt;1,"Intervalo de "&amp;B709&amp;" días","")))</f>
        <v/>
      </c>
    </row>
    <row r="710" customFormat="false" ht="15" hidden="false" customHeight="false" outlineLevel="0" collapsed="false">
      <c r="A710" s="5" t="str">
        <f aca="false">IF(Stock_Diario!A710="","",Stock_Diario!A710)</f>
        <v/>
      </c>
      <c r="B710" s="4" t="str">
        <f aca="false">IF($A710="","",$A710-$A709)</f>
        <v/>
      </c>
      <c r="C710" s="24" t="str">
        <f aca="false">IF($A710="","",Stock_Diario!E710)</f>
        <v/>
      </c>
      <c r="D710" s="24" t="str">
        <f aca="false">IF($A710="","",IF(SUMIFS(Recepciones!$C$5:$C$2000,Recepciones!$B$5:$B$2000,Config!$A$23,Recepciones!$A$5:$A$2000,"&gt;"&amp;$A709,Recepciones!$A$5:$A$2000,"&lt;="&amp;$A710)&gt;0,SUMIFS(Recepciones!$C$5:$C$2000,Recepciones!$B$5:$B$2000,Config!$A$23,Recepciones!$A$5:$A$2000,"&gt;"&amp;$A709,Recepciones!$A$5:$A$2000,"&lt;="&amp;$A710),MAX(0,C710-C709)))</f>
        <v/>
      </c>
      <c r="E710" s="24" t="str">
        <f aca="false">IF($A710="","",MAX(0,C709+D710-C710))</f>
        <v/>
      </c>
      <c r="F710" s="24" t="str">
        <f aca="false">IF($A710="","",Stock_Diario!F710)</f>
        <v/>
      </c>
      <c r="G710" s="24" t="str">
        <f aca="false">IF($A710="","",IF(SUMIFS(Recepciones!$C$5:$C$2000,Recepciones!$B$5:$B$2000,Config!$A$24,Recepciones!$A$5:$A$2000,"&gt;"&amp;$A709,Recepciones!$A$5:$A$2000,"&lt;="&amp;$A710)&gt;0,SUMIFS(Recepciones!$C$5:$C$2000,Recepciones!$B$5:$B$2000,Config!$A$24,Recepciones!$A$5:$A$2000,"&gt;"&amp;$A709,Recepciones!$A$5:$A$2000,"&lt;="&amp;$A710),MAX(0,F710-F709)))</f>
        <v/>
      </c>
      <c r="H710" s="24" t="str">
        <f aca="false">IF($A710="","",MAX(0,F709+G710-F710))</f>
        <v/>
      </c>
      <c r="I710" s="24" t="str">
        <f aca="false">IF($A710="","",Stock_Diario!G710)</f>
        <v/>
      </c>
      <c r="J710" s="24" t="str">
        <f aca="false">IF($A710="","",IF(SUMIFS(Recepciones!$C$5:$C$2000,Recepciones!$B$5:$B$2000,Config!$A$25,Recepciones!$A$5:$A$2000,"&gt;"&amp;$A709,Recepciones!$A$5:$A$2000,"&lt;="&amp;$A710)&gt;0,SUMIFS(Recepciones!$C$5:$C$2000,Recepciones!$B$5:$B$2000,Config!$A$25,Recepciones!$A$5:$A$2000,"&gt;"&amp;$A709,Recepciones!$A$5:$A$2000,"&lt;="&amp;$A710),MAX(0,I710-I709)))</f>
        <v/>
      </c>
      <c r="K710" s="24" t="str">
        <f aca="false">IF($A710="","",MAX(0,I709+J710-I710))</f>
        <v/>
      </c>
      <c r="L710" s="24" t="str">
        <f aca="false">IF($A710="","",E710+H710+K710)</f>
        <v/>
      </c>
      <c r="M710" s="4" t="str">
        <f aca="false">IF($A710="","",IF(AND(D710+G710+J710&gt;0,SUMIFS(Recepciones!$C$5:$C$2000,Recepciones!$A$5:$A$2000,"&gt;"&amp;$A709,Recepciones!$A$5:$A$2000,"&lt;="&amp;$A710)=0),"Aumento de stock sin recepción registrada",IF(B710&gt;1,"Intervalo de "&amp;B710&amp;" días","")))</f>
        <v/>
      </c>
    </row>
    <row r="711" customFormat="false" ht="15" hidden="false" customHeight="false" outlineLevel="0" collapsed="false">
      <c r="A711" s="5" t="str">
        <f aca="false">IF(Stock_Diario!A711="","",Stock_Diario!A711)</f>
        <v/>
      </c>
      <c r="B711" s="4" t="str">
        <f aca="false">IF($A711="","",$A711-$A710)</f>
        <v/>
      </c>
      <c r="C711" s="24" t="str">
        <f aca="false">IF($A711="","",Stock_Diario!E711)</f>
        <v/>
      </c>
      <c r="D711" s="24" t="str">
        <f aca="false">IF($A711="","",IF(SUMIFS(Recepciones!$C$5:$C$2000,Recepciones!$B$5:$B$2000,Config!$A$23,Recepciones!$A$5:$A$2000,"&gt;"&amp;$A710,Recepciones!$A$5:$A$2000,"&lt;="&amp;$A711)&gt;0,SUMIFS(Recepciones!$C$5:$C$2000,Recepciones!$B$5:$B$2000,Config!$A$23,Recepciones!$A$5:$A$2000,"&gt;"&amp;$A710,Recepciones!$A$5:$A$2000,"&lt;="&amp;$A711),MAX(0,C711-C710)))</f>
        <v/>
      </c>
      <c r="E711" s="24" t="str">
        <f aca="false">IF($A711="","",MAX(0,C710+D711-C711))</f>
        <v/>
      </c>
      <c r="F711" s="24" t="str">
        <f aca="false">IF($A711="","",Stock_Diario!F711)</f>
        <v/>
      </c>
      <c r="G711" s="24" t="str">
        <f aca="false">IF($A711="","",IF(SUMIFS(Recepciones!$C$5:$C$2000,Recepciones!$B$5:$B$2000,Config!$A$24,Recepciones!$A$5:$A$2000,"&gt;"&amp;$A710,Recepciones!$A$5:$A$2000,"&lt;="&amp;$A711)&gt;0,SUMIFS(Recepciones!$C$5:$C$2000,Recepciones!$B$5:$B$2000,Config!$A$24,Recepciones!$A$5:$A$2000,"&gt;"&amp;$A710,Recepciones!$A$5:$A$2000,"&lt;="&amp;$A711),MAX(0,F711-F710)))</f>
        <v/>
      </c>
      <c r="H711" s="24" t="str">
        <f aca="false">IF($A711="","",MAX(0,F710+G711-F711))</f>
        <v/>
      </c>
      <c r="I711" s="24" t="str">
        <f aca="false">IF($A711="","",Stock_Diario!G711)</f>
        <v/>
      </c>
      <c r="J711" s="24" t="str">
        <f aca="false">IF($A711="","",IF(SUMIFS(Recepciones!$C$5:$C$2000,Recepciones!$B$5:$B$2000,Config!$A$25,Recepciones!$A$5:$A$2000,"&gt;"&amp;$A710,Recepciones!$A$5:$A$2000,"&lt;="&amp;$A711)&gt;0,SUMIFS(Recepciones!$C$5:$C$2000,Recepciones!$B$5:$B$2000,Config!$A$25,Recepciones!$A$5:$A$2000,"&gt;"&amp;$A710,Recepciones!$A$5:$A$2000,"&lt;="&amp;$A711),MAX(0,I711-I710)))</f>
        <v/>
      </c>
      <c r="K711" s="24" t="str">
        <f aca="false">IF($A711="","",MAX(0,I710+J711-I711))</f>
        <v/>
      </c>
      <c r="L711" s="24" t="str">
        <f aca="false">IF($A711="","",E711+H711+K711)</f>
        <v/>
      </c>
      <c r="M711" s="4" t="str">
        <f aca="false">IF($A711="","",IF(AND(D711+G711+J711&gt;0,SUMIFS(Recepciones!$C$5:$C$2000,Recepciones!$A$5:$A$2000,"&gt;"&amp;$A710,Recepciones!$A$5:$A$2000,"&lt;="&amp;$A711)=0),"Aumento de stock sin recepción registrada",IF(B711&gt;1,"Intervalo de "&amp;B711&amp;" días","")))</f>
        <v/>
      </c>
    </row>
    <row r="712" customFormat="false" ht="15" hidden="false" customHeight="false" outlineLevel="0" collapsed="false">
      <c r="A712" s="5" t="str">
        <f aca="false">IF(Stock_Diario!A712="","",Stock_Diario!A712)</f>
        <v/>
      </c>
      <c r="B712" s="4" t="str">
        <f aca="false">IF($A712="","",$A712-$A711)</f>
        <v/>
      </c>
      <c r="C712" s="24" t="str">
        <f aca="false">IF($A712="","",Stock_Diario!E712)</f>
        <v/>
      </c>
      <c r="D712" s="24" t="str">
        <f aca="false">IF($A712="","",IF(SUMIFS(Recepciones!$C$5:$C$2000,Recepciones!$B$5:$B$2000,Config!$A$23,Recepciones!$A$5:$A$2000,"&gt;"&amp;$A711,Recepciones!$A$5:$A$2000,"&lt;="&amp;$A712)&gt;0,SUMIFS(Recepciones!$C$5:$C$2000,Recepciones!$B$5:$B$2000,Config!$A$23,Recepciones!$A$5:$A$2000,"&gt;"&amp;$A711,Recepciones!$A$5:$A$2000,"&lt;="&amp;$A712),MAX(0,C712-C711)))</f>
        <v/>
      </c>
      <c r="E712" s="24" t="str">
        <f aca="false">IF($A712="","",MAX(0,C711+D712-C712))</f>
        <v/>
      </c>
      <c r="F712" s="24" t="str">
        <f aca="false">IF($A712="","",Stock_Diario!F712)</f>
        <v/>
      </c>
      <c r="G712" s="24" t="str">
        <f aca="false">IF($A712="","",IF(SUMIFS(Recepciones!$C$5:$C$2000,Recepciones!$B$5:$B$2000,Config!$A$24,Recepciones!$A$5:$A$2000,"&gt;"&amp;$A711,Recepciones!$A$5:$A$2000,"&lt;="&amp;$A712)&gt;0,SUMIFS(Recepciones!$C$5:$C$2000,Recepciones!$B$5:$B$2000,Config!$A$24,Recepciones!$A$5:$A$2000,"&gt;"&amp;$A711,Recepciones!$A$5:$A$2000,"&lt;="&amp;$A712),MAX(0,F712-F711)))</f>
        <v/>
      </c>
      <c r="H712" s="24" t="str">
        <f aca="false">IF($A712="","",MAX(0,F711+G712-F712))</f>
        <v/>
      </c>
      <c r="I712" s="24" t="str">
        <f aca="false">IF($A712="","",Stock_Diario!G712)</f>
        <v/>
      </c>
      <c r="J712" s="24" t="str">
        <f aca="false">IF($A712="","",IF(SUMIFS(Recepciones!$C$5:$C$2000,Recepciones!$B$5:$B$2000,Config!$A$25,Recepciones!$A$5:$A$2000,"&gt;"&amp;$A711,Recepciones!$A$5:$A$2000,"&lt;="&amp;$A712)&gt;0,SUMIFS(Recepciones!$C$5:$C$2000,Recepciones!$B$5:$B$2000,Config!$A$25,Recepciones!$A$5:$A$2000,"&gt;"&amp;$A711,Recepciones!$A$5:$A$2000,"&lt;="&amp;$A712),MAX(0,I712-I711)))</f>
        <v/>
      </c>
      <c r="K712" s="24" t="str">
        <f aca="false">IF($A712="","",MAX(0,I711+J712-I712))</f>
        <v/>
      </c>
      <c r="L712" s="24" t="str">
        <f aca="false">IF($A712="","",E712+H712+K712)</f>
        <v/>
      </c>
      <c r="M712" s="4" t="str">
        <f aca="false">IF($A712="","",IF(AND(D712+G712+J712&gt;0,SUMIFS(Recepciones!$C$5:$C$2000,Recepciones!$A$5:$A$2000,"&gt;"&amp;$A711,Recepciones!$A$5:$A$2000,"&lt;="&amp;$A712)=0),"Aumento de stock sin recepción registrada",IF(B712&gt;1,"Intervalo de "&amp;B712&amp;" días","")))</f>
        <v/>
      </c>
    </row>
    <row r="713" customFormat="false" ht="15" hidden="false" customHeight="false" outlineLevel="0" collapsed="false">
      <c r="A713" s="5" t="str">
        <f aca="false">IF(Stock_Diario!A713="","",Stock_Diario!A713)</f>
        <v/>
      </c>
      <c r="B713" s="4" t="str">
        <f aca="false">IF($A713="","",$A713-$A712)</f>
        <v/>
      </c>
      <c r="C713" s="24" t="str">
        <f aca="false">IF($A713="","",Stock_Diario!E713)</f>
        <v/>
      </c>
      <c r="D713" s="24" t="str">
        <f aca="false">IF($A713="","",IF(SUMIFS(Recepciones!$C$5:$C$2000,Recepciones!$B$5:$B$2000,Config!$A$23,Recepciones!$A$5:$A$2000,"&gt;"&amp;$A712,Recepciones!$A$5:$A$2000,"&lt;="&amp;$A713)&gt;0,SUMIFS(Recepciones!$C$5:$C$2000,Recepciones!$B$5:$B$2000,Config!$A$23,Recepciones!$A$5:$A$2000,"&gt;"&amp;$A712,Recepciones!$A$5:$A$2000,"&lt;="&amp;$A713),MAX(0,C713-C712)))</f>
        <v/>
      </c>
      <c r="E713" s="24" t="str">
        <f aca="false">IF($A713="","",MAX(0,C712+D713-C713))</f>
        <v/>
      </c>
      <c r="F713" s="24" t="str">
        <f aca="false">IF($A713="","",Stock_Diario!F713)</f>
        <v/>
      </c>
      <c r="G713" s="24" t="str">
        <f aca="false">IF($A713="","",IF(SUMIFS(Recepciones!$C$5:$C$2000,Recepciones!$B$5:$B$2000,Config!$A$24,Recepciones!$A$5:$A$2000,"&gt;"&amp;$A712,Recepciones!$A$5:$A$2000,"&lt;="&amp;$A713)&gt;0,SUMIFS(Recepciones!$C$5:$C$2000,Recepciones!$B$5:$B$2000,Config!$A$24,Recepciones!$A$5:$A$2000,"&gt;"&amp;$A712,Recepciones!$A$5:$A$2000,"&lt;="&amp;$A713),MAX(0,F713-F712)))</f>
        <v/>
      </c>
      <c r="H713" s="24" t="str">
        <f aca="false">IF($A713="","",MAX(0,F712+G713-F713))</f>
        <v/>
      </c>
      <c r="I713" s="24" t="str">
        <f aca="false">IF($A713="","",Stock_Diario!G713)</f>
        <v/>
      </c>
      <c r="J713" s="24" t="str">
        <f aca="false">IF($A713="","",IF(SUMIFS(Recepciones!$C$5:$C$2000,Recepciones!$B$5:$B$2000,Config!$A$25,Recepciones!$A$5:$A$2000,"&gt;"&amp;$A712,Recepciones!$A$5:$A$2000,"&lt;="&amp;$A713)&gt;0,SUMIFS(Recepciones!$C$5:$C$2000,Recepciones!$B$5:$B$2000,Config!$A$25,Recepciones!$A$5:$A$2000,"&gt;"&amp;$A712,Recepciones!$A$5:$A$2000,"&lt;="&amp;$A713),MAX(0,I713-I712)))</f>
        <v/>
      </c>
      <c r="K713" s="24" t="str">
        <f aca="false">IF($A713="","",MAX(0,I712+J713-I713))</f>
        <v/>
      </c>
      <c r="L713" s="24" t="str">
        <f aca="false">IF($A713="","",E713+H713+K713)</f>
        <v/>
      </c>
      <c r="M713" s="4" t="str">
        <f aca="false">IF($A713="","",IF(AND(D713+G713+J713&gt;0,SUMIFS(Recepciones!$C$5:$C$2000,Recepciones!$A$5:$A$2000,"&gt;"&amp;$A712,Recepciones!$A$5:$A$2000,"&lt;="&amp;$A713)=0),"Aumento de stock sin recepción registrada",IF(B713&gt;1,"Intervalo de "&amp;B713&amp;" días","")))</f>
        <v/>
      </c>
    </row>
    <row r="714" customFormat="false" ht="15" hidden="false" customHeight="false" outlineLevel="0" collapsed="false">
      <c r="A714" s="5" t="str">
        <f aca="false">IF(Stock_Diario!A714="","",Stock_Diario!A714)</f>
        <v/>
      </c>
      <c r="B714" s="4" t="str">
        <f aca="false">IF($A714="","",$A714-$A713)</f>
        <v/>
      </c>
      <c r="C714" s="24" t="str">
        <f aca="false">IF($A714="","",Stock_Diario!E714)</f>
        <v/>
      </c>
      <c r="D714" s="24" t="str">
        <f aca="false">IF($A714="","",IF(SUMIFS(Recepciones!$C$5:$C$2000,Recepciones!$B$5:$B$2000,Config!$A$23,Recepciones!$A$5:$A$2000,"&gt;"&amp;$A713,Recepciones!$A$5:$A$2000,"&lt;="&amp;$A714)&gt;0,SUMIFS(Recepciones!$C$5:$C$2000,Recepciones!$B$5:$B$2000,Config!$A$23,Recepciones!$A$5:$A$2000,"&gt;"&amp;$A713,Recepciones!$A$5:$A$2000,"&lt;="&amp;$A714),MAX(0,C714-C713)))</f>
        <v/>
      </c>
      <c r="E714" s="24" t="str">
        <f aca="false">IF($A714="","",MAX(0,C713+D714-C714))</f>
        <v/>
      </c>
      <c r="F714" s="24" t="str">
        <f aca="false">IF($A714="","",Stock_Diario!F714)</f>
        <v/>
      </c>
      <c r="G714" s="24" t="str">
        <f aca="false">IF($A714="","",IF(SUMIFS(Recepciones!$C$5:$C$2000,Recepciones!$B$5:$B$2000,Config!$A$24,Recepciones!$A$5:$A$2000,"&gt;"&amp;$A713,Recepciones!$A$5:$A$2000,"&lt;="&amp;$A714)&gt;0,SUMIFS(Recepciones!$C$5:$C$2000,Recepciones!$B$5:$B$2000,Config!$A$24,Recepciones!$A$5:$A$2000,"&gt;"&amp;$A713,Recepciones!$A$5:$A$2000,"&lt;="&amp;$A714),MAX(0,F714-F713)))</f>
        <v/>
      </c>
      <c r="H714" s="24" t="str">
        <f aca="false">IF($A714="","",MAX(0,F713+G714-F714))</f>
        <v/>
      </c>
      <c r="I714" s="24" t="str">
        <f aca="false">IF($A714="","",Stock_Diario!G714)</f>
        <v/>
      </c>
      <c r="J714" s="24" t="str">
        <f aca="false">IF($A714="","",IF(SUMIFS(Recepciones!$C$5:$C$2000,Recepciones!$B$5:$B$2000,Config!$A$25,Recepciones!$A$5:$A$2000,"&gt;"&amp;$A713,Recepciones!$A$5:$A$2000,"&lt;="&amp;$A714)&gt;0,SUMIFS(Recepciones!$C$5:$C$2000,Recepciones!$B$5:$B$2000,Config!$A$25,Recepciones!$A$5:$A$2000,"&gt;"&amp;$A713,Recepciones!$A$5:$A$2000,"&lt;="&amp;$A714),MAX(0,I714-I713)))</f>
        <v/>
      </c>
      <c r="K714" s="24" t="str">
        <f aca="false">IF($A714="","",MAX(0,I713+J714-I714))</f>
        <v/>
      </c>
      <c r="L714" s="24" t="str">
        <f aca="false">IF($A714="","",E714+H714+K714)</f>
        <v/>
      </c>
      <c r="M714" s="4" t="str">
        <f aca="false">IF($A714="","",IF(AND(D714+G714+J714&gt;0,SUMIFS(Recepciones!$C$5:$C$2000,Recepciones!$A$5:$A$2000,"&gt;"&amp;$A713,Recepciones!$A$5:$A$2000,"&lt;="&amp;$A714)=0),"Aumento de stock sin recepción registrada",IF(B714&gt;1,"Intervalo de "&amp;B714&amp;" días","")))</f>
        <v/>
      </c>
    </row>
    <row r="715" customFormat="false" ht="15" hidden="false" customHeight="false" outlineLevel="0" collapsed="false">
      <c r="A715" s="5" t="str">
        <f aca="false">IF(Stock_Diario!A715="","",Stock_Diario!A715)</f>
        <v/>
      </c>
      <c r="B715" s="4" t="str">
        <f aca="false">IF($A715="","",$A715-$A714)</f>
        <v/>
      </c>
      <c r="C715" s="24" t="str">
        <f aca="false">IF($A715="","",Stock_Diario!E715)</f>
        <v/>
      </c>
      <c r="D715" s="24" t="str">
        <f aca="false">IF($A715="","",IF(SUMIFS(Recepciones!$C$5:$C$2000,Recepciones!$B$5:$B$2000,Config!$A$23,Recepciones!$A$5:$A$2000,"&gt;"&amp;$A714,Recepciones!$A$5:$A$2000,"&lt;="&amp;$A715)&gt;0,SUMIFS(Recepciones!$C$5:$C$2000,Recepciones!$B$5:$B$2000,Config!$A$23,Recepciones!$A$5:$A$2000,"&gt;"&amp;$A714,Recepciones!$A$5:$A$2000,"&lt;="&amp;$A715),MAX(0,C715-C714)))</f>
        <v/>
      </c>
      <c r="E715" s="24" t="str">
        <f aca="false">IF($A715="","",MAX(0,C714+D715-C715))</f>
        <v/>
      </c>
      <c r="F715" s="24" t="str">
        <f aca="false">IF($A715="","",Stock_Diario!F715)</f>
        <v/>
      </c>
      <c r="G715" s="24" t="str">
        <f aca="false">IF($A715="","",IF(SUMIFS(Recepciones!$C$5:$C$2000,Recepciones!$B$5:$B$2000,Config!$A$24,Recepciones!$A$5:$A$2000,"&gt;"&amp;$A714,Recepciones!$A$5:$A$2000,"&lt;="&amp;$A715)&gt;0,SUMIFS(Recepciones!$C$5:$C$2000,Recepciones!$B$5:$B$2000,Config!$A$24,Recepciones!$A$5:$A$2000,"&gt;"&amp;$A714,Recepciones!$A$5:$A$2000,"&lt;="&amp;$A715),MAX(0,F715-F714)))</f>
        <v/>
      </c>
      <c r="H715" s="24" t="str">
        <f aca="false">IF($A715="","",MAX(0,F714+G715-F715))</f>
        <v/>
      </c>
      <c r="I715" s="24" t="str">
        <f aca="false">IF($A715="","",Stock_Diario!G715)</f>
        <v/>
      </c>
      <c r="J715" s="24" t="str">
        <f aca="false">IF($A715="","",IF(SUMIFS(Recepciones!$C$5:$C$2000,Recepciones!$B$5:$B$2000,Config!$A$25,Recepciones!$A$5:$A$2000,"&gt;"&amp;$A714,Recepciones!$A$5:$A$2000,"&lt;="&amp;$A715)&gt;0,SUMIFS(Recepciones!$C$5:$C$2000,Recepciones!$B$5:$B$2000,Config!$A$25,Recepciones!$A$5:$A$2000,"&gt;"&amp;$A714,Recepciones!$A$5:$A$2000,"&lt;="&amp;$A715),MAX(0,I715-I714)))</f>
        <v/>
      </c>
      <c r="K715" s="24" t="str">
        <f aca="false">IF($A715="","",MAX(0,I714+J715-I715))</f>
        <v/>
      </c>
      <c r="L715" s="24" t="str">
        <f aca="false">IF($A715="","",E715+H715+K715)</f>
        <v/>
      </c>
      <c r="M715" s="4" t="str">
        <f aca="false">IF($A715="","",IF(AND(D715+G715+J715&gt;0,SUMIFS(Recepciones!$C$5:$C$2000,Recepciones!$A$5:$A$2000,"&gt;"&amp;$A714,Recepciones!$A$5:$A$2000,"&lt;="&amp;$A715)=0),"Aumento de stock sin recepción registrada",IF(B715&gt;1,"Intervalo de "&amp;B715&amp;" días","")))</f>
        <v/>
      </c>
    </row>
    <row r="716" customFormat="false" ht="15" hidden="false" customHeight="false" outlineLevel="0" collapsed="false">
      <c r="A716" s="5" t="str">
        <f aca="false">IF(Stock_Diario!A716="","",Stock_Diario!A716)</f>
        <v/>
      </c>
      <c r="B716" s="4" t="str">
        <f aca="false">IF($A716="","",$A716-$A715)</f>
        <v/>
      </c>
      <c r="C716" s="24" t="str">
        <f aca="false">IF($A716="","",Stock_Diario!E716)</f>
        <v/>
      </c>
      <c r="D716" s="24" t="str">
        <f aca="false">IF($A716="","",IF(SUMIFS(Recepciones!$C$5:$C$2000,Recepciones!$B$5:$B$2000,Config!$A$23,Recepciones!$A$5:$A$2000,"&gt;"&amp;$A715,Recepciones!$A$5:$A$2000,"&lt;="&amp;$A716)&gt;0,SUMIFS(Recepciones!$C$5:$C$2000,Recepciones!$B$5:$B$2000,Config!$A$23,Recepciones!$A$5:$A$2000,"&gt;"&amp;$A715,Recepciones!$A$5:$A$2000,"&lt;="&amp;$A716),MAX(0,C716-C715)))</f>
        <v/>
      </c>
      <c r="E716" s="24" t="str">
        <f aca="false">IF($A716="","",MAX(0,C715+D716-C716))</f>
        <v/>
      </c>
      <c r="F716" s="24" t="str">
        <f aca="false">IF($A716="","",Stock_Diario!F716)</f>
        <v/>
      </c>
      <c r="G716" s="24" t="str">
        <f aca="false">IF($A716="","",IF(SUMIFS(Recepciones!$C$5:$C$2000,Recepciones!$B$5:$B$2000,Config!$A$24,Recepciones!$A$5:$A$2000,"&gt;"&amp;$A715,Recepciones!$A$5:$A$2000,"&lt;="&amp;$A716)&gt;0,SUMIFS(Recepciones!$C$5:$C$2000,Recepciones!$B$5:$B$2000,Config!$A$24,Recepciones!$A$5:$A$2000,"&gt;"&amp;$A715,Recepciones!$A$5:$A$2000,"&lt;="&amp;$A716),MAX(0,F716-F715)))</f>
        <v/>
      </c>
      <c r="H716" s="24" t="str">
        <f aca="false">IF($A716="","",MAX(0,F715+G716-F716))</f>
        <v/>
      </c>
      <c r="I716" s="24" t="str">
        <f aca="false">IF($A716="","",Stock_Diario!G716)</f>
        <v/>
      </c>
      <c r="J716" s="24" t="str">
        <f aca="false">IF($A716="","",IF(SUMIFS(Recepciones!$C$5:$C$2000,Recepciones!$B$5:$B$2000,Config!$A$25,Recepciones!$A$5:$A$2000,"&gt;"&amp;$A715,Recepciones!$A$5:$A$2000,"&lt;="&amp;$A716)&gt;0,SUMIFS(Recepciones!$C$5:$C$2000,Recepciones!$B$5:$B$2000,Config!$A$25,Recepciones!$A$5:$A$2000,"&gt;"&amp;$A715,Recepciones!$A$5:$A$2000,"&lt;="&amp;$A716),MAX(0,I716-I715)))</f>
        <v/>
      </c>
      <c r="K716" s="24" t="str">
        <f aca="false">IF($A716="","",MAX(0,I715+J716-I716))</f>
        <v/>
      </c>
      <c r="L716" s="24" t="str">
        <f aca="false">IF($A716="","",E716+H716+K716)</f>
        <v/>
      </c>
      <c r="M716" s="4" t="str">
        <f aca="false">IF($A716="","",IF(AND(D716+G716+J716&gt;0,SUMIFS(Recepciones!$C$5:$C$2000,Recepciones!$A$5:$A$2000,"&gt;"&amp;$A715,Recepciones!$A$5:$A$2000,"&lt;="&amp;$A716)=0),"Aumento de stock sin recepción registrada",IF(B716&gt;1,"Intervalo de "&amp;B716&amp;" días","")))</f>
        <v/>
      </c>
    </row>
    <row r="717" customFormat="false" ht="15" hidden="false" customHeight="false" outlineLevel="0" collapsed="false">
      <c r="A717" s="5" t="str">
        <f aca="false">IF(Stock_Diario!A717="","",Stock_Diario!A717)</f>
        <v/>
      </c>
      <c r="B717" s="4" t="str">
        <f aca="false">IF($A717="","",$A717-$A716)</f>
        <v/>
      </c>
      <c r="C717" s="24" t="str">
        <f aca="false">IF($A717="","",Stock_Diario!E717)</f>
        <v/>
      </c>
      <c r="D717" s="24" t="str">
        <f aca="false">IF($A717="","",IF(SUMIFS(Recepciones!$C$5:$C$2000,Recepciones!$B$5:$B$2000,Config!$A$23,Recepciones!$A$5:$A$2000,"&gt;"&amp;$A716,Recepciones!$A$5:$A$2000,"&lt;="&amp;$A717)&gt;0,SUMIFS(Recepciones!$C$5:$C$2000,Recepciones!$B$5:$B$2000,Config!$A$23,Recepciones!$A$5:$A$2000,"&gt;"&amp;$A716,Recepciones!$A$5:$A$2000,"&lt;="&amp;$A717),MAX(0,C717-C716)))</f>
        <v/>
      </c>
      <c r="E717" s="24" t="str">
        <f aca="false">IF($A717="","",MAX(0,C716+D717-C717))</f>
        <v/>
      </c>
      <c r="F717" s="24" t="str">
        <f aca="false">IF($A717="","",Stock_Diario!F717)</f>
        <v/>
      </c>
      <c r="G717" s="24" t="str">
        <f aca="false">IF($A717="","",IF(SUMIFS(Recepciones!$C$5:$C$2000,Recepciones!$B$5:$B$2000,Config!$A$24,Recepciones!$A$5:$A$2000,"&gt;"&amp;$A716,Recepciones!$A$5:$A$2000,"&lt;="&amp;$A717)&gt;0,SUMIFS(Recepciones!$C$5:$C$2000,Recepciones!$B$5:$B$2000,Config!$A$24,Recepciones!$A$5:$A$2000,"&gt;"&amp;$A716,Recepciones!$A$5:$A$2000,"&lt;="&amp;$A717),MAX(0,F717-F716)))</f>
        <v/>
      </c>
      <c r="H717" s="24" t="str">
        <f aca="false">IF($A717="","",MAX(0,F716+G717-F717))</f>
        <v/>
      </c>
      <c r="I717" s="24" t="str">
        <f aca="false">IF($A717="","",Stock_Diario!G717)</f>
        <v/>
      </c>
      <c r="J717" s="24" t="str">
        <f aca="false">IF($A717="","",IF(SUMIFS(Recepciones!$C$5:$C$2000,Recepciones!$B$5:$B$2000,Config!$A$25,Recepciones!$A$5:$A$2000,"&gt;"&amp;$A716,Recepciones!$A$5:$A$2000,"&lt;="&amp;$A717)&gt;0,SUMIFS(Recepciones!$C$5:$C$2000,Recepciones!$B$5:$B$2000,Config!$A$25,Recepciones!$A$5:$A$2000,"&gt;"&amp;$A716,Recepciones!$A$5:$A$2000,"&lt;="&amp;$A717),MAX(0,I717-I716)))</f>
        <v/>
      </c>
      <c r="K717" s="24" t="str">
        <f aca="false">IF($A717="","",MAX(0,I716+J717-I717))</f>
        <v/>
      </c>
      <c r="L717" s="24" t="str">
        <f aca="false">IF($A717="","",E717+H717+K717)</f>
        <v/>
      </c>
      <c r="M717" s="4" t="str">
        <f aca="false">IF($A717="","",IF(AND(D717+G717+J717&gt;0,SUMIFS(Recepciones!$C$5:$C$2000,Recepciones!$A$5:$A$2000,"&gt;"&amp;$A716,Recepciones!$A$5:$A$2000,"&lt;="&amp;$A717)=0),"Aumento de stock sin recepción registrada",IF(B717&gt;1,"Intervalo de "&amp;B717&amp;" días","")))</f>
        <v/>
      </c>
    </row>
    <row r="718" customFormat="false" ht="15" hidden="false" customHeight="false" outlineLevel="0" collapsed="false">
      <c r="A718" s="5" t="str">
        <f aca="false">IF(Stock_Diario!A718="","",Stock_Diario!A718)</f>
        <v/>
      </c>
      <c r="B718" s="4" t="str">
        <f aca="false">IF($A718="","",$A718-$A717)</f>
        <v/>
      </c>
      <c r="C718" s="24" t="str">
        <f aca="false">IF($A718="","",Stock_Diario!E718)</f>
        <v/>
      </c>
      <c r="D718" s="24" t="str">
        <f aca="false">IF($A718="","",IF(SUMIFS(Recepciones!$C$5:$C$2000,Recepciones!$B$5:$B$2000,Config!$A$23,Recepciones!$A$5:$A$2000,"&gt;"&amp;$A717,Recepciones!$A$5:$A$2000,"&lt;="&amp;$A718)&gt;0,SUMIFS(Recepciones!$C$5:$C$2000,Recepciones!$B$5:$B$2000,Config!$A$23,Recepciones!$A$5:$A$2000,"&gt;"&amp;$A717,Recepciones!$A$5:$A$2000,"&lt;="&amp;$A718),MAX(0,C718-C717)))</f>
        <v/>
      </c>
      <c r="E718" s="24" t="str">
        <f aca="false">IF($A718="","",MAX(0,C717+D718-C718))</f>
        <v/>
      </c>
      <c r="F718" s="24" t="str">
        <f aca="false">IF($A718="","",Stock_Diario!F718)</f>
        <v/>
      </c>
      <c r="G718" s="24" t="str">
        <f aca="false">IF($A718="","",IF(SUMIFS(Recepciones!$C$5:$C$2000,Recepciones!$B$5:$B$2000,Config!$A$24,Recepciones!$A$5:$A$2000,"&gt;"&amp;$A717,Recepciones!$A$5:$A$2000,"&lt;="&amp;$A718)&gt;0,SUMIFS(Recepciones!$C$5:$C$2000,Recepciones!$B$5:$B$2000,Config!$A$24,Recepciones!$A$5:$A$2000,"&gt;"&amp;$A717,Recepciones!$A$5:$A$2000,"&lt;="&amp;$A718),MAX(0,F718-F717)))</f>
        <v/>
      </c>
      <c r="H718" s="24" t="str">
        <f aca="false">IF($A718="","",MAX(0,F717+G718-F718))</f>
        <v/>
      </c>
      <c r="I718" s="24" t="str">
        <f aca="false">IF($A718="","",Stock_Diario!G718)</f>
        <v/>
      </c>
      <c r="J718" s="24" t="str">
        <f aca="false">IF($A718="","",IF(SUMIFS(Recepciones!$C$5:$C$2000,Recepciones!$B$5:$B$2000,Config!$A$25,Recepciones!$A$5:$A$2000,"&gt;"&amp;$A717,Recepciones!$A$5:$A$2000,"&lt;="&amp;$A718)&gt;0,SUMIFS(Recepciones!$C$5:$C$2000,Recepciones!$B$5:$B$2000,Config!$A$25,Recepciones!$A$5:$A$2000,"&gt;"&amp;$A717,Recepciones!$A$5:$A$2000,"&lt;="&amp;$A718),MAX(0,I718-I717)))</f>
        <v/>
      </c>
      <c r="K718" s="24" t="str">
        <f aca="false">IF($A718="","",MAX(0,I717+J718-I718))</f>
        <v/>
      </c>
      <c r="L718" s="24" t="str">
        <f aca="false">IF($A718="","",E718+H718+K718)</f>
        <v/>
      </c>
      <c r="M718" s="4" t="str">
        <f aca="false">IF($A718="","",IF(AND(D718+G718+J718&gt;0,SUMIFS(Recepciones!$C$5:$C$2000,Recepciones!$A$5:$A$2000,"&gt;"&amp;$A717,Recepciones!$A$5:$A$2000,"&lt;="&amp;$A718)=0),"Aumento de stock sin recepción registrada",IF(B718&gt;1,"Intervalo de "&amp;B718&amp;" días","")))</f>
        <v/>
      </c>
    </row>
    <row r="719" customFormat="false" ht="15" hidden="false" customHeight="false" outlineLevel="0" collapsed="false">
      <c r="A719" s="5" t="str">
        <f aca="false">IF(Stock_Diario!A719="","",Stock_Diario!A719)</f>
        <v/>
      </c>
      <c r="B719" s="4" t="str">
        <f aca="false">IF($A719="","",$A719-$A718)</f>
        <v/>
      </c>
      <c r="C719" s="24" t="str">
        <f aca="false">IF($A719="","",Stock_Diario!E719)</f>
        <v/>
      </c>
      <c r="D719" s="24" t="str">
        <f aca="false">IF($A719="","",IF(SUMIFS(Recepciones!$C$5:$C$2000,Recepciones!$B$5:$B$2000,Config!$A$23,Recepciones!$A$5:$A$2000,"&gt;"&amp;$A718,Recepciones!$A$5:$A$2000,"&lt;="&amp;$A719)&gt;0,SUMIFS(Recepciones!$C$5:$C$2000,Recepciones!$B$5:$B$2000,Config!$A$23,Recepciones!$A$5:$A$2000,"&gt;"&amp;$A718,Recepciones!$A$5:$A$2000,"&lt;="&amp;$A719),MAX(0,C719-C718)))</f>
        <v/>
      </c>
      <c r="E719" s="24" t="str">
        <f aca="false">IF($A719="","",MAX(0,C718+D719-C719))</f>
        <v/>
      </c>
      <c r="F719" s="24" t="str">
        <f aca="false">IF($A719="","",Stock_Diario!F719)</f>
        <v/>
      </c>
      <c r="G719" s="24" t="str">
        <f aca="false">IF($A719="","",IF(SUMIFS(Recepciones!$C$5:$C$2000,Recepciones!$B$5:$B$2000,Config!$A$24,Recepciones!$A$5:$A$2000,"&gt;"&amp;$A718,Recepciones!$A$5:$A$2000,"&lt;="&amp;$A719)&gt;0,SUMIFS(Recepciones!$C$5:$C$2000,Recepciones!$B$5:$B$2000,Config!$A$24,Recepciones!$A$5:$A$2000,"&gt;"&amp;$A718,Recepciones!$A$5:$A$2000,"&lt;="&amp;$A719),MAX(0,F719-F718)))</f>
        <v/>
      </c>
      <c r="H719" s="24" t="str">
        <f aca="false">IF($A719="","",MAX(0,F718+G719-F719))</f>
        <v/>
      </c>
      <c r="I719" s="24" t="str">
        <f aca="false">IF($A719="","",Stock_Diario!G719)</f>
        <v/>
      </c>
      <c r="J719" s="24" t="str">
        <f aca="false">IF($A719="","",IF(SUMIFS(Recepciones!$C$5:$C$2000,Recepciones!$B$5:$B$2000,Config!$A$25,Recepciones!$A$5:$A$2000,"&gt;"&amp;$A718,Recepciones!$A$5:$A$2000,"&lt;="&amp;$A719)&gt;0,SUMIFS(Recepciones!$C$5:$C$2000,Recepciones!$B$5:$B$2000,Config!$A$25,Recepciones!$A$5:$A$2000,"&gt;"&amp;$A718,Recepciones!$A$5:$A$2000,"&lt;="&amp;$A719),MAX(0,I719-I718)))</f>
        <v/>
      </c>
      <c r="K719" s="24" t="str">
        <f aca="false">IF($A719="","",MAX(0,I718+J719-I719))</f>
        <v/>
      </c>
      <c r="L719" s="24" t="str">
        <f aca="false">IF($A719="","",E719+H719+K719)</f>
        <v/>
      </c>
      <c r="M719" s="4" t="str">
        <f aca="false">IF($A719="","",IF(AND(D719+G719+J719&gt;0,SUMIFS(Recepciones!$C$5:$C$2000,Recepciones!$A$5:$A$2000,"&gt;"&amp;$A718,Recepciones!$A$5:$A$2000,"&lt;="&amp;$A719)=0),"Aumento de stock sin recepción registrada",IF(B719&gt;1,"Intervalo de "&amp;B719&amp;" días","")))</f>
        <v/>
      </c>
    </row>
    <row r="720" customFormat="false" ht="15" hidden="false" customHeight="false" outlineLevel="0" collapsed="false">
      <c r="A720" s="5" t="str">
        <f aca="false">IF(Stock_Diario!A720="","",Stock_Diario!A720)</f>
        <v/>
      </c>
      <c r="B720" s="4" t="str">
        <f aca="false">IF($A720="","",$A720-$A719)</f>
        <v/>
      </c>
      <c r="C720" s="24" t="str">
        <f aca="false">IF($A720="","",Stock_Diario!E720)</f>
        <v/>
      </c>
      <c r="D720" s="24" t="str">
        <f aca="false">IF($A720="","",IF(SUMIFS(Recepciones!$C$5:$C$2000,Recepciones!$B$5:$B$2000,Config!$A$23,Recepciones!$A$5:$A$2000,"&gt;"&amp;$A719,Recepciones!$A$5:$A$2000,"&lt;="&amp;$A720)&gt;0,SUMIFS(Recepciones!$C$5:$C$2000,Recepciones!$B$5:$B$2000,Config!$A$23,Recepciones!$A$5:$A$2000,"&gt;"&amp;$A719,Recepciones!$A$5:$A$2000,"&lt;="&amp;$A720),MAX(0,C720-C719)))</f>
        <v/>
      </c>
      <c r="E720" s="24" t="str">
        <f aca="false">IF($A720="","",MAX(0,C719+D720-C720))</f>
        <v/>
      </c>
      <c r="F720" s="24" t="str">
        <f aca="false">IF($A720="","",Stock_Diario!F720)</f>
        <v/>
      </c>
      <c r="G720" s="24" t="str">
        <f aca="false">IF($A720="","",IF(SUMIFS(Recepciones!$C$5:$C$2000,Recepciones!$B$5:$B$2000,Config!$A$24,Recepciones!$A$5:$A$2000,"&gt;"&amp;$A719,Recepciones!$A$5:$A$2000,"&lt;="&amp;$A720)&gt;0,SUMIFS(Recepciones!$C$5:$C$2000,Recepciones!$B$5:$B$2000,Config!$A$24,Recepciones!$A$5:$A$2000,"&gt;"&amp;$A719,Recepciones!$A$5:$A$2000,"&lt;="&amp;$A720),MAX(0,F720-F719)))</f>
        <v/>
      </c>
      <c r="H720" s="24" t="str">
        <f aca="false">IF($A720="","",MAX(0,F719+G720-F720))</f>
        <v/>
      </c>
      <c r="I720" s="24" t="str">
        <f aca="false">IF($A720="","",Stock_Diario!G720)</f>
        <v/>
      </c>
      <c r="J720" s="24" t="str">
        <f aca="false">IF($A720="","",IF(SUMIFS(Recepciones!$C$5:$C$2000,Recepciones!$B$5:$B$2000,Config!$A$25,Recepciones!$A$5:$A$2000,"&gt;"&amp;$A719,Recepciones!$A$5:$A$2000,"&lt;="&amp;$A720)&gt;0,SUMIFS(Recepciones!$C$5:$C$2000,Recepciones!$B$5:$B$2000,Config!$A$25,Recepciones!$A$5:$A$2000,"&gt;"&amp;$A719,Recepciones!$A$5:$A$2000,"&lt;="&amp;$A720),MAX(0,I720-I719)))</f>
        <v/>
      </c>
      <c r="K720" s="24" t="str">
        <f aca="false">IF($A720="","",MAX(0,I719+J720-I720))</f>
        <v/>
      </c>
      <c r="L720" s="24" t="str">
        <f aca="false">IF($A720="","",E720+H720+K720)</f>
        <v/>
      </c>
      <c r="M720" s="4" t="str">
        <f aca="false">IF($A720="","",IF(AND(D720+G720+J720&gt;0,SUMIFS(Recepciones!$C$5:$C$2000,Recepciones!$A$5:$A$2000,"&gt;"&amp;$A719,Recepciones!$A$5:$A$2000,"&lt;="&amp;$A720)=0),"Aumento de stock sin recepción registrada",IF(B720&gt;1,"Intervalo de "&amp;B720&amp;" días","")))</f>
        <v/>
      </c>
    </row>
    <row r="721" customFormat="false" ht="15" hidden="false" customHeight="false" outlineLevel="0" collapsed="false">
      <c r="A721" s="5" t="str">
        <f aca="false">IF(Stock_Diario!A721="","",Stock_Diario!A721)</f>
        <v/>
      </c>
      <c r="B721" s="4" t="str">
        <f aca="false">IF($A721="","",$A721-$A720)</f>
        <v/>
      </c>
      <c r="C721" s="24" t="str">
        <f aca="false">IF($A721="","",Stock_Diario!E721)</f>
        <v/>
      </c>
      <c r="D721" s="24" t="str">
        <f aca="false">IF($A721="","",IF(SUMIFS(Recepciones!$C$5:$C$2000,Recepciones!$B$5:$B$2000,Config!$A$23,Recepciones!$A$5:$A$2000,"&gt;"&amp;$A720,Recepciones!$A$5:$A$2000,"&lt;="&amp;$A721)&gt;0,SUMIFS(Recepciones!$C$5:$C$2000,Recepciones!$B$5:$B$2000,Config!$A$23,Recepciones!$A$5:$A$2000,"&gt;"&amp;$A720,Recepciones!$A$5:$A$2000,"&lt;="&amp;$A721),MAX(0,C721-C720)))</f>
        <v/>
      </c>
      <c r="E721" s="24" t="str">
        <f aca="false">IF($A721="","",MAX(0,C720+D721-C721))</f>
        <v/>
      </c>
      <c r="F721" s="24" t="str">
        <f aca="false">IF($A721="","",Stock_Diario!F721)</f>
        <v/>
      </c>
      <c r="G721" s="24" t="str">
        <f aca="false">IF($A721="","",IF(SUMIFS(Recepciones!$C$5:$C$2000,Recepciones!$B$5:$B$2000,Config!$A$24,Recepciones!$A$5:$A$2000,"&gt;"&amp;$A720,Recepciones!$A$5:$A$2000,"&lt;="&amp;$A721)&gt;0,SUMIFS(Recepciones!$C$5:$C$2000,Recepciones!$B$5:$B$2000,Config!$A$24,Recepciones!$A$5:$A$2000,"&gt;"&amp;$A720,Recepciones!$A$5:$A$2000,"&lt;="&amp;$A721),MAX(0,F721-F720)))</f>
        <v/>
      </c>
      <c r="H721" s="24" t="str">
        <f aca="false">IF($A721="","",MAX(0,F720+G721-F721))</f>
        <v/>
      </c>
      <c r="I721" s="24" t="str">
        <f aca="false">IF($A721="","",Stock_Diario!G721)</f>
        <v/>
      </c>
      <c r="J721" s="24" t="str">
        <f aca="false">IF($A721="","",IF(SUMIFS(Recepciones!$C$5:$C$2000,Recepciones!$B$5:$B$2000,Config!$A$25,Recepciones!$A$5:$A$2000,"&gt;"&amp;$A720,Recepciones!$A$5:$A$2000,"&lt;="&amp;$A721)&gt;0,SUMIFS(Recepciones!$C$5:$C$2000,Recepciones!$B$5:$B$2000,Config!$A$25,Recepciones!$A$5:$A$2000,"&gt;"&amp;$A720,Recepciones!$A$5:$A$2000,"&lt;="&amp;$A721),MAX(0,I721-I720)))</f>
        <v/>
      </c>
      <c r="K721" s="24" t="str">
        <f aca="false">IF($A721="","",MAX(0,I720+J721-I721))</f>
        <v/>
      </c>
      <c r="L721" s="24" t="str">
        <f aca="false">IF($A721="","",E721+H721+K721)</f>
        <v/>
      </c>
      <c r="M721" s="4" t="str">
        <f aca="false">IF($A721="","",IF(AND(D721+G721+J721&gt;0,SUMIFS(Recepciones!$C$5:$C$2000,Recepciones!$A$5:$A$2000,"&gt;"&amp;$A720,Recepciones!$A$5:$A$2000,"&lt;="&amp;$A721)=0),"Aumento de stock sin recepción registrada",IF(B721&gt;1,"Intervalo de "&amp;B721&amp;" días","")))</f>
        <v/>
      </c>
    </row>
    <row r="722" customFormat="false" ht="15" hidden="false" customHeight="false" outlineLevel="0" collapsed="false">
      <c r="A722" s="5" t="str">
        <f aca="false">IF(Stock_Diario!A722="","",Stock_Diario!A722)</f>
        <v/>
      </c>
      <c r="B722" s="4" t="str">
        <f aca="false">IF($A722="","",$A722-$A721)</f>
        <v/>
      </c>
      <c r="C722" s="24" t="str">
        <f aca="false">IF($A722="","",Stock_Diario!E722)</f>
        <v/>
      </c>
      <c r="D722" s="24" t="str">
        <f aca="false">IF($A722="","",IF(SUMIFS(Recepciones!$C$5:$C$2000,Recepciones!$B$5:$B$2000,Config!$A$23,Recepciones!$A$5:$A$2000,"&gt;"&amp;$A721,Recepciones!$A$5:$A$2000,"&lt;="&amp;$A722)&gt;0,SUMIFS(Recepciones!$C$5:$C$2000,Recepciones!$B$5:$B$2000,Config!$A$23,Recepciones!$A$5:$A$2000,"&gt;"&amp;$A721,Recepciones!$A$5:$A$2000,"&lt;="&amp;$A722),MAX(0,C722-C721)))</f>
        <v/>
      </c>
      <c r="E722" s="24" t="str">
        <f aca="false">IF($A722="","",MAX(0,C721+D722-C722))</f>
        <v/>
      </c>
      <c r="F722" s="24" t="str">
        <f aca="false">IF($A722="","",Stock_Diario!F722)</f>
        <v/>
      </c>
      <c r="G722" s="24" t="str">
        <f aca="false">IF($A722="","",IF(SUMIFS(Recepciones!$C$5:$C$2000,Recepciones!$B$5:$B$2000,Config!$A$24,Recepciones!$A$5:$A$2000,"&gt;"&amp;$A721,Recepciones!$A$5:$A$2000,"&lt;="&amp;$A722)&gt;0,SUMIFS(Recepciones!$C$5:$C$2000,Recepciones!$B$5:$B$2000,Config!$A$24,Recepciones!$A$5:$A$2000,"&gt;"&amp;$A721,Recepciones!$A$5:$A$2000,"&lt;="&amp;$A722),MAX(0,F722-F721)))</f>
        <v/>
      </c>
      <c r="H722" s="24" t="str">
        <f aca="false">IF($A722="","",MAX(0,F721+G722-F722))</f>
        <v/>
      </c>
      <c r="I722" s="24" t="str">
        <f aca="false">IF($A722="","",Stock_Diario!G722)</f>
        <v/>
      </c>
      <c r="J722" s="24" t="str">
        <f aca="false">IF($A722="","",IF(SUMIFS(Recepciones!$C$5:$C$2000,Recepciones!$B$5:$B$2000,Config!$A$25,Recepciones!$A$5:$A$2000,"&gt;"&amp;$A721,Recepciones!$A$5:$A$2000,"&lt;="&amp;$A722)&gt;0,SUMIFS(Recepciones!$C$5:$C$2000,Recepciones!$B$5:$B$2000,Config!$A$25,Recepciones!$A$5:$A$2000,"&gt;"&amp;$A721,Recepciones!$A$5:$A$2000,"&lt;="&amp;$A722),MAX(0,I722-I721)))</f>
        <v/>
      </c>
      <c r="K722" s="24" t="str">
        <f aca="false">IF($A722="","",MAX(0,I721+J722-I722))</f>
        <v/>
      </c>
      <c r="L722" s="24" t="str">
        <f aca="false">IF($A722="","",E722+H722+K722)</f>
        <v/>
      </c>
      <c r="M722" s="4" t="str">
        <f aca="false">IF($A722="","",IF(AND(D722+G722+J722&gt;0,SUMIFS(Recepciones!$C$5:$C$2000,Recepciones!$A$5:$A$2000,"&gt;"&amp;$A721,Recepciones!$A$5:$A$2000,"&lt;="&amp;$A722)=0),"Aumento de stock sin recepción registrada",IF(B722&gt;1,"Intervalo de "&amp;B722&amp;" días","")))</f>
        <v/>
      </c>
    </row>
    <row r="723" customFormat="false" ht="15" hidden="false" customHeight="false" outlineLevel="0" collapsed="false">
      <c r="A723" s="5" t="str">
        <f aca="false">IF(Stock_Diario!A723="","",Stock_Diario!A723)</f>
        <v/>
      </c>
      <c r="B723" s="4" t="str">
        <f aca="false">IF($A723="","",$A723-$A722)</f>
        <v/>
      </c>
      <c r="C723" s="24" t="str">
        <f aca="false">IF($A723="","",Stock_Diario!E723)</f>
        <v/>
      </c>
      <c r="D723" s="24" t="str">
        <f aca="false">IF($A723="","",IF(SUMIFS(Recepciones!$C$5:$C$2000,Recepciones!$B$5:$B$2000,Config!$A$23,Recepciones!$A$5:$A$2000,"&gt;"&amp;$A722,Recepciones!$A$5:$A$2000,"&lt;="&amp;$A723)&gt;0,SUMIFS(Recepciones!$C$5:$C$2000,Recepciones!$B$5:$B$2000,Config!$A$23,Recepciones!$A$5:$A$2000,"&gt;"&amp;$A722,Recepciones!$A$5:$A$2000,"&lt;="&amp;$A723),MAX(0,C723-C722)))</f>
        <v/>
      </c>
      <c r="E723" s="24" t="str">
        <f aca="false">IF($A723="","",MAX(0,C722+D723-C723))</f>
        <v/>
      </c>
      <c r="F723" s="24" t="str">
        <f aca="false">IF($A723="","",Stock_Diario!F723)</f>
        <v/>
      </c>
      <c r="G723" s="24" t="str">
        <f aca="false">IF($A723="","",IF(SUMIFS(Recepciones!$C$5:$C$2000,Recepciones!$B$5:$B$2000,Config!$A$24,Recepciones!$A$5:$A$2000,"&gt;"&amp;$A722,Recepciones!$A$5:$A$2000,"&lt;="&amp;$A723)&gt;0,SUMIFS(Recepciones!$C$5:$C$2000,Recepciones!$B$5:$B$2000,Config!$A$24,Recepciones!$A$5:$A$2000,"&gt;"&amp;$A722,Recepciones!$A$5:$A$2000,"&lt;="&amp;$A723),MAX(0,F723-F722)))</f>
        <v/>
      </c>
      <c r="H723" s="24" t="str">
        <f aca="false">IF($A723="","",MAX(0,F722+G723-F723))</f>
        <v/>
      </c>
      <c r="I723" s="24" t="str">
        <f aca="false">IF($A723="","",Stock_Diario!G723)</f>
        <v/>
      </c>
      <c r="J723" s="24" t="str">
        <f aca="false">IF($A723="","",IF(SUMIFS(Recepciones!$C$5:$C$2000,Recepciones!$B$5:$B$2000,Config!$A$25,Recepciones!$A$5:$A$2000,"&gt;"&amp;$A722,Recepciones!$A$5:$A$2000,"&lt;="&amp;$A723)&gt;0,SUMIFS(Recepciones!$C$5:$C$2000,Recepciones!$B$5:$B$2000,Config!$A$25,Recepciones!$A$5:$A$2000,"&gt;"&amp;$A722,Recepciones!$A$5:$A$2000,"&lt;="&amp;$A723),MAX(0,I723-I722)))</f>
        <v/>
      </c>
      <c r="K723" s="24" t="str">
        <f aca="false">IF($A723="","",MAX(0,I722+J723-I723))</f>
        <v/>
      </c>
      <c r="L723" s="24" t="str">
        <f aca="false">IF($A723="","",E723+H723+K723)</f>
        <v/>
      </c>
      <c r="M723" s="4" t="str">
        <f aca="false">IF($A723="","",IF(AND(D723+G723+J723&gt;0,SUMIFS(Recepciones!$C$5:$C$2000,Recepciones!$A$5:$A$2000,"&gt;"&amp;$A722,Recepciones!$A$5:$A$2000,"&lt;="&amp;$A723)=0),"Aumento de stock sin recepción registrada",IF(B723&gt;1,"Intervalo de "&amp;B723&amp;" días","")))</f>
        <v/>
      </c>
    </row>
    <row r="724" customFormat="false" ht="15" hidden="false" customHeight="false" outlineLevel="0" collapsed="false">
      <c r="A724" s="5" t="str">
        <f aca="false">IF(Stock_Diario!A724="","",Stock_Diario!A724)</f>
        <v/>
      </c>
      <c r="B724" s="4" t="str">
        <f aca="false">IF($A724="","",$A724-$A723)</f>
        <v/>
      </c>
      <c r="C724" s="24" t="str">
        <f aca="false">IF($A724="","",Stock_Diario!E724)</f>
        <v/>
      </c>
      <c r="D724" s="24" t="str">
        <f aca="false">IF($A724="","",IF(SUMIFS(Recepciones!$C$5:$C$2000,Recepciones!$B$5:$B$2000,Config!$A$23,Recepciones!$A$5:$A$2000,"&gt;"&amp;$A723,Recepciones!$A$5:$A$2000,"&lt;="&amp;$A724)&gt;0,SUMIFS(Recepciones!$C$5:$C$2000,Recepciones!$B$5:$B$2000,Config!$A$23,Recepciones!$A$5:$A$2000,"&gt;"&amp;$A723,Recepciones!$A$5:$A$2000,"&lt;="&amp;$A724),MAX(0,C724-C723)))</f>
        <v/>
      </c>
      <c r="E724" s="24" t="str">
        <f aca="false">IF($A724="","",MAX(0,C723+D724-C724))</f>
        <v/>
      </c>
      <c r="F724" s="24" t="str">
        <f aca="false">IF($A724="","",Stock_Diario!F724)</f>
        <v/>
      </c>
      <c r="G724" s="24" t="str">
        <f aca="false">IF($A724="","",IF(SUMIFS(Recepciones!$C$5:$C$2000,Recepciones!$B$5:$B$2000,Config!$A$24,Recepciones!$A$5:$A$2000,"&gt;"&amp;$A723,Recepciones!$A$5:$A$2000,"&lt;="&amp;$A724)&gt;0,SUMIFS(Recepciones!$C$5:$C$2000,Recepciones!$B$5:$B$2000,Config!$A$24,Recepciones!$A$5:$A$2000,"&gt;"&amp;$A723,Recepciones!$A$5:$A$2000,"&lt;="&amp;$A724),MAX(0,F724-F723)))</f>
        <v/>
      </c>
      <c r="H724" s="24" t="str">
        <f aca="false">IF($A724="","",MAX(0,F723+G724-F724))</f>
        <v/>
      </c>
      <c r="I724" s="24" t="str">
        <f aca="false">IF($A724="","",Stock_Diario!G724)</f>
        <v/>
      </c>
      <c r="J724" s="24" t="str">
        <f aca="false">IF($A724="","",IF(SUMIFS(Recepciones!$C$5:$C$2000,Recepciones!$B$5:$B$2000,Config!$A$25,Recepciones!$A$5:$A$2000,"&gt;"&amp;$A723,Recepciones!$A$5:$A$2000,"&lt;="&amp;$A724)&gt;0,SUMIFS(Recepciones!$C$5:$C$2000,Recepciones!$B$5:$B$2000,Config!$A$25,Recepciones!$A$5:$A$2000,"&gt;"&amp;$A723,Recepciones!$A$5:$A$2000,"&lt;="&amp;$A724),MAX(0,I724-I723)))</f>
        <v/>
      </c>
      <c r="K724" s="24" t="str">
        <f aca="false">IF($A724="","",MAX(0,I723+J724-I724))</f>
        <v/>
      </c>
      <c r="L724" s="24" t="str">
        <f aca="false">IF($A724="","",E724+H724+K724)</f>
        <v/>
      </c>
      <c r="M724" s="4" t="str">
        <f aca="false">IF($A724="","",IF(AND(D724+G724+J724&gt;0,SUMIFS(Recepciones!$C$5:$C$2000,Recepciones!$A$5:$A$2000,"&gt;"&amp;$A723,Recepciones!$A$5:$A$2000,"&lt;="&amp;$A724)=0),"Aumento de stock sin recepción registrada",IF(B724&gt;1,"Intervalo de "&amp;B724&amp;" días","")))</f>
        <v/>
      </c>
    </row>
    <row r="725" customFormat="false" ht="15" hidden="false" customHeight="false" outlineLevel="0" collapsed="false">
      <c r="A725" s="5" t="str">
        <f aca="false">IF(Stock_Diario!A725="","",Stock_Diario!A725)</f>
        <v/>
      </c>
      <c r="B725" s="4" t="str">
        <f aca="false">IF($A725="","",$A725-$A724)</f>
        <v/>
      </c>
      <c r="C725" s="24" t="str">
        <f aca="false">IF($A725="","",Stock_Diario!E725)</f>
        <v/>
      </c>
      <c r="D725" s="24" t="str">
        <f aca="false">IF($A725="","",IF(SUMIFS(Recepciones!$C$5:$C$2000,Recepciones!$B$5:$B$2000,Config!$A$23,Recepciones!$A$5:$A$2000,"&gt;"&amp;$A724,Recepciones!$A$5:$A$2000,"&lt;="&amp;$A725)&gt;0,SUMIFS(Recepciones!$C$5:$C$2000,Recepciones!$B$5:$B$2000,Config!$A$23,Recepciones!$A$5:$A$2000,"&gt;"&amp;$A724,Recepciones!$A$5:$A$2000,"&lt;="&amp;$A725),MAX(0,C725-C724)))</f>
        <v/>
      </c>
      <c r="E725" s="24" t="str">
        <f aca="false">IF($A725="","",MAX(0,C724+D725-C725))</f>
        <v/>
      </c>
      <c r="F725" s="24" t="str">
        <f aca="false">IF($A725="","",Stock_Diario!F725)</f>
        <v/>
      </c>
      <c r="G725" s="24" t="str">
        <f aca="false">IF($A725="","",IF(SUMIFS(Recepciones!$C$5:$C$2000,Recepciones!$B$5:$B$2000,Config!$A$24,Recepciones!$A$5:$A$2000,"&gt;"&amp;$A724,Recepciones!$A$5:$A$2000,"&lt;="&amp;$A725)&gt;0,SUMIFS(Recepciones!$C$5:$C$2000,Recepciones!$B$5:$B$2000,Config!$A$24,Recepciones!$A$5:$A$2000,"&gt;"&amp;$A724,Recepciones!$A$5:$A$2000,"&lt;="&amp;$A725),MAX(0,F725-F724)))</f>
        <v/>
      </c>
      <c r="H725" s="24" t="str">
        <f aca="false">IF($A725="","",MAX(0,F724+G725-F725))</f>
        <v/>
      </c>
      <c r="I725" s="24" t="str">
        <f aca="false">IF($A725="","",Stock_Diario!G725)</f>
        <v/>
      </c>
      <c r="J725" s="24" t="str">
        <f aca="false">IF($A725="","",IF(SUMIFS(Recepciones!$C$5:$C$2000,Recepciones!$B$5:$B$2000,Config!$A$25,Recepciones!$A$5:$A$2000,"&gt;"&amp;$A724,Recepciones!$A$5:$A$2000,"&lt;="&amp;$A725)&gt;0,SUMIFS(Recepciones!$C$5:$C$2000,Recepciones!$B$5:$B$2000,Config!$A$25,Recepciones!$A$5:$A$2000,"&gt;"&amp;$A724,Recepciones!$A$5:$A$2000,"&lt;="&amp;$A725),MAX(0,I725-I724)))</f>
        <v/>
      </c>
      <c r="K725" s="24" t="str">
        <f aca="false">IF($A725="","",MAX(0,I724+J725-I725))</f>
        <v/>
      </c>
      <c r="L725" s="24" t="str">
        <f aca="false">IF($A725="","",E725+H725+K725)</f>
        <v/>
      </c>
      <c r="M725" s="4" t="str">
        <f aca="false">IF($A725="","",IF(AND(D725+G725+J725&gt;0,SUMIFS(Recepciones!$C$5:$C$2000,Recepciones!$A$5:$A$2000,"&gt;"&amp;$A724,Recepciones!$A$5:$A$2000,"&lt;="&amp;$A725)=0),"Aumento de stock sin recepción registrada",IF(B725&gt;1,"Intervalo de "&amp;B725&amp;" días","")))</f>
        <v/>
      </c>
    </row>
    <row r="726" customFormat="false" ht="15" hidden="false" customHeight="false" outlineLevel="0" collapsed="false">
      <c r="A726" s="5" t="str">
        <f aca="false">IF(Stock_Diario!A726="","",Stock_Diario!A726)</f>
        <v/>
      </c>
      <c r="B726" s="4" t="str">
        <f aca="false">IF($A726="","",$A726-$A725)</f>
        <v/>
      </c>
      <c r="C726" s="24" t="str">
        <f aca="false">IF($A726="","",Stock_Diario!E726)</f>
        <v/>
      </c>
      <c r="D726" s="24" t="str">
        <f aca="false">IF($A726="","",IF(SUMIFS(Recepciones!$C$5:$C$2000,Recepciones!$B$5:$B$2000,Config!$A$23,Recepciones!$A$5:$A$2000,"&gt;"&amp;$A725,Recepciones!$A$5:$A$2000,"&lt;="&amp;$A726)&gt;0,SUMIFS(Recepciones!$C$5:$C$2000,Recepciones!$B$5:$B$2000,Config!$A$23,Recepciones!$A$5:$A$2000,"&gt;"&amp;$A725,Recepciones!$A$5:$A$2000,"&lt;="&amp;$A726),MAX(0,C726-C725)))</f>
        <v/>
      </c>
      <c r="E726" s="24" t="str">
        <f aca="false">IF($A726="","",MAX(0,C725+D726-C726))</f>
        <v/>
      </c>
      <c r="F726" s="24" t="str">
        <f aca="false">IF($A726="","",Stock_Diario!F726)</f>
        <v/>
      </c>
      <c r="G726" s="24" t="str">
        <f aca="false">IF($A726="","",IF(SUMIFS(Recepciones!$C$5:$C$2000,Recepciones!$B$5:$B$2000,Config!$A$24,Recepciones!$A$5:$A$2000,"&gt;"&amp;$A725,Recepciones!$A$5:$A$2000,"&lt;="&amp;$A726)&gt;0,SUMIFS(Recepciones!$C$5:$C$2000,Recepciones!$B$5:$B$2000,Config!$A$24,Recepciones!$A$5:$A$2000,"&gt;"&amp;$A725,Recepciones!$A$5:$A$2000,"&lt;="&amp;$A726),MAX(0,F726-F725)))</f>
        <v/>
      </c>
      <c r="H726" s="24" t="str">
        <f aca="false">IF($A726="","",MAX(0,F725+G726-F726))</f>
        <v/>
      </c>
      <c r="I726" s="24" t="str">
        <f aca="false">IF($A726="","",Stock_Diario!G726)</f>
        <v/>
      </c>
      <c r="J726" s="24" t="str">
        <f aca="false">IF($A726="","",IF(SUMIFS(Recepciones!$C$5:$C$2000,Recepciones!$B$5:$B$2000,Config!$A$25,Recepciones!$A$5:$A$2000,"&gt;"&amp;$A725,Recepciones!$A$5:$A$2000,"&lt;="&amp;$A726)&gt;0,SUMIFS(Recepciones!$C$5:$C$2000,Recepciones!$B$5:$B$2000,Config!$A$25,Recepciones!$A$5:$A$2000,"&gt;"&amp;$A725,Recepciones!$A$5:$A$2000,"&lt;="&amp;$A726),MAX(0,I726-I725)))</f>
        <v/>
      </c>
      <c r="K726" s="24" t="str">
        <f aca="false">IF($A726="","",MAX(0,I725+J726-I726))</f>
        <v/>
      </c>
      <c r="L726" s="24" t="str">
        <f aca="false">IF($A726="","",E726+H726+K726)</f>
        <v/>
      </c>
      <c r="M726" s="4" t="str">
        <f aca="false">IF($A726="","",IF(AND(D726+G726+J726&gt;0,SUMIFS(Recepciones!$C$5:$C$2000,Recepciones!$A$5:$A$2000,"&gt;"&amp;$A725,Recepciones!$A$5:$A$2000,"&lt;="&amp;$A726)=0),"Aumento de stock sin recepción registrada",IF(B726&gt;1,"Intervalo de "&amp;B726&amp;" días","")))</f>
        <v/>
      </c>
    </row>
    <row r="727" customFormat="false" ht="15" hidden="false" customHeight="false" outlineLevel="0" collapsed="false">
      <c r="A727" s="5" t="str">
        <f aca="false">IF(Stock_Diario!A727="","",Stock_Diario!A727)</f>
        <v/>
      </c>
      <c r="B727" s="4" t="str">
        <f aca="false">IF($A727="","",$A727-$A726)</f>
        <v/>
      </c>
      <c r="C727" s="24" t="str">
        <f aca="false">IF($A727="","",Stock_Diario!E727)</f>
        <v/>
      </c>
      <c r="D727" s="24" t="str">
        <f aca="false">IF($A727="","",IF(SUMIFS(Recepciones!$C$5:$C$2000,Recepciones!$B$5:$B$2000,Config!$A$23,Recepciones!$A$5:$A$2000,"&gt;"&amp;$A726,Recepciones!$A$5:$A$2000,"&lt;="&amp;$A727)&gt;0,SUMIFS(Recepciones!$C$5:$C$2000,Recepciones!$B$5:$B$2000,Config!$A$23,Recepciones!$A$5:$A$2000,"&gt;"&amp;$A726,Recepciones!$A$5:$A$2000,"&lt;="&amp;$A727),MAX(0,C727-C726)))</f>
        <v/>
      </c>
      <c r="E727" s="24" t="str">
        <f aca="false">IF($A727="","",MAX(0,C726+D727-C727))</f>
        <v/>
      </c>
      <c r="F727" s="24" t="str">
        <f aca="false">IF($A727="","",Stock_Diario!F727)</f>
        <v/>
      </c>
      <c r="G727" s="24" t="str">
        <f aca="false">IF($A727="","",IF(SUMIFS(Recepciones!$C$5:$C$2000,Recepciones!$B$5:$B$2000,Config!$A$24,Recepciones!$A$5:$A$2000,"&gt;"&amp;$A726,Recepciones!$A$5:$A$2000,"&lt;="&amp;$A727)&gt;0,SUMIFS(Recepciones!$C$5:$C$2000,Recepciones!$B$5:$B$2000,Config!$A$24,Recepciones!$A$5:$A$2000,"&gt;"&amp;$A726,Recepciones!$A$5:$A$2000,"&lt;="&amp;$A727),MAX(0,F727-F726)))</f>
        <v/>
      </c>
      <c r="H727" s="24" t="str">
        <f aca="false">IF($A727="","",MAX(0,F726+G727-F727))</f>
        <v/>
      </c>
      <c r="I727" s="24" t="str">
        <f aca="false">IF($A727="","",Stock_Diario!G727)</f>
        <v/>
      </c>
      <c r="J727" s="24" t="str">
        <f aca="false">IF($A727="","",IF(SUMIFS(Recepciones!$C$5:$C$2000,Recepciones!$B$5:$B$2000,Config!$A$25,Recepciones!$A$5:$A$2000,"&gt;"&amp;$A726,Recepciones!$A$5:$A$2000,"&lt;="&amp;$A727)&gt;0,SUMIFS(Recepciones!$C$5:$C$2000,Recepciones!$B$5:$B$2000,Config!$A$25,Recepciones!$A$5:$A$2000,"&gt;"&amp;$A726,Recepciones!$A$5:$A$2000,"&lt;="&amp;$A727),MAX(0,I727-I726)))</f>
        <v/>
      </c>
      <c r="K727" s="24" t="str">
        <f aca="false">IF($A727="","",MAX(0,I726+J727-I727))</f>
        <v/>
      </c>
      <c r="L727" s="24" t="str">
        <f aca="false">IF($A727="","",E727+H727+K727)</f>
        <v/>
      </c>
      <c r="M727" s="4" t="str">
        <f aca="false">IF($A727="","",IF(AND(D727+G727+J727&gt;0,SUMIFS(Recepciones!$C$5:$C$2000,Recepciones!$A$5:$A$2000,"&gt;"&amp;$A726,Recepciones!$A$5:$A$2000,"&lt;="&amp;$A727)=0),"Aumento de stock sin recepción registrada",IF(B727&gt;1,"Intervalo de "&amp;B727&amp;" días","")))</f>
        <v/>
      </c>
    </row>
    <row r="728" customFormat="false" ht="15" hidden="false" customHeight="false" outlineLevel="0" collapsed="false">
      <c r="A728" s="5" t="str">
        <f aca="false">IF(Stock_Diario!A728="","",Stock_Diario!A728)</f>
        <v/>
      </c>
      <c r="B728" s="4" t="str">
        <f aca="false">IF($A728="","",$A728-$A727)</f>
        <v/>
      </c>
      <c r="C728" s="24" t="str">
        <f aca="false">IF($A728="","",Stock_Diario!E728)</f>
        <v/>
      </c>
      <c r="D728" s="24" t="str">
        <f aca="false">IF($A728="","",IF(SUMIFS(Recepciones!$C$5:$C$2000,Recepciones!$B$5:$B$2000,Config!$A$23,Recepciones!$A$5:$A$2000,"&gt;"&amp;$A727,Recepciones!$A$5:$A$2000,"&lt;="&amp;$A728)&gt;0,SUMIFS(Recepciones!$C$5:$C$2000,Recepciones!$B$5:$B$2000,Config!$A$23,Recepciones!$A$5:$A$2000,"&gt;"&amp;$A727,Recepciones!$A$5:$A$2000,"&lt;="&amp;$A728),MAX(0,C728-C727)))</f>
        <v/>
      </c>
      <c r="E728" s="24" t="str">
        <f aca="false">IF($A728="","",MAX(0,C727+D728-C728))</f>
        <v/>
      </c>
      <c r="F728" s="24" t="str">
        <f aca="false">IF($A728="","",Stock_Diario!F728)</f>
        <v/>
      </c>
      <c r="G728" s="24" t="str">
        <f aca="false">IF($A728="","",IF(SUMIFS(Recepciones!$C$5:$C$2000,Recepciones!$B$5:$B$2000,Config!$A$24,Recepciones!$A$5:$A$2000,"&gt;"&amp;$A727,Recepciones!$A$5:$A$2000,"&lt;="&amp;$A728)&gt;0,SUMIFS(Recepciones!$C$5:$C$2000,Recepciones!$B$5:$B$2000,Config!$A$24,Recepciones!$A$5:$A$2000,"&gt;"&amp;$A727,Recepciones!$A$5:$A$2000,"&lt;="&amp;$A728),MAX(0,F728-F727)))</f>
        <v/>
      </c>
      <c r="H728" s="24" t="str">
        <f aca="false">IF($A728="","",MAX(0,F727+G728-F728))</f>
        <v/>
      </c>
      <c r="I728" s="24" t="str">
        <f aca="false">IF($A728="","",Stock_Diario!G728)</f>
        <v/>
      </c>
      <c r="J728" s="24" t="str">
        <f aca="false">IF($A728="","",IF(SUMIFS(Recepciones!$C$5:$C$2000,Recepciones!$B$5:$B$2000,Config!$A$25,Recepciones!$A$5:$A$2000,"&gt;"&amp;$A727,Recepciones!$A$5:$A$2000,"&lt;="&amp;$A728)&gt;0,SUMIFS(Recepciones!$C$5:$C$2000,Recepciones!$B$5:$B$2000,Config!$A$25,Recepciones!$A$5:$A$2000,"&gt;"&amp;$A727,Recepciones!$A$5:$A$2000,"&lt;="&amp;$A728),MAX(0,I728-I727)))</f>
        <v/>
      </c>
      <c r="K728" s="24" t="str">
        <f aca="false">IF($A728="","",MAX(0,I727+J728-I728))</f>
        <v/>
      </c>
      <c r="L728" s="24" t="str">
        <f aca="false">IF($A728="","",E728+H728+K728)</f>
        <v/>
      </c>
      <c r="M728" s="4" t="str">
        <f aca="false">IF($A728="","",IF(AND(D728+G728+J728&gt;0,SUMIFS(Recepciones!$C$5:$C$2000,Recepciones!$A$5:$A$2000,"&gt;"&amp;$A727,Recepciones!$A$5:$A$2000,"&lt;="&amp;$A728)=0),"Aumento de stock sin recepción registrada",IF(B728&gt;1,"Intervalo de "&amp;B728&amp;" días","")))</f>
        <v/>
      </c>
    </row>
    <row r="729" customFormat="false" ht="15" hidden="false" customHeight="false" outlineLevel="0" collapsed="false">
      <c r="A729" s="5" t="str">
        <f aca="false">IF(Stock_Diario!A729="","",Stock_Diario!A729)</f>
        <v/>
      </c>
      <c r="B729" s="4" t="str">
        <f aca="false">IF($A729="","",$A729-$A728)</f>
        <v/>
      </c>
      <c r="C729" s="24" t="str">
        <f aca="false">IF($A729="","",Stock_Diario!E729)</f>
        <v/>
      </c>
      <c r="D729" s="24" t="str">
        <f aca="false">IF($A729="","",IF(SUMIFS(Recepciones!$C$5:$C$2000,Recepciones!$B$5:$B$2000,Config!$A$23,Recepciones!$A$5:$A$2000,"&gt;"&amp;$A728,Recepciones!$A$5:$A$2000,"&lt;="&amp;$A729)&gt;0,SUMIFS(Recepciones!$C$5:$C$2000,Recepciones!$B$5:$B$2000,Config!$A$23,Recepciones!$A$5:$A$2000,"&gt;"&amp;$A728,Recepciones!$A$5:$A$2000,"&lt;="&amp;$A729),MAX(0,C729-C728)))</f>
        <v/>
      </c>
      <c r="E729" s="24" t="str">
        <f aca="false">IF($A729="","",MAX(0,C728+D729-C729))</f>
        <v/>
      </c>
      <c r="F729" s="24" t="str">
        <f aca="false">IF($A729="","",Stock_Diario!F729)</f>
        <v/>
      </c>
      <c r="G729" s="24" t="str">
        <f aca="false">IF($A729="","",IF(SUMIFS(Recepciones!$C$5:$C$2000,Recepciones!$B$5:$B$2000,Config!$A$24,Recepciones!$A$5:$A$2000,"&gt;"&amp;$A728,Recepciones!$A$5:$A$2000,"&lt;="&amp;$A729)&gt;0,SUMIFS(Recepciones!$C$5:$C$2000,Recepciones!$B$5:$B$2000,Config!$A$24,Recepciones!$A$5:$A$2000,"&gt;"&amp;$A728,Recepciones!$A$5:$A$2000,"&lt;="&amp;$A729),MAX(0,F729-F728)))</f>
        <v/>
      </c>
      <c r="H729" s="24" t="str">
        <f aca="false">IF($A729="","",MAX(0,F728+G729-F729))</f>
        <v/>
      </c>
      <c r="I729" s="24" t="str">
        <f aca="false">IF($A729="","",Stock_Diario!G729)</f>
        <v/>
      </c>
      <c r="J729" s="24" t="str">
        <f aca="false">IF($A729="","",IF(SUMIFS(Recepciones!$C$5:$C$2000,Recepciones!$B$5:$B$2000,Config!$A$25,Recepciones!$A$5:$A$2000,"&gt;"&amp;$A728,Recepciones!$A$5:$A$2000,"&lt;="&amp;$A729)&gt;0,SUMIFS(Recepciones!$C$5:$C$2000,Recepciones!$B$5:$B$2000,Config!$A$25,Recepciones!$A$5:$A$2000,"&gt;"&amp;$A728,Recepciones!$A$5:$A$2000,"&lt;="&amp;$A729),MAX(0,I729-I728)))</f>
        <v/>
      </c>
      <c r="K729" s="24" t="str">
        <f aca="false">IF($A729="","",MAX(0,I728+J729-I729))</f>
        <v/>
      </c>
      <c r="L729" s="24" t="str">
        <f aca="false">IF($A729="","",E729+H729+K729)</f>
        <v/>
      </c>
      <c r="M729" s="4" t="str">
        <f aca="false">IF($A729="","",IF(AND(D729+G729+J729&gt;0,SUMIFS(Recepciones!$C$5:$C$2000,Recepciones!$A$5:$A$2000,"&gt;"&amp;$A728,Recepciones!$A$5:$A$2000,"&lt;="&amp;$A729)=0),"Aumento de stock sin recepción registrada",IF(B729&gt;1,"Intervalo de "&amp;B729&amp;" días","")))</f>
        <v/>
      </c>
    </row>
    <row r="730" customFormat="false" ht="15" hidden="false" customHeight="false" outlineLevel="0" collapsed="false">
      <c r="A730" s="5" t="str">
        <f aca="false">IF(Stock_Diario!A730="","",Stock_Diario!A730)</f>
        <v/>
      </c>
      <c r="B730" s="4" t="str">
        <f aca="false">IF($A730="","",$A730-$A729)</f>
        <v/>
      </c>
      <c r="C730" s="24" t="str">
        <f aca="false">IF($A730="","",Stock_Diario!E730)</f>
        <v/>
      </c>
      <c r="D730" s="24" t="str">
        <f aca="false">IF($A730="","",IF(SUMIFS(Recepciones!$C$5:$C$2000,Recepciones!$B$5:$B$2000,Config!$A$23,Recepciones!$A$5:$A$2000,"&gt;"&amp;$A729,Recepciones!$A$5:$A$2000,"&lt;="&amp;$A730)&gt;0,SUMIFS(Recepciones!$C$5:$C$2000,Recepciones!$B$5:$B$2000,Config!$A$23,Recepciones!$A$5:$A$2000,"&gt;"&amp;$A729,Recepciones!$A$5:$A$2000,"&lt;="&amp;$A730),MAX(0,C730-C729)))</f>
        <v/>
      </c>
      <c r="E730" s="24" t="str">
        <f aca="false">IF($A730="","",MAX(0,C729+D730-C730))</f>
        <v/>
      </c>
      <c r="F730" s="24" t="str">
        <f aca="false">IF($A730="","",Stock_Diario!F730)</f>
        <v/>
      </c>
      <c r="G730" s="24" t="str">
        <f aca="false">IF($A730="","",IF(SUMIFS(Recepciones!$C$5:$C$2000,Recepciones!$B$5:$B$2000,Config!$A$24,Recepciones!$A$5:$A$2000,"&gt;"&amp;$A729,Recepciones!$A$5:$A$2000,"&lt;="&amp;$A730)&gt;0,SUMIFS(Recepciones!$C$5:$C$2000,Recepciones!$B$5:$B$2000,Config!$A$24,Recepciones!$A$5:$A$2000,"&gt;"&amp;$A729,Recepciones!$A$5:$A$2000,"&lt;="&amp;$A730),MAX(0,F730-F729)))</f>
        <v/>
      </c>
      <c r="H730" s="24" t="str">
        <f aca="false">IF($A730="","",MAX(0,F729+G730-F730))</f>
        <v/>
      </c>
      <c r="I730" s="24" t="str">
        <f aca="false">IF($A730="","",Stock_Diario!G730)</f>
        <v/>
      </c>
      <c r="J730" s="24" t="str">
        <f aca="false">IF($A730="","",IF(SUMIFS(Recepciones!$C$5:$C$2000,Recepciones!$B$5:$B$2000,Config!$A$25,Recepciones!$A$5:$A$2000,"&gt;"&amp;$A729,Recepciones!$A$5:$A$2000,"&lt;="&amp;$A730)&gt;0,SUMIFS(Recepciones!$C$5:$C$2000,Recepciones!$B$5:$B$2000,Config!$A$25,Recepciones!$A$5:$A$2000,"&gt;"&amp;$A729,Recepciones!$A$5:$A$2000,"&lt;="&amp;$A730),MAX(0,I730-I729)))</f>
        <v/>
      </c>
      <c r="K730" s="24" t="str">
        <f aca="false">IF($A730="","",MAX(0,I729+J730-I730))</f>
        <v/>
      </c>
      <c r="L730" s="24" t="str">
        <f aca="false">IF($A730="","",E730+H730+K730)</f>
        <v/>
      </c>
      <c r="M730" s="4" t="str">
        <f aca="false">IF($A730="","",IF(AND(D730+G730+J730&gt;0,SUMIFS(Recepciones!$C$5:$C$2000,Recepciones!$A$5:$A$2000,"&gt;"&amp;$A729,Recepciones!$A$5:$A$2000,"&lt;="&amp;$A730)=0),"Aumento de stock sin recepción registrada",IF(B730&gt;1,"Intervalo de "&amp;B730&amp;" días","")))</f>
        <v/>
      </c>
    </row>
    <row r="731" customFormat="false" ht="15" hidden="false" customHeight="false" outlineLevel="0" collapsed="false">
      <c r="A731" s="5" t="str">
        <f aca="false">IF(Stock_Diario!A731="","",Stock_Diario!A731)</f>
        <v/>
      </c>
      <c r="B731" s="4" t="str">
        <f aca="false">IF($A731="","",$A731-$A730)</f>
        <v/>
      </c>
      <c r="C731" s="24" t="str">
        <f aca="false">IF($A731="","",Stock_Diario!E731)</f>
        <v/>
      </c>
      <c r="D731" s="24" t="str">
        <f aca="false">IF($A731="","",IF(SUMIFS(Recepciones!$C$5:$C$2000,Recepciones!$B$5:$B$2000,Config!$A$23,Recepciones!$A$5:$A$2000,"&gt;"&amp;$A730,Recepciones!$A$5:$A$2000,"&lt;="&amp;$A731)&gt;0,SUMIFS(Recepciones!$C$5:$C$2000,Recepciones!$B$5:$B$2000,Config!$A$23,Recepciones!$A$5:$A$2000,"&gt;"&amp;$A730,Recepciones!$A$5:$A$2000,"&lt;="&amp;$A731),MAX(0,C731-C730)))</f>
        <v/>
      </c>
      <c r="E731" s="24" t="str">
        <f aca="false">IF($A731="","",MAX(0,C730+D731-C731))</f>
        <v/>
      </c>
      <c r="F731" s="24" t="str">
        <f aca="false">IF($A731="","",Stock_Diario!F731)</f>
        <v/>
      </c>
      <c r="G731" s="24" t="str">
        <f aca="false">IF($A731="","",IF(SUMIFS(Recepciones!$C$5:$C$2000,Recepciones!$B$5:$B$2000,Config!$A$24,Recepciones!$A$5:$A$2000,"&gt;"&amp;$A730,Recepciones!$A$5:$A$2000,"&lt;="&amp;$A731)&gt;0,SUMIFS(Recepciones!$C$5:$C$2000,Recepciones!$B$5:$B$2000,Config!$A$24,Recepciones!$A$5:$A$2000,"&gt;"&amp;$A730,Recepciones!$A$5:$A$2000,"&lt;="&amp;$A731),MAX(0,F731-F730)))</f>
        <v/>
      </c>
      <c r="H731" s="24" t="str">
        <f aca="false">IF($A731="","",MAX(0,F730+G731-F731))</f>
        <v/>
      </c>
      <c r="I731" s="24" t="str">
        <f aca="false">IF($A731="","",Stock_Diario!G731)</f>
        <v/>
      </c>
      <c r="J731" s="24" t="str">
        <f aca="false">IF($A731="","",IF(SUMIFS(Recepciones!$C$5:$C$2000,Recepciones!$B$5:$B$2000,Config!$A$25,Recepciones!$A$5:$A$2000,"&gt;"&amp;$A730,Recepciones!$A$5:$A$2000,"&lt;="&amp;$A731)&gt;0,SUMIFS(Recepciones!$C$5:$C$2000,Recepciones!$B$5:$B$2000,Config!$A$25,Recepciones!$A$5:$A$2000,"&gt;"&amp;$A730,Recepciones!$A$5:$A$2000,"&lt;="&amp;$A731),MAX(0,I731-I730)))</f>
        <v/>
      </c>
      <c r="K731" s="24" t="str">
        <f aca="false">IF($A731="","",MAX(0,I730+J731-I731))</f>
        <v/>
      </c>
      <c r="L731" s="24" t="str">
        <f aca="false">IF($A731="","",E731+H731+K731)</f>
        <v/>
      </c>
      <c r="M731" s="4" t="str">
        <f aca="false">IF($A731="","",IF(AND(D731+G731+J731&gt;0,SUMIFS(Recepciones!$C$5:$C$2000,Recepciones!$A$5:$A$2000,"&gt;"&amp;$A730,Recepciones!$A$5:$A$2000,"&lt;="&amp;$A731)=0),"Aumento de stock sin recepción registrada",IF(B731&gt;1,"Intervalo de "&amp;B731&amp;" días","")))</f>
        <v/>
      </c>
    </row>
    <row r="732" customFormat="false" ht="15" hidden="false" customHeight="false" outlineLevel="0" collapsed="false">
      <c r="A732" s="5" t="str">
        <f aca="false">IF(Stock_Diario!A732="","",Stock_Diario!A732)</f>
        <v/>
      </c>
      <c r="B732" s="4" t="str">
        <f aca="false">IF($A732="","",$A732-$A731)</f>
        <v/>
      </c>
      <c r="C732" s="24" t="str">
        <f aca="false">IF($A732="","",Stock_Diario!E732)</f>
        <v/>
      </c>
      <c r="D732" s="24" t="str">
        <f aca="false">IF($A732="","",IF(SUMIFS(Recepciones!$C$5:$C$2000,Recepciones!$B$5:$B$2000,Config!$A$23,Recepciones!$A$5:$A$2000,"&gt;"&amp;$A731,Recepciones!$A$5:$A$2000,"&lt;="&amp;$A732)&gt;0,SUMIFS(Recepciones!$C$5:$C$2000,Recepciones!$B$5:$B$2000,Config!$A$23,Recepciones!$A$5:$A$2000,"&gt;"&amp;$A731,Recepciones!$A$5:$A$2000,"&lt;="&amp;$A732),MAX(0,C732-C731)))</f>
        <v/>
      </c>
      <c r="E732" s="24" t="str">
        <f aca="false">IF($A732="","",MAX(0,C731+D732-C732))</f>
        <v/>
      </c>
      <c r="F732" s="24" t="str">
        <f aca="false">IF($A732="","",Stock_Diario!F732)</f>
        <v/>
      </c>
      <c r="G732" s="24" t="str">
        <f aca="false">IF($A732="","",IF(SUMIFS(Recepciones!$C$5:$C$2000,Recepciones!$B$5:$B$2000,Config!$A$24,Recepciones!$A$5:$A$2000,"&gt;"&amp;$A731,Recepciones!$A$5:$A$2000,"&lt;="&amp;$A732)&gt;0,SUMIFS(Recepciones!$C$5:$C$2000,Recepciones!$B$5:$B$2000,Config!$A$24,Recepciones!$A$5:$A$2000,"&gt;"&amp;$A731,Recepciones!$A$5:$A$2000,"&lt;="&amp;$A732),MAX(0,F732-F731)))</f>
        <v/>
      </c>
      <c r="H732" s="24" t="str">
        <f aca="false">IF($A732="","",MAX(0,F731+G732-F732))</f>
        <v/>
      </c>
      <c r="I732" s="24" t="str">
        <f aca="false">IF($A732="","",Stock_Diario!G732)</f>
        <v/>
      </c>
      <c r="J732" s="24" t="str">
        <f aca="false">IF($A732="","",IF(SUMIFS(Recepciones!$C$5:$C$2000,Recepciones!$B$5:$B$2000,Config!$A$25,Recepciones!$A$5:$A$2000,"&gt;"&amp;$A731,Recepciones!$A$5:$A$2000,"&lt;="&amp;$A732)&gt;0,SUMIFS(Recepciones!$C$5:$C$2000,Recepciones!$B$5:$B$2000,Config!$A$25,Recepciones!$A$5:$A$2000,"&gt;"&amp;$A731,Recepciones!$A$5:$A$2000,"&lt;="&amp;$A732),MAX(0,I732-I731)))</f>
        <v/>
      </c>
      <c r="K732" s="24" t="str">
        <f aca="false">IF($A732="","",MAX(0,I731+J732-I732))</f>
        <v/>
      </c>
      <c r="L732" s="24" t="str">
        <f aca="false">IF($A732="","",E732+H732+K732)</f>
        <v/>
      </c>
      <c r="M732" s="4" t="str">
        <f aca="false">IF($A732="","",IF(AND(D732+G732+J732&gt;0,SUMIFS(Recepciones!$C$5:$C$2000,Recepciones!$A$5:$A$2000,"&gt;"&amp;$A731,Recepciones!$A$5:$A$2000,"&lt;="&amp;$A732)=0),"Aumento de stock sin recepción registrada",IF(B732&gt;1,"Intervalo de "&amp;B732&amp;" días","")))</f>
        <v/>
      </c>
    </row>
    <row r="733" customFormat="false" ht="15" hidden="false" customHeight="false" outlineLevel="0" collapsed="false">
      <c r="A733" s="5" t="str">
        <f aca="false">IF(Stock_Diario!A733="","",Stock_Diario!A733)</f>
        <v/>
      </c>
      <c r="B733" s="4" t="str">
        <f aca="false">IF($A733="","",$A733-$A732)</f>
        <v/>
      </c>
      <c r="C733" s="24" t="str">
        <f aca="false">IF($A733="","",Stock_Diario!E733)</f>
        <v/>
      </c>
      <c r="D733" s="24" t="str">
        <f aca="false">IF($A733="","",IF(SUMIFS(Recepciones!$C$5:$C$2000,Recepciones!$B$5:$B$2000,Config!$A$23,Recepciones!$A$5:$A$2000,"&gt;"&amp;$A732,Recepciones!$A$5:$A$2000,"&lt;="&amp;$A733)&gt;0,SUMIFS(Recepciones!$C$5:$C$2000,Recepciones!$B$5:$B$2000,Config!$A$23,Recepciones!$A$5:$A$2000,"&gt;"&amp;$A732,Recepciones!$A$5:$A$2000,"&lt;="&amp;$A733),MAX(0,C733-C732)))</f>
        <v/>
      </c>
      <c r="E733" s="24" t="str">
        <f aca="false">IF($A733="","",MAX(0,C732+D733-C733))</f>
        <v/>
      </c>
      <c r="F733" s="24" t="str">
        <f aca="false">IF($A733="","",Stock_Diario!F733)</f>
        <v/>
      </c>
      <c r="G733" s="24" t="str">
        <f aca="false">IF($A733="","",IF(SUMIFS(Recepciones!$C$5:$C$2000,Recepciones!$B$5:$B$2000,Config!$A$24,Recepciones!$A$5:$A$2000,"&gt;"&amp;$A732,Recepciones!$A$5:$A$2000,"&lt;="&amp;$A733)&gt;0,SUMIFS(Recepciones!$C$5:$C$2000,Recepciones!$B$5:$B$2000,Config!$A$24,Recepciones!$A$5:$A$2000,"&gt;"&amp;$A732,Recepciones!$A$5:$A$2000,"&lt;="&amp;$A733),MAX(0,F733-F732)))</f>
        <v/>
      </c>
      <c r="H733" s="24" t="str">
        <f aca="false">IF($A733="","",MAX(0,F732+G733-F733))</f>
        <v/>
      </c>
      <c r="I733" s="24" t="str">
        <f aca="false">IF($A733="","",Stock_Diario!G733)</f>
        <v/>
      </c>
      <c r="J733" s="24" t="str">
        <f aca="false">IF($A733="","",IF(SUMIFS(Recepciones!$C$5:$C$2000,Recepciones!$B$5:$B$2000,Config!$A$25,Recepciones!$A$5:$A$2000,"&gt;"&amp;$A732,Recepciones!$A$5:$A$2000,"&lt;="&amp;$A733)&gt;0,SUMIFS(Recepciones!$C$5:$C$2000,Recepciones!$B$5:$B$2000,Config!$A$25,Recepciones!$A$5:$A$2000,"&gt;"&amp;$A732,Recepciones!$A$5:$A$2000,"&lt;="&amp;$A733),MAX(0,I733-I732)))</f>
        <v/>
      </c>
      <c r="K733" s="24" t="str">
        <f aca="false">IF($A733="","",MAX(0,I732+J733-I733))</f>
        <v/>
      </c>
      <c r="L733" s="24" t="str">
        <f aca="false">IF($A733="","",E733+H733+K733)</f>
        <v/>
      </c>
      <c r="M733" s="4" t="str">
        <f aca="false">IF($A733="","",IF(AND(D733+G733+J733&gt;0,SUMIFS(Recepciones!$C$5:$C$2000,Recepciones!$A$5:$A$2000,"&gt;"&amp;$A732,Recepciones!$A$5:$A$2000,"&lt;="&amp;$A733)=0),"Aumento de stock sin recepción registrada",IF(B733&gt;1,"Intervalo de "&amp;B733&amp;" días","")))</f>
        <v/>
      </c>
    </row>
    <row r="734" customFormat="false" ht="15" hidden="false" customHeight="false" outlineLevel="0" collapsed="false">
      <c r="A734" s="5" t="str">
        <f aca="false">IF(Stock_Diario!A734="","",Stock_Diario!A734)</f>
        <v/>
      </c>
      <c r="B734" s="4" t="str">
        <f aca="false">IF($A734="","",$A734-$A733)</f>
        <v/>
      </c>
      <c r="C734" s="24" t="str">
        <f aca="false">IF($A734="","",Stock_Diario!E734)</f>
        <v/>
      </c>
      <c r="D734" s="24" t="str">
        <f aca="false">IF($A734="","",IF(SUMIFS(Recepciones!$C$5:$C$2000,Recepciones!$B$5:$B$2000,Config!$A$23,Recepciones!$A$5:$A$2000,"&gt;"&amp;$A733,Recepciones!$A$5:$A$2000,"&lt;="&amp;$A734)&gt;0,SUMIFS(Recepciones!$C$5:$C$2000,Recepciones!$B$5:$B$2000,Config!$A$23,Recepciones!$A$5:$A$2000,"&gt;"&amp;$A733,Recepciones!$A$5:$A$2000,"&lt;="&amp;$A734),MAX(0,C734-C733)))</f>
        <v/>
      </c>
      <c r="E734" s="24" t="str">
        <f aca="false">IF($A734="","",MAX(0,C733+D734-C734))</f>
        <v/>
      </c>
      <c r="F734" s="24" t="str">
        <f aca="false">IF($A734="","",Stock_Diario!F734)</f>
        <v/>
      </c>
      <c r="G734" s="24" t="str">
        <f aca="false">IF($A734="","",IF(SUMIFS(Recepciones!$C$5:$C$2000,Recepciones!$B$5:$B$2000,Config!$A$24,Recepciones!$A$5:$A$2000,"&gt;"&amp;$A733,Recepciones!$A$5:$A$2000,"&lt;="&amp;$A734)&gt;0,SUMIFS(Recepciones!$C$5:$C$2000,Recepciones!$B$5:$B$2000,Config!$A$24,Recepciones!$A$5:$A$2000,"&gt;"&amp;$A733,Recepciones!$A$5:$A$2000,"&lt;="&amp;$A734),MAX(0,F734-F733)))</f>
        <v/>
      </c>
      <c r="H734" s="24" t="str">
        <f aca="false">IF($A734="","",MAX(0,F733+G734-F734))</f>
        <v/>
      </c>
      <c r="I734" s="24" t="str">
        <f aca="false">IF($A734="","",Stock_Diario!G734)</f>
        <v/>
      </c>
      <c r="J734" s="24" t="str">
        <f aca="false">IF($A734="","",IF(SUMIFS(Recepciones!$C$5:$C$2000,Recepciones!$B$5:$B$2000,Config!$A$25,Recepciones!$A$5:$A$2000,"&gt;"&amp;$A733,Recepciones!$A$5:$A$2000,"&lt;="&amp;$A734)&gt;0,SUMIFS(Recepciones!$C$5:$C$2000,Recepciones!$B$5:$B$2000,Config!$A$25,Recepciones!$A$5:$A$2000,"&gt;"&amp;$A733,Recepciones!$A$5:$A$2000,"&lt;="&amp;$A734),MAX(0,I734-I733)))</f>
        <v/>
      </c>
      <c r="K734" s="24" t="str">
        <f aca="false">IF($A734="","",MAX(0,I733+J734-I734))</f>
        <v/>
      </c>
      <c r="L734" s="24" t="str">
        <f aca="false">IF($A734="","",E734+H734+K734)</f>
        <v/>
      </c>
      <c r="M734" s="4" t="str">
        <f aca="false">IF($A734="","",IF(AND(D734+G734+J734&gt;0,SUMIFS(Recepciones!$C$5:$C$2000,Recepciones!$A$5:$A$2000,"&gt;"&amp;$A733,Recepciones!$A$5:$A$2000,"&lt;="&amp;$A734)=0),"Aumento de stock sin recepción registrada",IF(B734&gt;1,"Intervalo de "&amp;B734&amp;" días","")))</f>
        <v/>
      </c>
    </row>
  </sheetData>
  <mergeCells count="3">
    <mergeCell ref="C3:E3"/>
    <mergeCell ref="F3:H3"/>
    <mergeCell ref="I3:K3"/>
  </mergeCells>
  <conditionalFormatting sqref="D5:D734">
    <cfRule type="cellIs" priority="2" operator="greaterThan" aboveAverage="0" equalAverage="0" bottom="0" percent="0" rank="0" text="" dxfId="2">
      <formula>0</formula>
    </cfRule>
  </conditionalFormatting>
  <conditionalFormatting sqref="G5:G734">
    <cfRule type="cellIs" priority="3" operator="greaterThan" aboveAverage="0" equalAverage="0" bottom="0" percent="0" rank="0" text="" dxfId="2">
      <formula>0</formula>
    </cfRule>
  </conditionalFormatting>
  <conditionalFormatting sqref="J5:J734">
    <cfRule type="cellIs" priority="4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6" t="s">
        <v>112</v>
      </c>
      <c r="B4" s="6" t="s">
        <v>113</v>
      </c>
      <c r="C4" s="6" t="s">
        <v>114</v>
      </c>
    </row>
    <row r="5" customFormat="false" ht="15" hidden="false" customHeight="false" outlineLevel="0" collapsed="false">
      <c r="A5" s="25" t="n">
        <v>46310.3645833333</v>
      </c>
      <c r="B5" s="4" t="s">
        <v>98</v>
      </c>
      <c r="C5" s="4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2026-10-15T22:37:37Z</dcterms:created>
  <dc:creator>openpyxl</dc:creator>
  <dc:description/>
  <dc:language>en-US</dc:language>
  <cp:lastModifiedBy/>
  <dcterms:modified xsi:type="dcterms:W3CDTF">2026-10-15T22:37:40Z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